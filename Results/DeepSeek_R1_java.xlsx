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IUT university\project\UML_Prompt\uml-prompt-engineering\Results\"/>
    </mc:Choice>
  </mc:AlternateContent>
  <xr:revisionPtr revIDLastSave="0" documentId="13_ncr:1_{ECFD0564-54D7-4E4C-80BB-8DCB03E69CC5}" xr6:coauthVersionLast="47" xr6:coauthVersionMax="47" xr10:uidLastSave="{00000000-0000-0000-0000-000000000000}"/>
  <bookViews>
    <workbookView xWindow="-110" yWindow="-110" windowWidth="25820" windowHeight="15500" tabRatio="993" activeTab="10" xr2:uid="{2DDB57EF-7D7A-4D49-9955-7E4C1633127E}"/>
  </bookViews>
  <sheets>
    <sheet name="alpaca" sheetId="1" r:id="rId1"/>
    <sheet name="baseline" sheetId="2" r:id="rId2"/>
    <sheet name="persona" sheetId="4" r:id="rId3"/>
    <sheet name="strict-no-guessing" sheetId="5" r:id="rId4"/>
    <sheet name="Self-review-postfix" sheetId="9" r:id="rId5"/>
    <sheet name="schema-guided" sheetId="11" r:id="rId6"/>
    <sheet name="checklist" sheetId="6" r:id="rId7"/>
    <sheet name="step-by-step" sheetId="7" r:id="rId8"/>
    <sheet name="cot" sheetId="10" r:id="rId9"/>
    <sheet name="rci" sheetId="8" r:id="rId10"/>
    <sheet name="Summery" sheetId="12" r:id="rId11"/>
    <sheet name="Summery-metric" sheetId="1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7" i="14" l="1"/>
  <c r="N6" i="14"/>
  <c r="N5" i="14"/>
  <c r="N4" i="14"/>
  <c r="N3" i="14"/>
  <c r="N2" i="14"/>
  <c r="D35" i="1"/>
  <c r="S2" i="14"/>
  <c r="I35" i="8"/>
  <c r="M35" i="8"/>
  <c r="Q35" i="8"/>
  <c r="U35" i="8"/>
  <c r="Y35" i="8"/>
  <c r="AC35" i="8"/>
  <c r="AG35" i="8"/>
  <c r="AK35" i="8"/>
  <c r="AO35" i="8"/>
  <c r="AS35" i="8"/>
  <c r="AW35" i="8"/>
  <c r="BA35" i="8"/>
  <c r="BE35" i="8"/>
  <c r="BI35" i="8"/>
  <c r="BM35" i="8"/>
  <c r="BQ35" i="8"/>
  <c r="I35" i="10"/>
  <c r="M35" i="10"/>
  <c r="Q35" i="10"/>
  <c r="U35" i="10"/>
  <c r="Y35" i="10"/>
  <c r="AC35" i="10"/>
  <c r="AG35" i="10"/>
  <c r="AK35" i="10"/>
  <c r="AO35" i="10"/>
  <c r="AS35" i="10"/>
  <c r="AW35" i="10"/>
  <c r="BA35" i="10"/>
  <c r="BE35" i="10"/>
  <c r="BI35" i="10"/>
  <c r="BM35" i="10"/>
  <c r="BQ35" i="10"/>
  <c r="E35" i="8"/>
  <c r="E35" i="10"/>
  <c r="H35" i="2"/>
  <c r="L35" i="2"/>
  <c r="P35" i="2"/>
  <c r="T35" i="2"/>
  <c r="X35" i="2"/>
  <c r="AB35" i="2"/>
  <c r="AF35" i="2"/>
  <c r="AJ35" i="2"/>
  <c r="AN35" i="2"/>
  <c r="AR35" i="2"/>
  <c r="AV35" i="2"/>
  <c r="AZ35" i="2"/>
  <c r="BD35" i="2"/>
  <c r="BH35" i="2"/>
  <c r="BL35" i="2"/>
  <c r="BP35" i="2"/>
  <c r="H35" i="4"/>
  <c r="L35" i="4"/>
  <c r="P35" i="4"/>
  <c r="T35" i="4"/>
  <c r="X35" i="4"/>
  <c r="AB35" i="4"/>
  <c r="AF35" i="4"/>
  <c r="AJ35" i="4"/>
  <c r="AN35" i="4"/>
  <c r="AR35" i="4"/>
  <c r="AV35" i="4"/>
  <c r="AZ35" i="4"/>
  <c r="BD35" i="4"/>
  <c r="BH35" i="4"/>
  <c r="BL35" i="4"/>
  <c r="BP35" i="4"/>
  <c r="H35" i="5"/>
  <c r="L35" i="5"/>
  <c r="P35" i="5"/>
  <c r="T35" i="5"/>
  <c r="X35" i="5"/>
  <c r="AB35" i="5"/>
  <c r="AF35" i="5"/>
  <c r="AJ35" i="5"/>
  <c r="AN35" i="5"/>
  <c r="AR35" i="5"/>
  <c r="AV35" i="5"/>
  <c r="AZ35" i="5"/>
  <c r="BD35" i="5"/>
  <c r="BH35" i="5"/>
  <c r="BL35" i="5"/>
  <c r="BP35" i="5"/>
  <c r="H35" i="9"/>
  <c r="L35" i="9"/>
  <c r="P35" i="9"/>
  <c r="T35" i="9"/>
  <c r="X35" i="9"/>
  <c r="AB35" i="9"/>
  <c r="AF35" i="9"/>
  <c r="AJ35" i="9"/>
  <c r="AN35" i="9"/>
  <c r="AR35" i="9"/>
  <c r="AV35" i="9"/>
  <c r="AZ35" i="9"/>
  <c r="BD35" i="9"/>
  <c r="BH35" i="9"/>
  <c r="BL35" i="9"/>
  <c r="BP35" i="9"/>
  <c r="H35" i="11"/>
  <c r="L35" i="11"/>
  <c r="P35" i="11"/>
  <c r="T35" i="11"/>
  <c r="X35" i="11"/>
  <c r="AB35" i="11"/>
  <c r="AF35" i="11"/>
  <c r="AJ35" i="11"/>
  <c r="AN35" i="11"/>
  <c r="AR35" i="11"/>
  <c r="AV35" i="11"/>
  <c r="AZ35" i="11"/>
  <c r="BD35" i="11"/>
  <c r="BH35" i="11"/>
  <c r="BL35" i="11"/>
  <c r="BP35" i="11"/>
  <c r="H35" i="6"/>
  <c r="L35" i="6"/>
  <c r="P35" i="6"/>
  <c r="T35" i="6"/>
  <c r="X35" i="6"/>
  <c r="AB35" i="6"/>
  <c r="AF35" i="6"/>
  <c r="AJ35" i="6"/>
  <c r="AN35" i="6"/>
  <c r="AR35" i="6"/>
  <c r="AV35" i="6"/>
  <c r="AZ35" i="6"/>
  <c r="BD35" i="6"/>
  <c r="BH35" i="6"/>
  <c r="BL35" i="6"/>
  <c r="BP35" i="6"/>
  <c r="H35" i="7"/>
  <c r="L35" i="7"/>
  <c r="P35" i="7"/>
  <c r="T35" i="7"/>
  <c r="X35" i="7"/>
  <c r="AB35" i="7"/>
  <c r="AF35" i="7"/>
  <c r="AJ35" i="7"/>
  <c r="AN35" i="7"/>
  <c r="AR35" i="7"/>
  <c r="AV35" i="7"/>
  <c r="AZ35" i="7"/>
  <c r="BD35" i="7"/>
  <c r="BH35" i="7"/>
  <c r="BL35" i="7"/>
  <c r="BP35" i="7"/>
  <c r="H35" i="1"/>
  <c r="L35" i="1"/>
  <c r="P35" i="1"/>
  <c r="T35" i="1"/>
  <c r="X35" i="1"/>
  <c r="AB35" i="1"/>
  <c r="AF35" i="1"/>
  <c r="AJ35" i="1"/>
  <c r="AN35" i="1"/>
  <c r="AR35" i="1"/>
  <c r="AV35" i="1"/>
  <c r="AZ35" i="1"/>
  <c r="BD35" i="1"/>
  <c r="BH35" i="1"/>
  <c r="BL35" i="1"/>
  <c r="BP35" i="1"/>
  <c r="D35" i="2"/>
  <c r="D35" i="4"/>
  <c r="D35" i="5"/>
  <c r="D35" i="9"/>
  <c r="D35" i="11"/>
  <c r="D35" i="6"/>
  <c r="D35" i="7"/>
  <c r="I33" i="10"/>
  <c r="M33" i="10"/>
  <c r="Q33" i="10"/>
  <c r="U33" i="10"/>
  <c r="Y33" i="10"/>
  <c r="AC33" i="10"/>
  <c r="AG33" i="10"/>
  <c r="AK33" i="10"/>
  <c r="AO33" i="10"/>
  <c r="AS33" i="10"/>
  <c r="AW33" i="10"/>
  <c r="BA33" i="10"/>
  <c r="BE33" i="10"/>
  <c r="BI33" i="10"/>
  <c r="BM33" i="10"/>
  <c r="BQ33" i="10"/>
  <c r="I34" i="10"/>
  <c r="M34" i="10"/>
  <c r="Q34" i="10"/>
  <c r="U34" i="10"/>
  <c r="Y34" i="10"/>
  <c r="AC34" i="10"/>
  <c r="AG34" i="10"/>
  <c r="AK34" i="10"/>
  <c r="AO34" i="10"/>
  <c r="AS34" i="10"/>
  <c r="AW34" i="10"/>
  <c r="BA34" i="10"/>
  <c r="BE34" i="10"/>
  <c r="BI34" i="10"/>
  <c r="BM34" i="10"/>
  <c r="BQ34" i="10"/>
  <c r="I33" i="8"/>
  <c r="M33" i="8"/>
  <c r="Q33" i="8"/>
  <c r="U33" i="8"/>
  <c r="Y33" i="8"/>
  <c r="AC33" i="8"/>
  <c r="AG33" i="8"/>
  <c r="AK33" i="8"/>
  <c r="AO33" i="8"/>
  <c r="AS33" i="8"/>
  <c r="AW33" i="8"/>
  <c r="BA33" i="8"/>
  <c r="BE33" i="8"/>
  <c r="BI33" i="8"/>
  <c r="BM33" i="8"/>
  <c r="BQ33" i="8"/>
  <c r="I34" i="8"/>
  <c r="M34" i="8"/>
  <c r="Q34" i="8"/>
  <c r="U34" i="8"/>
  <c r="Y34" i="8"/>
  <c r="AC34" i="8"/>
  <c r="AG34" i="8"/>
  <c r="AK34" i="8"/>
  <c r="AO34" i="8"/>
  <c r="AS34" i="8"/>
  <c r="AW34" i="8"/>
  <c r="BA34" i="8"/>
  <c r="BE34" i="8"/>
  <c r="BI34" i="8"/>
  <c r="BM34" i="8"/>
  <c r="BQ34" i="8"/>
  <c r="E34" i="10"/>
  <c r="E34" i="8"/>
  <c r="E33" i="10"/>
  <c r="E33" i="8"/>
  <c r="H33" i="2"/>
  <c r="L33" i="2"/>
  <c r="P33" i="2"/>
  <c r="T33" i="2"/>
  <c r="X33" i="2"/>
  <c r="AB33" i="2"/>
  <c r="AF33" i="2"/>
  <c r="AJ33" i="2"/>
  <c r="AN33" i="2"/>
  <c r="AR33" i="2"/>
  <c r="AV33" i="2"/>
  <c r="AZ33" i="2"/>
  <c r="BD33" i="2"/>
  <c r="BH33" i="2"/>
  <c r="BL33" i="2"/>
  <c r="BP33" i="2"/>
  <c r="H34" i="2"/>
  <c r="L34" i="2"/>
  <c r="P34" i="2"/>
  <c r="T34" i="2"/>
  <c r="X34" i="2"/>
  <c r="AB34" i="2"/>
  <c r="AF34" i="2"/>
  <c r="AJ34" i="2"/>
  <c r="AN34" i="2"/>
  <c r="AR34" i="2"/>
  <c r="AV34" i="2"/>
  <c r="AZ34" i="2"/>
  <c r="BD34" i="2"/>
  <c r="BH34" i="2"/>
  <c r="BL34" i="2"/>
  <c r="BP34" i="2"/>
  <c r="H33" i="4"/>
  <c r="L33" i="4"/>
  <c r="P33" i="4"/>
  <c r="T33" i="4"/>
  <c r="X33" i="4"/>
  <c r="AB33" i="4"/>
  <c r="AF33" i="4"/>
  <c r="AJ33" i="4"/>
  <c r="AN33" i="4"/>
  <c r="AR33" i="4"/>
  <c r="AV33" i="4"/>
  <c r="AZ33" i="4"/>
  <c r="BD33" i="4"/>
  <c r="BH33" i="4"/>
  <c r="BL33" i="4"/>
  <c r="BP33" i="4"/>
  <c r="H34" i="4"/>
  <c r="L34" i="4"/>
  <c r="P34" i="4"/>
  <c r="T34" i="4"/>
  <c r="X34" i="4"/>
  <c r="AB34" i="4"/>
  <c r="AF34" i="4"/>
  <c r="AJ34" i="4"/>
  <c r="AN34" i="4"/>
  <c r="AR34" i="4"/>
  <c r="AV34" i="4"/>
  <c r="AZ34" i="4"/>
  <c r="BD34" i="4"/>
  <c r="BH34" i="4"/>
  <c r="BL34" i="4"/>
  <c r="BP34" i="4"/>
  <c r="H33" i="5"/>
  <c r="L33" i="5"/>
  <c r="P33" i="5"/>
  <c r="T33" i="5"/>
  <c r="X33" i="5"/>
  <c r="AB33" i="5"/>
  <c r="AF33" i="5"/>
  <c r="AJ33" i="5"/>
  <c r="AN33" i="5"/>
  <c r="AR33" i="5"/>
  <c r="AV33" i="5"/>
  <c r="AZ33" i="5"/>
  <c r="BD33" i="5"/>
  <c r="BH33" i="5"/>
  <c r="BL33" i="5"/>
  <c r="BP33" i="5"/>
  <c r="H34" i="5"/>
  <c r="L34" i="5"/>
  <c r="P34" i="5"/>
  <c r="T34" i="5"/>
  <c r="X34" i="5"/>
  <c r="AB34" i="5"/>
  <c r="AF34" i="5"/>
  <c r="AJ34" i="5"/>
  <c r="AN34" i="5"/>
  <c r="AR34" i="5"/>
  <c r="AV34" i="5"/>
  <c r="AZ34" i="5"/>
  <c r="BD34" i="5"/>
  <c r="BH34" i="5"/>
  <c r="BL34" i="5"/>
  <c r="BP34" i="5"/>
  <c r="H33" i="9"/>
  <c r="L33" i="9"/>
  <c r="P33" i="9"/>
  <c r="T33" i="9"/>
  <c r="X33" i="9"/>
  <c r="AB33" i="9"/>
  <c r="AF33" i="9"/>
  <c r="AJ33" i="9"/>
  <c r="AN33" i="9"/>
  <c r="AR33" i="9"/>
  <c r="AV33" i="9"/>
  <c r="AZ33" i="9"/>
  <c r="BD33" i="9"/>
  <c r="BH33" i="9"/>
  <c r="BL33" i="9"/>
  <c r="BP33" i="9"/>
  <c r="H34" i="9"/>
  <c r="L34" i="9"/>
  <c r="P34" i="9"/>
  <c r="T34" i="9"/>
  <c r="X34" i="9"/>
  <c r="AB34" i="9"/>
  <c r="AF34" i="9"/>
  <c r="AJ34" i="9"/>
  <c r="AN34" i="9"/>
  <c r="AR34" i="9"/>
  <c r="AV34" i="9"/>
  <c r="AZ34" i="9"/>
  <c r="BD34" i="9"/>
  <c r="BH34" i="9"/>
  <c r="BL34" i="9"/>
  <c r="BP34" i="9"/>
  <c r="H33" i="11"/>
  <c r="L33" i="11"/>
  <c r="P33" i="11"/>
  <c r="T33" i="11"/>
  <c r="X33" i="11"/>
  <c r="AB33" i="11"/>
  <c r="AF33" i="11"/>
  <c r="AJ33" i="11"/>
  <c r="AN33" i="11"/>
  <c r="AR33" i="11"/>
  <c r="AV33" i="11"/>
  <c r="AZ33" i="11"/>
  <c r="BD33" i="11"/>
  <c r="BH33" i="11"/>
  <c r="BL33" i="11"/>
  <c r="BP33" i="11"/>
  <c r="H34" i="11"/>
  <c r="L34" i="11"/>
  <c r="P34" i="11"/>
  <c r="T34" i="11"/>
  <c r="X34" i="11"/>
  <c r="AB34" i="11"/>
  <c r="AF34" i="11"/>
  <c r="AJ34" i="11"/>
  <c r="AN34" i="11"/>
  <c r="AR34" i="11"/>
  <c r="AV34" i="11"/>
  <c r="AZ34" i="11"/>
  <c r="BD34" i="11"/>
  <c r="BH34" i="11"/>
  <c r="BL34" i="11"/>
  <c r="BP34" i="11"/>
  <c r="H33" i="6"/>
  <c r="L33" i="6"/>
  <c r="P33" i="6"/>
  <c r="T33" i="6"/>
  <c r="X33" i="6"/>
  <c r="AB33" i="6"/>
  <c r="AF33" i="6"/>
  <c r="AJ33" i="6"/>
  <c r="AN33" i="6"/>
  <c r="AR33" i="6"/>
  <c r="AV33" i="6"/>
  <c r="AZ33" i="6"/>
  <c r="BD33" i="6"/>
  <c r="BH33" i="6"/>
  <c r="BL33" i="6"/>
  <c r="BP33" i="6"/>
  <c r="H34" i="6"/>
  <c r="L34" i="6"/>
  <c r="P34" i="6"/>
  <c r="T34" i="6"/>
  <c r="X34" i="6"/>
  <c r="AB34" i="6"/>
  <c r="AF34" i="6"/>
  <c r="AJ34" i="6"/>
  <c r="AN34" i="6"/>
  <c r="AR34" i="6"/>
  <c r="AV34" i="6"/>
  <c r="AZ34" i="6"/>
  <c r="BD34" i="6"/>
  <c r="BH34" i="6"/>
  <c r="BL34" i="6"/>
  <c r="BP34" i="6"/>
  <c r="H33" i="7"/>
  <c r="L33" i="7"/>
  <c r="P33" i="7"/>
  <c r="T33" i="7"/>
  <c r="X33" i="7"/>
  <c r="AB33" i="7"/>
  <c r="AF33" i="7"/>
  <c r="AJ33" i="7"/>
  <c r="AN33" i="7"/>
  <c r="AR33" i="7"/>
  <c r="AV33" i="7"/>
  <c r="AZ33" i="7"/>
  <c r="BD33" i="7"/>
  <c r="BH33" i="7"/>
  <c r="BL33" i="7"/>
  <c r="BP33" i="7"/>
  <c r="H34" i="7"/>
  <c r="L34" i="7"/>
  <c r="P34" i="7"/>
  <c r="T34" i="7"/>
  <c r="X34" i="7"/>
  <c r="AB34" i="7"/>
  <c r="AF34" i="7"/>
  <c r="AJ34" i="7"/>
  <c r="AN34" i="7"/>
  <c r="AR34" i="7"/>
  <c r="AV34" i="7"/>
  <c r="AZ34" i="7"/>
  <c r="BD34" i="7"/>
  <c r="BH34" i="7"/>
  <c r="BL34" i="7"/>
  <c r="BP34" i="7"/>
  <c r="H33" i="1"/>
  <c r="L33" i="1"/>
  <c r="P33" i="1"/>
  <c r="T33" i="1"/>
  <c r="X33" i="1"/>
  <c r="AB33" i="1"/>
  <c r="AF33" i="1"/>
  <c r="AJ33" i="1"/>
  <c r="AN33" i="1"/>
  <c r="AR33" i="1"/>
  <c r="AV33" i="1"/>
  <c r="AZ33" i="1"/>
  <c r="BD33" i="1"/>
  <c r="BH33" i="1"/>
  <c r="BL33" i="1"/>
  <c r="BP33" i="1"/>
  <c r="H34" i="1"/>
  <c r="L34" i="1"/>
  <c r="P34" i="1"/>
  <c r="T34" i="1"/>
  <c r="X34" i="1"/>
  <c r="AB34" i="1"/>
  <c r="AF34" i="1"/>
  <c r="AJ34" i="1"/>
  <c r="AN34" i="1"/>
  <c r="AR34" i="1"/>
  <c r="AV34" i="1"/>
  <c r="AZ34" i="1"/>
  <c r="BD34" i="1"/>
  <c r="BH34" i="1"/>
  <c r="BL34" i="1"/>
  <c r="BP34" i="1"/>
  <c r="D34" i="2"/>
  <c r="D34" i="4"/>
  <c r="D34" i="5"/>
  <c r="D34" i="9"/>
  <c r="D34" i="11"/>
  <c r="D34" i="6"/>
  <c r="D34" i="7"/>
  <c r="D34" i="1"/>
  <c r="D33" i="2"/>
  <c r="D33" i="4"/>
  <c r="D33" i="5"/>
  <c r="D33" i="9"/>
  <c r="D33" i="11"/>
  <c r="D33" i="6"/>
  <c r="D33" i="7"/>
  <c r="D33" i="1"/>
  <c r="C2" i="14"/>
  <c r="C3" i="14"/>
  <c r="BT31" i="8"/>
  <c r="BQ31" i="10"/>
  <c r="BR31" i="10"/>
  <c r="BT31" i="10"/>
  <c r="E31" i="2"/>
  <c r="G31" i="2"/>
  <c r="H31" i="2"/>
  <c r="I31" i="2"/>
  <c r="K31" i="2"/>
  <c r="L31" i="2"/>
  <c r="M31" i="2"/>
  <c r="O31" i="2"/>
  <c r="P31" i="2"/>
  <c r="Q31" i="2"/>
  <c r="S31" i="2"/>
  <c r="T31" i="2"/>
  <c r="U31" i="2"/>
  <c r="W31" i="2"/>
  <c r="X31" i="2"/>
  <c r="Y31" i="2"/>
  <c r="AA31" i="2"/>
  <c r="AB31" i="2"/>
  <c r="AC31" i="2"/>
  <c r="AE31" i="2"/>
  <c r="AF31" i="2"/>
  <c r="AG31" i="2"/>
  <c r="AI31" i="2"/>
  <c r="AJ31" i="2"/>
  <c r="AK31" i="2"/>
  <c r="AM31" i="2"/>
  <c r="AN31" i="2"/>
  <c r="AO31" i="2"/>
  <c r="AQ31" i="2"/>
  <c r="AR31" i="2"/>
  <c r="AS31" i="2"/>
  <c r="AU31" i="2"/>
  <c r="AV31" i="2"/>
  <c r="AW31" i="2"/>
  <c r="AY31" i="2"/>
  <c r="AZ31" i="2"/>
  <c r="BA31" i="2"/>
  <c r="BC31" i="2"/>
  <c r="BD31" i="2"/>
  <c r="BE31" i="2"/>
  <c r="BG31" i="2"/>
  <c r="BH31" i="2"/>
  <c r="BI31" i="2"/>
  <c r="BK31" i="2"/>
  <c r="BL31" i="2"/>
  <c r="BM31" i="2"/>
  <c r="BO31" i="2"/>
  <c r="BP31" i="2"/>
  <c r="BQ31" i="2"/>
  <c r="BS31" i="2"/>
  <c r="E31" i="4"/>
  <c r="G31" i="4"/>
  <c r="H31" i="4"/>
  <c r="I31" i="4"/>
  <c r="K31" i="4"/>
  <c r="L31" i="4"/>
  <c r="M31" i="4"/>
  <c r="O31" i="4"/>
  <c r="P31" i="4"/>
  <c r="Q31" i="4"/>
  <c r="S31" i="4"/>
  <c r="T31" i="4"/>
  <c r="U31" i="4"/>
  <c r="W31" i="4"/>
  <c r="X31" i="4"/>
  <c r="Y31" i="4"/>
  <c r="AA31" i="4"/>
  <c r="AB31" i="4"/>
  <c r="AC31" i="4"/>
  <c r="AE31" i="4"/>
  <c r="AF31" i="4"/>
  <c r="AG31" i="4"/>
  <c r="AI31" i="4"/>
  <c r="AJ31" i="4"/>
  <c r="AK31" i="4"/>
  <c r="AM31" i="4"/>
  <c r="AN31" i="4"/>
  <c r="AO31" i="4"/>
  <c r="AQ31" i="4"/>
  <c r="AR31" i="4"/>
  <c r="AS31" i="4"/>
  <c r="AU31" i="4"/>
  <c r="AV31" i="4"/>
  <c r="AW31" i="4"/>
  <c r="AY31" i="4"/>
  <c r="AZ31" i="4"/>
  <c r="BA31" i="4"/>
  <c r="BC31" i="4"/>
  <c r="BD31" i="4"/>
  <c r="BE31" i="4"/>
  <c r="BG31" i="4"/>
  <c r="BH31" i="4"/>
  <c r="BI31" i="4"/>
  <c r="BK31" i="4"/>
  <c r="BL31" i="4"/>
  <c r="BM31" i="4"/>
  <c r="BO31" i="4"/>
  <c r="BP31" i="4"/>
  <c r="BQ31" i="4"/>
  <c r="BS31" i="4"/>
  <c r="E31" i="5"/>
  <c r="G31" i="5"/>
  <c r="H31" i="5"/>
  <c r="I31" i="5"/>
  <c r="K31" i="5"/>
  <c r="L31" i="5"/>
  <c r="M31" i="5"/>
  <c r="O31" i="5"/>
  <c r="P31" i="5"/>
  <c r="Q31" i="5"/>
  <c r="S31" i="5"/>
  <c r="T31" i="5"/>
  <c r="U31" i="5"/>
  <c r="W31" i="5"/>
  <c r="X31" i="5"/>
  <c r="Y31" i="5"/>
  <c r="AA31" i="5"/>
  <c r="AB31" i="5"/>
  <c r="AC31" i="5"/>
  <c r="AE31" i="5"/>
  <c r="AF31" i="5"/>
  <c r="AG31" i="5"/>
  <c r="AI31" i="5"/>
  <c r="AJ31" i="5"/>
  <c r="AK31" i="5"/>
  <c r="AM31" i="5"/>
  <c r="AN31" i="5"/>
  <c r="AO31" i="5"/>
  <c r="AQ31" i="5"/>
  <c r="AR31" i="5"/>
  <c r="AS31" i="5"/>
  <c r="AU31" i="5"/>
  <c r="AV31" i="5"/>
  <c r="AW31" i="5"/>
  <c r="AY31" i="5"/>
  <c r="AZ31" i="5"/>
  <c r="BA31" i="5"/>
  <c r="BC31" i="5"/>
  <c r="BD31" i="5"/>
  <c r="BE31" i="5"/>
  <c r="BG31" i="5"/>
  <c r="BH31" i="5"/>
  <c r="BI31" i="5"/>
  <c r="BK31" i="5"/>
  <c r="BL31" i="5"/>
  <c r="BM31" i="5"/>
  <c r="BO31" i="5"/>
  <c r="BP31" i="5"/>
  <c r="BQ31" i="5"/>
  <c r="BS31" i="5"/>
  <c r="E31" i="9"/>
  <c r="G31" i="9"/>
  <c r="H31" i="9"/>
  <c r="I31" i="9"/>
  <c r="K31" i="9"/>
  <c r="L31" i="9"/>
  <c r="M31" i="9"/>
  <c r="O31" i="9"/>
  <c r="P31" i="9"/>
  <c r="Q31" i="9"/>
  <c r="S31" i="9"/>
  <c r="T31" i="9"/>
  <c r="U31" i="9"/>
  <c r="W31" i="9"/>
  <c r="X31" i="9"/>
  <c r="Y31" i="9"/>
  <c r="AA31" i="9"/>
  <c r="AB31" i="9"/>
  <c r="AC31" i="9"/>
  <c r="AE31" i="9"/>
  <c r="AF31" i="9"/>
  <c r="AG31" i="9"/>
  <c r="AI31" i="9"/>
  <c r="AJ31" i="9"/>
  <c r="AK31" i="9"/>
  <c r="AM31" i="9"/>
  <c r="AN31" i="9"/>
  <c r="AO31" i="9"/>
  <c r="AQ31" i="9"/>
  <c r="AR31" i="9"/>
  <c r="AS31" i="9"/>
  <c r="AU31" i="9"/>
  <c r="AV31" i="9"/>
  <c r="AW31" i="9"/>
  <c r="AY31" i="9"/>
  <c r="AZ31" i="9"/>
  <c r="BA31" i="9"/>
  <c r="BC31" i="9"/>
  <c r="BD31" i="9"/>
  <c r="BE31" i="9"/>
  <c r="BG31" i="9"/>
  <c r="BH31" i="9"/>
  <c r="BI31" i="9"/>
  <c r="BK31" i="9"/>
  <c r="BL31" i="9"/>
  <c r="BM31" i="9"/>
  <c r="BO31" i="9"/>
  <c r="BP31" i="9"/>
  <c r="BQ31" i="9"/>
  <c r="BS31" i="9"/>
  <c r="E31" i="11"/>
  <c r="G31" i="11"/>
  <c r="H31" i="11"/>
  <c r="I31" i="11"/>
  <c r="K31" i="11"/>
  <c r="L31" i="11"/>
  <c r="M31" i="11"/>
  <c r="O31" i="11"/>
  <c r="P31" i="11"/>
  <c r="Q31" i="11"/>
  <c r="S31" i="11"/>
  <c r="T31" i="11"/>
  <c r="U31" i="11"/>
  <c r="W31" i="11"/>
  <c r="X31" i="11"/>
  <c r="Y31" i="11"/>
  <c r="AA31" i="11"/>
  <c r="AB31" i="11"/>
  <c r="AC31" i="11"/>
  <c r="AE31" i="11"/>
  <c r="AF31" i="11"/>
  <c r="AG31" i="11"/>
  <c r="AI31" i="11"/>
  <c r="AJ31" i="11"/>
  <c r="AK31" i="11"/>
  <c r="AM31" i="11"/>
  <c r="AN31" i="11"/>
  <c r="AO31" i="11"/>
  <c r="AQ31" i="11"/>
  <c r="AR31" i="11"/>
  <c r="AS31" i="11"/>
  <c r="AU31" i="11"/>
  <c r="AV31" i="11"/>
  <c r="AW31" i="11"/>
  <c r="AY31" i="11"/>
  <c r="AZ31" i="11"/>
  <c r="BA31" i="11"/>
  <c r="BC31" i="11"/>
  <c r="BD31" i="11"/>
  <c r="BE31" i="11"/>
  <c r="BG31" i="11"/>
  <c r="BH31" i="11"/>
  <c r="BI31" i="11"/>
  <c r="BK31" i="11"/>
  <c r="BL31" i="11"/>
  <c r="BM31" i="11"/>
  <c r="BO31" i="11"/>
  <c r="BP31" i="11"/>
  <c r="BQ31" i="11"/>
  <c r="BS31" i="11"/>
  <c r="E31" i="6"/>
  <c r="G31" i="6"/>
  <c r="H31" i="6"/>
  <c r="I31" i="6"/>
  <c r="K31" i="6"/>
  <c r="L31" i="6"/>
  <c r="M31" i="6"/>
  <c r="O31" i="6"/>
  <c r="P31" i="6"/>
  <c r="Q31" i="6"/>
  <c r="S31" i="6"/>
  <c r="T31" i="6"/>
  <c r="U31" i="6"/>
  <c r="W31" i="6"/>
  <c r="X31" i="6"/>
  <c r="Y31" i="6"/>
  <c r="AA31" i="6"/>
  <c r="AB31" i="6"/>
  <c r="AC31" i="6"/>
  <c r="AE31" i="6"/>
  <c r="AF31" i="6"/>
  <c r="AG31" i="6"/>
  <c r="AI31" i="6"/>
  <c r="AJ31" i="6"/>
  <c r="AK31" i="6"/>
  <c r="AM31" i="6"/>
  <c r="AN31" i="6"/>
  <c r="AO31" i="6"/>
  <c r="AQ31" i="6"/>
  <c r="AR31" i="6"/>
  <c r="AS31" i="6"/>
  <c r="AU31" i="6"/>
  <c r="AV31" i="6"/>
  <c r="AW31" i="6"/>
  <c r="AY31" i="6"/>
  <c r="AZ31" i="6"/>
  <c r="BA31" i="6"/>
  <c r="BC31" i="6"/>
  <c r="BD31" i="6"/>
  <c r="BE31" i="6"/>
  <c r="BG31" i="6"/>
  <c r="BH31" i="6"/>
  <c r="BI31" i="6"/>
  <c r="BK31" i="6"/>
  <c r="BL31" i="6"/>
  <c r="BM31" i="6"/>
  <c r="BO31" i="6"/>
  <c r="BP31" i="6"/>
  <c r="BQ31" i="6"/>
  <c r="BS31" i="6"/>
  <c r="E31" i="7"/>
  <c r="G31" i="7"/>
  <c r="H31" i="7"/>
  <c r="I31" i="7"/>
  <c r="K31" i="7"/>
  <c r="L31" i="7"/>
  <c r="M31" i="7"/>
  <c r="O31" i="7"/>
  <c r="P31" i="7"/>
  <c r="Q31" i="7"/>
  <c r="S31" i="7"/>
  <c r="T31" i="7"/>
  <c r="U31" i="7"/>
  <c r="W31" i="7"/>
  <c r="X31" i="7"/>
  <c r="Y31" i="7"/>
  <c r="AA31" i="7"/>
  <c r="AB31" i="7"/>
  <c r="AC31" i="7"/>
  <c r="AE31" i="7"/>
  <c r="AF31" i="7"/>
  <c r="AG31" i="7"/>
  <c r="AI31" i="7"/>
  <c r="AJ31" i="7"/>
  <c r="AK31" i="7"/>
  <c r="AM31" i="7"/>
  <c r="AN31" i="7"/>
  <c r="AO31" i="7"/>
  <c r="AQ31" i="7"/>
  <c r="AR31" i="7"/>
  <c r="AS31" i="7"/>
  <c r="AU31" i="7"/>
  <c r="AV31" i="7"/>
  <c r="AW31" i="7"/>
  <c r="AY31" i="7"/>
  <c r="AZ31" i="7"/>
  <c r="BA31" i="7"/>
  <c r="BC31" i="7"/>
  <c r="BD31" i="7"/>
  <c r="BE31" i="7"/>
  <c r="BG31" i="7"/>
  <c r="BH31" i="7"/>
  <c r="BI31" i="7"/>
  <c r="BK31" i="7"/>
  <c r="BL31" i="7"/>
  <c r="BM31" i="7"/>
  <c r="BO31" i="7"/>
  <c r="BP31" i="7"/>
  <c r="BQ31" i="7"/>
  <c r="BS31" i="7"/>
  <c r="E31" i="10"/>
  <c r="F31" i="10"/>
  <c r="H31" i="10"/>
  <c r="I31" i="10"/>
  <c r="J31" i="10"/>
  <c r="L31" i="10"/>
  <c r="M31" i="10"/>
  <c r="N31" i="10"/>
  <c r="P31" i="10"/>
  <c r="Q31" i="10"/>
  <c r="R31" i="10"/>
  <c r="T31" i="10"/>
  <c r="U31" i="10"/>
  <c r="V31" i="10"/>
  <c r="X31" i="10"/>
  <c r="Y31" i="10"/>
  <c r="Z31" i="10"/>
  <c r="AB31" i="10"/>
  <c r="AC31" i="10"/>
  <c r="AD31" i="10"/>
  <c r="AF31" i="10"/>
  <c r="AG31" i="10"/>
  <c r="AH31" i="10"/>
  <c r="AJ31" i="10"/>
  <c r="AK31" i="10"/>
  <c r="AL31" i="10"/>
  <c r="AN31" i="10"/>
  <c r="AO31" i="10"/>
  <c r="AP31" i="10"/>
  <c r="AR31" i="10"/>
  <c r="AS31" i="10"/>
  <c r="AT31" i="10"/>
  <c r="AV31" i="10"/>
  <c r="AW31" i="10"/>
  <c r="AX31" i="10"/>
  <c r="AZ31" i="10"/>
  <c r="BA31" i="10"/>
  <c r="BB31" i="10"/>
  <c r="BD31" i="10"/>
  <c r="BE31" i="10"/>
  <c r="BF31" i="10"/>
  <c r="BH31" i="10"/>
  <c r="BI31" i="10"/>
  <c r="BJ31" i="10"/>
  <c r="BL31" i="10"/>
  <c r="BM31" i="10"/>
  <c r="BN31" i="10"/>
  <c r="BP31" i="10"/>
  <c r="E31" i="8"/>
  <c r="F31" i="8"/>
  <c r="H31" i="8"/>
  <c r="I31" i="8"/>
  <c r="J31" i="8"/>
  <c r="L31" i="8"/>
  <c r="M31" i="8"/>
  <c r="N31" i="8"/>
  <c r="P31" i="8"/>
  <c r="Q31" i="8"/>
  <c r="R31" i="8"/>
  <c r="T31" i="8"/>
  <c r="U31" i="8"/>
  <c r="V31" i="8"/>
  <c r="X31" i="8"/>
  <c r="Y31" i="8"/>
  <c r="Z31" i="8"/>
  <c r="AB31" i="8"/>
  <c r="AC31" i="8"/>
  <c r="AD31" i="8"/>
  <c r="AF31" i="8"/>
  <c r="AG31" i="8"/>
  <c r="AH31" i="8"/>
  <c r="AJ31" i="8"/>
  <c r="AK31" i="8"/>
  <c r="AL31" i="8"/>
  <c r="AN31" i="8"/>
  <c r="AO31" i="8"/>
  <c r="AP31" i="8"/>
  <c r="AR31" i="8"/>
  <c r="AS31" i="8"/>
  <c r="AT31" i="8"/>
  <c r="AV31" i="8"/>
  <c r="AW31" i="8"/>
  <c r="AX31" i="8"/>
  <c r="AZ31" i="8"/>
  <c r="BA31" i="8"/>
  <c r="BB31" i="8"/>
  <c r="BD31" i="8"/>
  <c r="BE31" i="8"/>
  <c r="BF31" i="8"/>
  <c r="BH31" i="8"/>
  <c r="BI31" i="8"/>
  <c r="BJ31" i="8"/>
  <c r="BL31" i="8"/>
  <c r="BM31" i="8"/>
  <c r="BN31" i="8"/>
  <c r="BP31" i="8"/>
  <c r="BQ31" i="8"/>
  <c r="BR31" i="8"/>
  <c r="E31" i="1"/>
  <c r="G31" i="1"/>
  <c r="H31" i="1"/>
  <c r="I31" i="1"/>
  <c r="K31" i="1"/>
  <c r="L31" i="1"/>
  <c r="M31" i="1"/>
  <c r="O31" i="1"/>
  <c r="P31" i="1"/>
  <c r="Q31" i="1"/>
  <c r="S31" i="1"/>
  <c r="T31" i="1"/>
  <c r="U31" i="1"/>
  <c r="W31" i="1"/>
  <c r="X31" i="1"/>
  <c r="Y31" i="1"/>
  <c r="AA31" i="1"/>
  <c r="AB31" i="1"/>
  <c r="AC31" i="1"/>
  <c r="AE31" i="1"/>
  <c r="AF31" i="1"/>
  <c r="AG31" i="1"/>
  <c r="AI31" i="1"/>
  <c r="AJ31" i="1"/>
  <c r="AK31" i="1"/>
  <c r="AM31" i="1"/>
  <c r="AN31" i="1"/>
  <c r="AO31" i="1"/>
  <c r="AQ31" i="1"/>
  <c r="AR31" i="1"/>
  <c r="AS31" i="1"/>
  <c r="AU31" i="1"/>
  <c r="AV31" i="1"/>
  <c r="AW31" i="1"/>
  <c r="AY31" i="1"/>
  <c r="AZ31" i="1"/>
  <c r="BA31" i="1"/>
  <c r="BC31" i="1"/>
  <c r="BD31" i="1"/>
  <c r="BE31" i="1"/>
  <c r="BG31" i="1"/>
  <c r="BH31" i="1"/>
  <c r="BI31" i="1"/>
  <c r="BK31" i="1"/>
  <c r="BL31" i="1"/>
  <c r="BM31" i="1"/>
  <c r="BO31" i="1"/>
  <c r="BP31" i="1"/>
  <c r="BQ31" i="1"/>
  <c r="BS31" i="1"/>
  <c r="D31" i="2"/>
  <c r="D31" i="4"/>
  <c r="D31" i="5"/>
  <c r="D31" i="9"/>
  <c r="D31" i="11"/>
  <c r="D31" i="6"/>
  <c r="D31" i="7"/>
  <c r="D31" i="1"/>
  <c r="CE15" i="8"/>
  <c r="CE8" i="8"/>
  <c r="CF1" i="8"/>
  <c r="CE1" i="8"/>
  <c r="CD1" i="8"/>
  <c r="CF1" i="10"/>
  <c r="CE1" i="10"/>
  <c r="CD1" i="10"/>
  <c r="CE10" i="7"/>
  <c r="CF1" i="7"/>
  <c r="CE1" i="7"/>
  <c r="CD1" i="7"/>
  <c r="CF1" i="6"/>
  <c r="CE1" i="6"/>
  <c r="CD1" i="6"/>
  <c r="CF1" i="11"/>
  <c r="CE1" i="11"/>
  <c r="CD1" i="11"/>
  <c r="CF1" i="9"/>
  <c r="CE1" i="9"/>
  <c r="CD1" i="9"/>
  <c r="CF1" i="5"/>
  <c r="CE1" i="5"/>
  <c r="CD1" i="5"/>
  <c r="CF1" i="4"/>
  <c r="CE1" i="4"/>
  <c r="CD1" i="4"/>
  <c r="CF1" i="2"/>
  <c r="CE1" i="2"/>
  <c r="CD1" i="2"/>
  <c r="CF1" i="1"/>
  <c r="CE1" i="1"/>
  <c r="CD1" i="1"/>
  <c r="BW30" i="10"/>
  <c r="BU30" i="10"/>
  <c r="BS30" i="10"/>
  <c r="BO30" i="10"/>
  <c r="BK30" i="10"/>
  <c r="BG30" i="10"/>
  <c r="BC30" i="10"/>
  <c r="AY30" i="10"/>
  <c r="AU30" i="10"/>
  <c r="AQ30" i="10"/>
  <c r="AM30" i="10"/>
  <c r="AI30" i="10"/>
  <c r="AA30" i="10"/>
  <c r="W30" i="10"/>
  <c r="S30" i="10"/>
  <c r="O30" i="10"/>
  <c r="K30" i="10"/>
  <c r="G30" i="10"/>
  <c r="BW29" i="10"/>
  <c r="BU29" i="10"/>
  <c r="BY29" i="10" s="1"/>
  <c r="BS29" i="10"/>
  <c r="BO29" i="10"/>
  <c r="BK29" i="10"/>
  <c r="BG29" i="10"/>
  <c r="BC29" i="10"/>
  <c r="AY29" i="10"/>
  <c r="AU29" i="10"/>
  <c r="AQ29" i="10"/>
  <c r="AM29" i="10"/>
  <c r="AI29" i="10"/>
  <c r="AE29" i="10"/>
  <c r="AA29" i="10"/>
  <c r="W29" i="10"/>
  <c r="S29" i="10"/>
  <c r="O29" i="10"/>
  <c r="K29" i="10"/>
  <c r="G29" i="10"/>
  <c r="BW28" i="10"/>
  <c r="BU28" i="10"/>
  <c r="BS28" i="10"/>
  <c r="BO28" i="10"/>
  <c r="BK28" i="10"/>
  <c r="BG28" i="10"/>
  <c r="BC28" i="10"/>
  <c r="AY28" i="10"/>
  <c r="AU28" i="10"/>
  <c r="AQ28" i="10"/>
  <c r="AM28" i="10"/>
  <c r="AI28" i="10"/>
  <c r="AE28" i="10"/>
  <c r="AA28" i="10"/>
  <c r="W28" i="10"/>
  <c r="S28" i="10"/>
  <c r="O28" i="10"/>
  <c r="K28" i="10"/>
  <c r="G28" i="10"/>
  <c r="BW27" i="10"/>
  <c r="BU27" i="10"/>
  <c r="BS27" i="10"/>
  <c r="BO27" i="10"/>
  <c r="BK27" i="10"/>
  <c r="BG27" i="10"/>
  <c r="BC27" i="10"/>
  <c r="AY27" i="10"/>
  <c r="AU27" i="10"/>
  <c r="AQ27" i="10"/>
  <c r="AM27" i="10"/>
  <c r="AI27" i="10"/>
  <c r="AE27" i="10"/>
  <c r="AA27" i="10"/>
  <c r="W27" i="10"/>
  <c r="S27" i="10"/>
  <c r="O27" i="10"/>
  <c r="K27" i="10"/>
  <c r="G27" i="10"/>
  <c r="BW26" i="10"/>
  <c r="BU26" i="10"/>
  <c r="BS26" i="10"/>
  <c r="BO26" i="10"/>
  <c r="BK26" i="10"/>
  <c r="BG26" i="10"/>
  <c r="BC26" i="10"/>
  <c r="AY26" i="10"/>
  <c r="AU26" i="10"/>
  <c r="AQ26" i="10"/>
  <c r="AM26" i="10"/>
  <c r="AI26" i="10"/>
  <c r="AE26" i="10"/>
  <c r="AA26" i="10"/>
  <c r="W26" i="10"/>
  <c r="S26" i="10"/>
  <c r="O26" i="10"/>
  <c r="K26" i="10"/>
  <c r="G26" i="10"/>
  <c r="BW25" i="10"/>
  <c r="BU25" i="10"/>
  <c r="BS25" i="10"/>
  <c r="BO25" i="10"/>
  <c r="BK25" i="10"/>
  <c r="BG25" i="10"/>
  <c r="BC25" i="10"/>
  <c r="AY25" i="10"/>
  <c r="AU25" i="10"/>
  <c r="AQ25" i="10"/>
  <c r="AM25" i="10"/>
  <c r="AI25" i="10"/>
  <c r="AE25" i="10"/>
  <c r="AA25" i="10"/>
  <c r="W25" i="10"/>
  <c r="S25" i="10"/>
  <c r="O25" i="10"/>
  <c r="K25" i="10"/>
  <c r="G25" i="10"/>
  <c r="BW24" i="10"/>
  <c r="BU24" i="10"/>
  <c r="BY24" i="10" s="1"/>
  <c r="BS24" i="10"/>
  <c r="BO24" i="10"/>
  <c r="BK24" i="10"/>
  <c r="BG24" i="10"/>
  <c r="BC24" i="10"/>
  <c r="AY24" i="10"/>
  <c r="AU24" i="10"/>
  <c r="AQ24" i="10"/>
  <c r="AM24" i="10"/>
  <c r="AI24" i="10"/>
  <c r="AE24" i="10"/>
  <c r="AA24" i="10"/>
  <c r="W24" i="10"/>
  <c r="S24" i="10"/>
  <c r="O24" i="10"/>
  <c r="G24" i="10"/>
  <c r="BW23" i="10"/>
  <c r="BU23" i="10"/>
  <c r="BS23" i="10"/>
  <c r="BO23" i="10"/>
  <c r="BK23" i="10"/>
  <c r="BG23" i="10"/>
  <c r="BC23" i="10"/>
  <c r="AY23" i="10"/>
  <c r="AU23" i="10"/>
  <c r="AQ23" i="10"/>
  <c r="AM23" i="10"/>
  <c r="AI23" i="10"/>
  <c r="AE23" i="10"/>
  <c r="AA23" i="10"/>
  <c r="W23" i="10"/>
  <c r="S23" i="10"/>
  <c r="O23" i="10"/>
  <c r="K23" i="10"/>
  <c r="G23" i="10"/>
  <c r="BW22" i="10"/>
  <c r="BU22" i="10"/>
  <c r="BY22" i="10" s="1"/>
  <c r="BS22" i="10"/>
  <c r="BO22" i="10"/>
  <c r="BK22" i="10"/>
  <c r="BG22" i="10"/>
  <c r="BC22" i="10"/>
  <c r="AY22" i="10"/>
  <c r="AU22" i="10"/>
  <c r="AQ22" i="10"/>
  <c r="AM22" i="10"/>
  <c r="AI22" i="10"/>
  <c r="AE22" i="10"/>
  <c r="AA22" i="10"/>
  <c r="W22" i="10"/>
  <c r="S22" i="10"/>
  <c r="O22" i="10"/>
  <c r="K22" i="10"/>
  <c r="G22" i="10"/>
  <c r="BW21" i="10"/>
  <c r="BU21" i="10"/>
  <c r="BS21" i="10"/>
  <c r="BO21" i="10"/>
  <c r="BK21" i="10"/>
  <c r="BG21" i="10"/>
  <c r="BC21" i="10"/>
  <c r="AY21" i="10"/>
  <c r="AU21" i="10"/>
  <c r="AQ21" i="10"/>
  <c r="AM21" i="10"/>
  <c r="AI21" i="10"/>
  <c r="AE21" i="10"/>
  <c r="AA21" i="10"/>
  <c r="W21" i="10"/>
  <c r="S21" i="10"/>
  <c r="O21" i="10"/>
  <c r="K21" i="10"/>
  <c r="G21" i="10"/>
  <c r="BW20" i="10"/>
  <c r="BU20" i="10"/>
  <c r="BS20" i="10"/>
  <c r="BO20" i="10"/>
  <c r="BK20" i="10"/>
  <c r="BG20" i="10"/>
  <c r="BC20" i="10"/>
  <c r="AY20" i="10"/>
  <c r="AU20" i="10"/>
  <c r="AQ20" i="10"/>
  <c r="AM20" i="10"/>
  <c r="AI20" i="10"/>
  <c r="AE20" i="10"/>
  <c r="AA20" i="10"/>
  <c r="W20" i="10"/>
  <c r="S20" i="10"/>
  <c r="O20" i="10"/>
  <c r="K20" i="10"/>
  <c r="G20" i="10"/>
  <c r="BW19" i="10"/>
  <c r="BU19" i="10"/>
  <c r="BS19" i="10"/>
  <c r="BO19" i="10"/>
  <c r="BK19" i="10"/>
  <c r="BG19" i="10"/>
  <c r="BC19" i="10"/>
  <c r="AY19" i="10"/>
  <c r="AU19" i="10"/>
  <c r="AQ19" i="10"/>
  <c r="AM19" i="10"/>
  <c r="AI19" i="10"/>
  <c r="AE19" i="10"/>
  <c r="AA19" i="10"/>
  <c r="W19" i="10"/>
  <c r="S19" i="10"/>
  <c r="O19" i="10"/>
  <c r="K19" i="10"/>
  <c r="G19" i="10"/>
  <c r="BW18" i="10"/>
  <c r="BU18" i="10"/>
  <c r="BS18" i="10"/>
  <c r="BO18" i="10"/>
  <c r="BK18" i="10"/>
  <c r="BG18" i="10"/>
  <c r="BC18" i="10"/>
  <c r="AY18" i="10"/>
  <c r="AU18" i="10"/>
  <c r="AQ18" i="10"/>
  <c r="AM18" i="10"/>
  <c r="AI18" i="10"/>
  <c r="AE18" i="10"/>
  <c r="AA18" i="10"/>
  <c r="W18" i="10"/>
  <c r="S18" i="10"/>
  <c r="O18" i="10"/>
  <c r="K18" i="10"/>
  <c r="G18" i="10"/>
  <c r="BW17" i="10"/>
  <c r="BU17" i="10"/>
  <c r="BS17" i="10"/>
  <c r="BO17" i="10"/>
  <c r="BK17" i="10"/>
  <c r="BG17" i="10"/>
  <c r="BC17" i="10"/>
  <c r="AY17" i="10"/>
  <c r="AU17" i="10"/>
  <c r="AQ17" i="10"/>
  <c r="AM17" i="10"/>
  <c r="AI17" i="10"/>
  <c r="AE17" i="10"/>
  <c r="AA17" i="10"/>
  <c r="W17" i="10"/>
  <c r="S17" i="10"/>
  <c r="O17" i="10"/>
  <c r="K17" i="10"/>
  <c r="G17" i="10"/>
  <c r="BW16" i="10"/>
  <c r="BU16" i="10"/>
  <c r="BS16" i="10"/>
  <c r="BO16" i="10"/>
  <c r="BK16" i="10"/>
  <c r="BG16" i="10"/>
  <c r="BC16" i="10"/>
  <c r="AY16" i="10"/>
  <c r="AU16" i="10"/>
  <c r="AQ16" i="10"/>
  <c r="AM16" i="10"/>
  <c r="AI16" i="10"/>
  <c r="AE16" i="10"/>
  <c r="W16" i="10"/>
  <c r="S16" i="10"/>
  <c r="O16" i="10"/>
  <c r="K16" i="10"/>
  <c r="G16" i="10"/>
  <c r="BW15" i="10"/>
  <c r="BU15" i="10"/>
  <c r="BS15" i="10"/>
  <c r="BO15" i="10"/>
  <c r="BK15" i="10"/>
  <c r="BG15" i="10"/>
  <c r="BC15" i="10"/>
  <c r="AY15" i="10"/>
  <c r="AU15" i="10"/>
  <c r="AQ15" i="10"/>
  <c r="AM15" i="10"/>
  <c r="AI15" i="10"/>
  <c r="AE15" i="10"/>
  <c r="AA15" i="10"/>
  <c r="W15" i="10"/>
  <c r="S15" i="10"/>
  <c r="O15" i="10"/>
  <c r="K15" i="10"/>
  <c r="G15" i="10"/>
  <c r="BW14" i="10"/>
  <c r="BU14" i="10"/>
  <c r="BS14" i="10"/>
  <c r="BV14" i="10" s="1"/>
  <c r="BX14" i="10" s="1"/>
  <c r="BO14" i="10"/>
  <c r="BK14" i="10"/>
  <c r="BG14" i="10"/>
  <c r="BC14" i="10"/>
  <c r="AY14" i="10"/>
  <c r="AU14" i="10"/>
  <c r="AQ14" i="10"/>
  <c r="AM14" i="10"/>
  <c r="AI14" i="10"/>
  <c r="AE14" i="10"/>
  <c r="AA14" i="10"/>
  <c r="S14" i="10"/>
  <c r="G14" i="10"/>
  <c r="BW13" i="10"/>
  <c r="BU13" i="10"/>
  <c r="BS13" i="10"/>
  <c r="BO13" i="10"/>
  <c r="BK13" i="10"/>
  <c r="BG13" i="10"/>
  <c r="BC13" i="10"/>
  <c r="AY13" i="10"/>
  <c r="AU13" i="10"/>
  <c r="AQ13" i="10"/>
  <c r="AM13" i="10"/>
  <c r="AI13" i="10"/>
  <c r="AE13" i="10"/>
  <c r="AA13" i="10"/>
  <c r="W13" i="10"/>
  <c r="S13" i="10"/>
  <c r="O13" i="10"/>
  <c r="K13" i="10"/>
  <c r="G13" i="10"/>
  <c r="BW12" i="10"/>
  <c r="BU12" i="10"/>
  <c r="BS12" i="10"/>
  <c r="BO12" i="10"/>
  <c r="BK12" i="10"/>
  <c r="BG12" i="10"/>
  <c r="BC12" i="10"/>
  <c r="AY12" i="10"/>
  <c r="AU12" i="10"/>
  <c r="AQ12" i="10"/>
  <c r="AM12" i="10"/>
  <c r="AI12" i="10"/>
  <c r="AE12" i="10"/>
  <c r="AA12" i="10"/>
  <c r="W12" i="10"/>
  <c r="S12" i="10"/>
  <c r="O12" i="10"/>
  <c r="K12" i="10"/>
  <c r="G12" i="10"/>
  <c r="BW11" i="10"/>
  <c r="BU11" i="10"/>
  <c r="BS11" i="10"/>
  <c r="BO11" i="10"/>
  <c r="BK11" i="10"/>
  <c r="BG11" i="10"/>
  <c r="BC11" i="10"/>
  <c r="AY11" i="10"/>
  <c r="AU11" i="10"/>
  <c r="AQ11" i="10"/>
  <c r="AM11" i="10"/>
  <c r="AI11" i="10"/>
  <c r="AE11" i="10"/>
  <c r="AA11" i="10"/>
  <c r="W11" i="10"/>
  <c r="S11" i="10"/>
  <c r="O11" i="10"/>
  <c r="K11" i="10"/>
  <c r="G11" i="10"/>
  <c r="BW10" i="10"/>
  <c r="BU10" i="10"/>
  <c r="BS10" i="10"/>
  <c r="BO10" i="10"/>
  <c r="BK10" i="10"/>
  <c r="BG10" i="10"/>
  <c r="BC10" i="10"/>
  <c r="AY10" i="10"/>
  <c r="AU10" i="10"/>
  <c r="AQ10" i="10"/>
  <c r="AM10" i="10"/>
  <c r="AI10" i="10"/>
  <c r="AE10" i="10"/>
  <c r="AA10" i="10"/>
  <c r="W10" i="10"/>
  <c r="S10" i="10"/>
  <c r="O10" i="10"/>
  <c r="K10" i="10"/>
  <c r="G10" i="10"/>
  <c r="BW9" i="10"/>
  <c r="BU9" i="10"/>
  <c r="BY9" i="10" s="1"/>
  <c r="BS9" i="10"/>
  <c r="BO9" i="10"/>
  <c r="BK9" i="10"/>
  <c r="BG9" i="10"/>
  <c r="BC9" i="10"/>
  <c r="AY9" i="10"/>
  <c r="AU9" i="10"/>
  <c r="AQ9" i="10"/>
  <c r="AM9" i="10"/>
  <c r="AI9" i="10"/>
  <c r="AE9" i="10"/>
  <c r="AA9" i="10"/>
  <c r="W9" i="10"/>
  <c r="S9" i="10"/>
  <c r="O9" i="10"/>
  <c r="K9" i="10"/>
  <c r="K31" i="10" s="1"/>
  <c r="G9" i="10"/>
  <c r="BW8" i="10"/>
  <c r="BU8" i="10"/>
  <c r="BS8" i="10"/>
  <c r="BO8" i="10"/>
  <c r="BK8" i="10"/>
  <c r="BG8" i="10"/>
  <c r="BC8" i="10"/>
  <c r="AY8" i="10"/>
  <c r="AU8" i="10"/>
  <c r="AQ8" i="10"/>
  <c r="AM8" i="10"/>
  <c r="AI8" i="10"/>
  <c r="AE8" i="10"/>
  <c r="AA8" i="10"/>
  <c r="W8" i="10"/>
  <c r="S8" i="10"/>
  <c r="O8" i="10"/>
  <c r="K8" i="10"/>
  <c r="G8" i="10"/>
  <c r="BW7" i="10"/>
  <c r="BU7" i="10"/>
  <c r="BS7" i="10"/>
  <c r="BO7" i="10"/>
  <c r="BK7" i="10"/>
  <c r="BG7" i="10"/>
  <c r="BC7" i="10"/>
  <c r="AY7" i="10"/>
  <c r="AU7" i="10"/>
  <c r="AQ7" i="10"/>
  <c r="AM7" i="10"/>
  <c r="AI7" i="10"/>
  <c r="AE7" i="10"/>
  <c r="AA7" i="10"/>
  <c r="W7" i="10"/>
  <c r="S7" i="10"/>
  <c r="O7" i="10"/>
  <c r="K7" i="10"/>
  <c r="G7" i="10"/>
  <c r="BW6" i="10"/>
  <c r="BU6" i="10"/>
  <c r="BS6" i="10"/>
  <c r="BO6" i="10"/>
  <c r="BK6" i="10"/>
  <c r="BG6" i="10"/>
  <c r="BC6" i="10"/>
  <c r="AY6" i="10"/>
  <c r="AU6" i="10"/>
  <c r="AQ6" i="10"/>
  <c r="AM6" i="10"/>
  <c r="AI6" i="10"/>
  <c r="AE6" i="10"/>
  <c r="AA6" i="10"/>
  <c r="W6" i="10"/>
  <c r="S6" i="10"/>
  <c r="O6" i="10"/>
  <c r="K6" i="10"/>
  <c r="G6" i="10"/>
  <c r="BW5" i="10"/>
  <c r="BU5" i="10"/>
  <c r="BY5" i="10" s="1"/>
  <c r="BS5" i="10"/>
  <c r="BO5" i="10"/>
  <c r="BK5" i="10"/>
  <c r="BG5" i="10"/>
  <c r="BC5" i="10"/>
  <c r="AY5" i="10"/>
  <c r="AU5" i="10"/>
  <c r="AQ5" i="10"/>
  <c r="AM5" i="10"/>
  <c r="AI5" i="10"/>
  <c r="AE5" i="10"/>
  <c r="AE31" i="10" s="1"/>
  <c r="AA5" i="10"/>
  <c r="W5" i="10"/>
  <c r="S5" i="10"/>
  <c r="O5" i="10"/>
  <c r="K5" i="10"/>
  <c r="G5" i="10"/>
  <c r="BW4" i="10"/>
  <c r="BU4" i="10"/>
  <c r="BS4" i="10"/>
  <c r="BO4" i="10"/>
  <c r="BK4" i="10"/>
  <c r="BG4" i="10"/>
  <c r="BC4" i="10"/>
  <c r="AY4" i="10"/>
  <c r="AU4" i="10"/>
  <c r="AQ4" i="10"/>
  <c r="AM4" i="10"/>
  <c r="AI4" i="10"/>
  <c r="AE4" i="10"/>
  <c r="AA4" i="10"/>
  <c r="W4" i="10"/>
  <c r="S4" i="10"/>
  <c r="O4" i="10"/>
  <c r="K4" i="10"/>
  <c r="G4" i="10"/>
  <c r="BW3" i="10"/>
  <c r="BU3" i="10"/>
  <c r="BY3" i="10" s="1"/>
  <c r="BS3" i="10"/>
  <c r="BS31" i="10" s="1"/>
  <c r="BO3" i="10"/>
  <c r="BK3" i="10"/>
  <c r="BG3" i="10"/>
  <c r="BC3" i="10"/>
  <c r="BC31" i="10" s="1"/>
  <c r="AY3" i="10"/>
  <c r="AU3" i="10"/>
  <c r="AQ3" i="10"/>
  <c r="AM3" i="10"/>
  <c r="AI3" i="10"/>
  <c r="AE3" i="10"/>
  <c r="AA3" i="10"/>
  <c r="W3" i="10"/>
  <c r="S3" i="10"/>
  <c r="O3" i="10"/>
  <c r="K3" i="10"/>
  <c r="G3" i="10"/>
  <c r="G3" i="8"/>
  <c r="K3" i="8"/>
  <c r="O3" i="8"/>
  <c r="S3" i="8"/>
  <c r="W3" i="8"/>
  <c r="AA3" i="8"/>
  <c r="AE3" i="8"/>
  <c r="AI3" i="8"/>
  <c r="AM3" i="8"/>
  <c r="AQ3" i="8"/>
  <c r="AU3" i="8"/>
  <c r="AY3" i="8"/>
  <c r="BC3" i="8"/>
  <c r="BG3" i="8"/>
  <c r="BK3" i="8"/>
  <c r="BO3" i="8"/>
  <c r="BS3" i="8"/>
  <c r="BU3" i="8"/>
  <c r="BW3" i="8"/>
  <c r="G4" i="8"/>
  <c r="K4" i="8"/>
  <c r="O4" i="8"/>
  <c r="S4" i="8"/>
  <c r="W4" i="8"/>
  <c r="AA4" i="8"/>
  <c r="AE4" i="8"/>
  <c r="AI4" i="8"/>
  <c r="AM4" i="8"/>
  <c r="AQ4" i="8"/>
  <c r="AU4" i="8"/>
  <c r="AY4" i="8"/>
  <c r="BC4" i="8"/>
  <c r="BG4" i="8"/>
  <c r="BK4" i="8"/>
  <c r="BO4" i="8"/>
  <c r="BO31" i="8" s="1"/>
  <c r="BS4" i="8"/>
  <c r="BU4" i="8"/>
  <c r="BW4" i="8"/>
  <c r="G5" i="8"/>
  <c r="K5" i="8"/>
  <c r="O5" i="8"/>
  <c r="S5" i="8"/>
  <c r="W5" i="8"/>
  <c r="AA5" i="8"/>
  <c r="AE5" i="8"/>
  <c r="AI5" i="8"/>
  <c r="AM5" i="8"/>
  <c r="AQ5" i="8"/>
  <c r="AU5" i="8"/>
  <c r="AY5" i="8"/>
  <c r="BC5" i="8"/>
  <c r="BG5" i="8"/>
  <c r="BK5" i="8"/>
  <c r="BO5" i="8"/>
  <c r="BS5" i="8"/>
  <c r="BU5" i="8"/>
  <c r="BW5" i="8"/>
  <c r="G6" i="8"/>
  <c r="K6" i="8"/>
  <c r="O6" i="8"/>
  <c r="S6" i="8"/>
  <c r="W6" i="8"/>
  <c r="AA6" i="8"/>
  <c r="AE6" i="8"/>
  <c r="AI6" i="8"/>
  <c r="AM6" i="8"/>
  <c r="AQ6" i="8"/>
  <c r="AU6" i="8"/>
  <c r="AY6" i="8"/>
  <c r="BC6" i="8"/>
  <c r="BG6" i="8"/>
  <c r="BK6" i="8"/>
  <c r="BO6" i="8"/>
  <c r="BS6" i="8"/>
  <c r="BU6" i="8"/>
  <c r="BW6" i="8"/>
  <c r="G7" i="8"/>
  <c r="K7" i="8"/>
  <c r="O7" i="8"/>
  <c r="S7" i="8"/>
  <c r="W7" i="8"/>
  <c r="AA7" i="8"/>
  <c r="AE7" i="8"/>
  <c r="AI7" i="8"/>
  <c r="AM7" i="8"/>
  <c r="AQ7" i="8"/>
  <c r="AU7" i="8"/>
  <c r="AY7" i="8"/>
  <c r="BC7" i="8"/>
  <c r="BG7" i="8"/>
  <c r="BK7" i="8"/>
  <c r="BO7" i="8"/>
  <c r="BS7" i="8"/>
  <c r="BU7" i="8"/>
  <c r="BW7" i="8"/>
  <c r="G8" i="8"/>
  <c r="K8" i="8"/>
  <c r="O8" i="8"/>
  <c r="S8" i="8"/>
  <c r="W8" i="8"/>
  <c r="AA8" i="8"/>
  <c r="AE8" i="8"/>
  <c r="AI8" i="8"/>
  <c r="AM8" i="8"/>
  <c r="AQ8" i="8"/>
  <c r="AU8" i="8"/>
  <c r="AY8" i="8"/>
  <c r="BC8" i="8"/>
  <c r="BG8" i="8"/>
  <c r="BK8" i="8"/>
  <c r="BO8" i="8"/>
  <c r="BS8" i="8"/>
  <c r="BU8" i="8"/>
  <c r="BW8" i="8"/>
  <c r="BY8" i="8" s="1"/>
  <c r="G9" i="8"/>
  <c r="G31" i="8" s="1"/>
  <c r="K9" i="8"/>
  <c r="O9" i="8"/>
  <c r="S9" i="8"/>
  <c r="W9" i="8"/>
  <c r="AA9" i="8"/>
  <c r="AE9" i="8"/>
  <c r="AI9" i="8"/>
  <c r="AM9" i="8"/>
  <c r="AQ9" i="8"/>
  <c r="AU9" i="8"/>
  <c r="AY9" i="8"/>
  <c r="BC9" i="8"/>
  <c r="BG9" i="8"/>
  <c r="BK9" i="8"/>
  <c r="BO9" i="8"/>
  <c r="BS9" i="8"/>
  <c r="BU9" i="8"/>
  <c r="BW9" i="8"/>
  <c r="BY9" i="8" s="1"/>
  <c r="G10" i="8"/>
  <c r="K10" i="8"/>
  <c r="O10" i="8"/>
  <c r="S10" i="8"/>
  <c r="W10" i="8"/>
  <c r="AA10" i="8"/>
  <c r="AE10" i="8"/>
  <c r="AI10" i="8"/>
  <c r="AM10" i="8"/>
  <c r="AQ10" i="8"/>
  <c r="AU10" i="8"/>
  <c r="AY10" i="8"/>
  <c r="BC10" i="8"/>
  <c r="BG10" i="8"/>
  <c r="BK10" i="8"/>
  <c r="BO10" i="8"/>
  <c r="BS10" i="8"/>
  <c r="BU10" i="8"/>
  <c r="BW10" i="8"/>
  <c r="G11" i="8"/>
  <c r="K11" i="8"/>
  <c r="O11" i="8"/>
  <c r="S11" i="8"/>
  <c r="W11" i="8"/>
  <c r="AA11" i="8"/>
  <c r="AE11" i="8"/>
  <c r="AI11" i="8"/>
  <c r="AM11" i="8"/>
  <c r="AQ11" i="8"/>
  <c r="AU11" i="8"/>
  <c r="AY11" i="8"/>
  <c r="BC11" i="8"/>
  <c r="BG11" i="8"/>
  <c r="BK11" i="8"/>
  <c r="BO11" i="8"/>
  <c r="BS11" i="8"/>
  <c r="BU11" i="8"/>
  <c r="BW11" i="8"/>
  <c r="BY11" i="8"/>
  <c r="G12" i="8"/>
  <c r="K12" i="8"/>
  <c r="O12" i="8"/>
  <c r="S12" i="8"/>
  <c r="W12" i="8"/>
  <c r="AA12" i="8"/>
  <c r="AE12" i="8"/>
  <c r="AI12" i="8"/>
  <c r="AM12" i="8"/>
  <c r="AQ12" i="8"/>
  <c r="AU12" i="8"/>
  <c r="AY12" i="8"/>
  <c r="BC12" i="8"/>
  <c r="BG12" i="8"/>
  <c r="BK12" i="8"/>
  <c r="BO12" i="8"/>
  <c r="BS12" i="8"/>
  <c r="BU12" i="8"/>
  <c r="BW12" i="8"/>
  <c r="BY12" i="8"/>
  <c r="G13" i="8"/>
  <c r="K13" i="8"/>
  <c r="O13" i="8"/>
  <c r="S13" i="8"/>
  <c r="W13" i="8"/>
  <c r="AA13" i="8"/>
  <c r="AE13" i="8"/>
  <c r="AI13" i="8"/>
  <c r="AM13" i="8"/>
  <c r="AQ13" i="8"/>
  <c r="AU13" i="8"/>
  <c r="AY13" i="8"/>
  <c r="BC13" i="8"/>
  <c r="BG13" i="8"/>
  <c r="BK13" i="8"/>
  <c r="BO13" i="8"/>
  <c r="BS13" i="8"/>
  <c r="BU13" i="8"/>
  <c r="BW13" i="8"/>
  <c r="BY13" i="8"/>
  <c r="G14" i="8"/>
  <c r="S14" i="8"/>
  <c r="AA14" i="8"/>
  <c r="AA31" i="8" s="1"/>
  <c r="AE14" i="8"/>
  <c r="AI14" i="8"/>
  <c r="AM14" i="8"/>
  <c r="AQ14" i="8"/>
  <c r="AU14" i="8"/>
  <c r="AY14" i="8"/>
  <c r="BC14" i="8"/>
  <c r="BG14" i="8"/>
  <c r="BK14" i="8"/>
  <c r="BO14" i="8"/>
  <c r="BS14" i="8"/>
  <c r="BU14" i="8"/>
  <c r="BW14" i="8"/>
  <c r="BY14" i="8"/>
  <c r="G15" i="8"/>
  <c r="K15" i="8"/>
  <c r="O15" i="8"/>
  <c r="S15" i="8"/>
  <c r="W15" i="8"/>
  <c r="AA15" i="8"/>
  <c r="AE15" i="8"/>
  <c r="AI15" i="8"/>
  <c r="AM15" i="8"/>
  <c r="AQ15" i="8"/>
  <c r="AU15" i="8"/>
  <c r="AY15" i="8"/>
  <c r="BC15" i="8"/>
  <c r="BG15" i="8"/>
  <c r="BK15" i="8"/>
  <c r="BO15" i="8"/>
  <c r="BS15" i="8"/>
  <c r="BU15" i="8"/>
  <c r="BW15" i="8"/>
  <c r="BY15" i="8" s="1"/>
  <c r="G16" i="8"/>
  <c r="K16" i="8"/>
  <c r="O16" i="8"/>
  <c r="S16" i="8"/>
  <c r="W16" i="8"/>
  <c r="AE16" i="8"/>
  <c r="AI16" i="8"/>
  <c r="AM16" i="8"/>
  <c r="AQ16" i="8"/>
  <c r="AU16" i="8"/>
  <c r="AY16" i="8"/>
  <c r="BC16" i="8"/>
  <c r="BG16" i="8"/>
  <c r="BK16" i="8"/>
  <c r="BO16" i="8"/>
  <c r="BS16" i="8"/>
  <c r="BU16" i="8"/>
  <c r="BW16" i="8"/>
  <c r="G17" i="8"/>
  <c r="K17" i="8"/>
  <c r="O17" i="8"/>
  <c r="S17" i="8"/>
  <c r="W17" i="8"/>
  <c r="AA17" i="8"/>
  <c r="AE17" i="8"/>
  <c r="AI17" i="8"/>
  <c r="AM17" i="8"/>
  <c r="AQ17" i="8"/>
  <c r="AU17" i="8"/>
  <c r="AY17" i="8"/>
  <c r="BC17" i="8"/>
  <c r="BG17" i="8"/>
  <c r="BK17" i="8"/>
  <c r="BO17" i="8"/>
  <c r="BS17" i="8"/>
  <c r="BU17" i="8"/>
  <c r="BY17" i="8" s="1"/>
  <c r="BW17" i="8"/>
  <c r="G18" i="8"/>
  <c r="K18" i="8"/>
  <c r="O18" i="8"/>
  <c r="S18" i="8"/>
  <c r="W18" i="8"/>
  <c r="AA18" i="8"/>
  <c r="AE18" i="8"/>
  <c r="AI18" i="8"/>
  <c r="AM18" i="8"/>
  <c r="AQ18" i="8"/>
  <c r="AU18" i="8"/>
  <c r="AY18" i="8"/>
  <c r="BC18" i="8"/>
  <c r="BG18" i="8"/>
  <c r="BK18" i="8"/>
  <c r="BO18" i="8"/>
  <c r="BS18" i="8"/>
  <c r="BU18" i="8"/>
  <c r="BW18" i="8"/>
  <c r="G19" i="8"/>
  <c r="K19" i="8"/>
  <c r="O19" i="8"/>
  <c r="S19" i="8"/>
  <c r="W19" i="8"/>
  <c r="AA19" i="8"/>
  <c r="AE19" i="8"/>
  <c r="AI19" i="8"/>
  <c r="AM19" i="8"/>
  <c r="AQ19" i="8"/>
  <c r="AU19" i="8"/>
  <c r="AY19" i="8"/>
  <c r="BC19" i="8"/>
  <c r="BG19" i="8"/>
  <c r="BK19" i="8"/>
  <c r="BO19" i="8"/>
  <c r="BS19" i="8"/>
  <c r="BU19" i="8"/>
  <c r="BY19" i="8" s="1"/>
  <c r="BW19" i="8"/>
  <c r="G20" i="8"/>
  <c r="K20" i="8"/>
  <c r="O20" i="8"/>
  <c r="S20" i="8"/>
  <c r="W20" i="8"/>
  <c r="AA20" i="8"/>
  <c r="AE20" i="8"/>
  <c r="AI20" i="8"/>
  <c r="AM20" i="8"/>
  <c r="AQ20" i="8"/>
  <c r="AU20" i="8"/>
  <c r="AY20" i="8"/>
  <c r="BC20" i="8"/>
  <c r="BG20" i="8"/>
  <c r="BK20" i="8"/>
  <c r="BO20" i="8"/>
  <c r="BS20" i="8"/>
  <c r="BU20" i="8"/>
  <c r="BW20" i="8"/>
  <c r="G21" i="8"/>
  <c r="K21" i="8"/>
  <c r="O21" i="8"/>
  <c r="S21" i="8"/>
  <c r="W21" i="8"/>
  <c r="AA21" i="8"/>
  <c r="AE21" i="8"/>
  <c r="AI21" i="8"/>
  <c r="AM21" i="8"/>
  <c r="AQ21" i="8"/>
  <c r="AU21" i="8"/>
  <c r="AU31" i="8" s="1"/>
  <c r="AY21" i="8"/>
  <c r="BC21" i="8"/>
  <c r="BG21" i="8"/>
  <c r="BK21" i="8"/>
  <c r="BO21" i="8"/>
  <c r="BS21" i="8"/>
  <c r="BU21" i="8"/>
  <c r="BW21" i="8"/>
  <c r="BY21" i="8" s="1"/>
  <c r="G22" i="8"/>
  <c r="K22" i="8"/>
  <c r="O22" i="8"/>
  <c r="S22" i="8"/>
  <c r="W22" i="8"/>
  <c r="AA22" i="8"/>
  <c r="AE22" i="8"/>
  <c r="AI22" i="8"/>
  <c r="AM22" i="8"/>
  <c r="AQ22" i="8"/>
  <c r="AU22" i="8"/>
  <c r="AY22" i="8"/>
  <c r="BC22" i="8"/>
  <c r="BG22" i="8"/>
  <c r="BK22" i="8"/>
  <c r="BO22" i="8"/>
  <c r="BS22" i="8"/>
  <c r="BU22" i="8"/>
  <c r="BW22" i="8"/>
  <c r="G23" i="8"/>
  <c r="K23" i="8"/>
  <c r="O23" i="8"/>
  <c r="S23" i="8"/>
  <c r="W23" i="8"/>
  <c r="AA23" i="8"/>
  <c r="AE23" i="8"/>
  <c r="AI23" i="8"/>
  <c r="AM23" i="8"/>
  <c r="AQ23" i="8"/>
  <c r="AU23" i="8"/>
  <c r="AY23" i="8"/>
  <c r="BC23" i="8"/>
  <c r="BG23" i="8"/>
  <c r="BK23" i="8"/>
  <c r="BO23" i="8"/>
  <c r="BS23" i="8"/>
  <c r="BU23" i="8"/>
  <c r="BW23" i="8"/>
  <c r="G24" i="8"/>
  <c r="O24" i="8"/>
  <c r="S24" i="8"/>
  <c r="W24" i="8"/>
  <c r="AA24" i="8"/>
  <c r="AE24" i="8"/>
  <c r="AI24" i="8"/>
  <c r="AM24" i="8"/>
  <c r="AQ24" i="8"/>
  <c r="AU24" i="8"/>
  <c r="AY24" i="8"/>
  <c r="BC24" i="8"/>
  <c r="BG24" i="8"/>
  <c r="BK24" i="8"/>
  <c r="BO24" i="8"/>
  <c r="BS24" i="8"/>
  <c r="BU24" i="8"/>
  <c r="BW24" i="8"/>
  <c r="G25" i="8"/>
  <c r="K25" i="8"/>
  <c r="O25" i="8"/>
  <c r="S25" i="8"/>
  <c r="W25" i="8"/>
  <c r="AA25" i="8"/>
  <c r="AE25" i="8"/>
  <c r="AI25" i="8"/>
  <c r="AM25" i="8"/>
  <c r="AQ25" i="8"/>
  <c r="AU25" i="8"/>
  <c r="AY25" i="8"/>
  <c r="BC25" i="8"/>
  <c r="BG25" i="8"/>
  <c r="BK25" i="8"/>
  <c r="BO25" i="8"/>
  <c r="BS25" i="8"/>
  <c r="BU25" i="8"/>
  <c r="BW25" i="8"/>
  <c r="G26" i="8"/>
  <c r="K26" i="8"/>
  <c r="O26" i="8"/>
  <c r="S26" i="8"/>
  <c r="W26" i="8"/>
  <c r="AA26" i="8"/>
  <c r="AE26" i="8"/>
  <c r="AI26" i="8"/>
  <c r="AM26" i="8"/>
  <c r="AQ26" i="8"/>
  <c r="AU26" i="8"/>
  <c r="AY26" i="8"/>
  <c r="BC26" i="8"/>
  <c r="BG26" i="8"/>
  <c r="BK26" i="8"/>
  <c r="BO26" i="8"/>
  <c r="BS26" i="8"/>
  <c r="BU26" i="8"/>
  <c r="BW26" i="8"/>
  <c r="BY26" i="8"/>
  <c r="G27" i="8"/>
  <c r="K27" i="8"/>
  <c r="O27" i="8"/>
  <c r="S27" i="8"/>
  <c r="W27" i="8"/>
  <c r="AA27" i="8"/>
  <c r="AE27" i="8"/>
  <c r="AI27" i="8"/>
  <c r="AM27" i="8"/>
  <c r="AQ27" i="8"/>
  <c r="AU27" i="8"/>
  <c r="AY27" i="8"/>
  <c r="BC27" i="8"/>
  <c r="BG27" i="8"/>
  <c r="BK27" i="8"/>
  <c r="BO27" i="8"/>
  <c r="BS27" i="8"/>
  <c r="BU27" i="8"/>
  <c r="BW27" i="8"/>
  <c r="BY27" i="8"/>
  <c r="G28" i="8"/>
  <c r="K28" i="8"/>
  <c r="O28" i="8"/>
  <c r="S28" i="8"/>
  <c r="W28" i="8"/>
  <c r="AA28" i="8"/>
  <c r="AE28" i="8"/>
  <c r="AI28" i="8"/>
  <c r="AM28" i="8"/>
  <c r="AQ28" i="8"/>
  <c r="AU28" i="8"/>
  <c r="AY28" i="8"/>
  <c r="BC28" i="8"/>
  <c r="BG28" i="8"/>
  <c r="BK28" i="8"/>
  <c r="BO28" i="8"/>
  <c r="BS28" i="8"/>
  <c r="BU28" i="8"/>
  <c r="BW28" i="8"/>
  <c r="BY28" i="8"/>
  <c r="G29" i="8"/>
  <c r="K29" i="8"/>
  <c r="O29" i="8"/>
  <c r="S29" i="8"/>
  <c r="W29" i="8"/>
  <c r="AA29" i="8"/>
  <c r="AE29" i="8"/>
  <c r="AI29" i="8"/>
  <c r="AM29" i="8"/>
  <c r="AQ29" i="8"/>
  <c r="AU29" i="8"/>
  <c r="AY29" i="8"/>
  <c r="BC29" i="8"/>
  <c r="BG29" i="8"/>
  <c r="BK29" i="8"/>
  <c r="BO29" i="8"/>
  <c r="BS29" i="8"/>
  <c r="BU29" i="8"/>
  <c r="BW29" i="8"/>
  <c r="BY29" i="8"/>
  <c r="G30" i="8"/>
  <c r="K30" i="8"/>
  <c r="O30" i="8"/>
  <c r="S30" i="8"/>
  <c r="W30" i="8"/>
  <c r="AA30" i="8"/>
  <c r="AI30" i="8"/>
  <c r="AM30" i="8"/>
  <c r="AQ30" i="8"/>
  <c r="AU30" i="8"/>
  <c r="AY30" i="8"/>
  <c r="BC30" i="8"/>
  <c r="BG30" i="8"/>
  <c r="BK30" i="8"/>
  <c r="BO30" i="8"/>
  <c r="BS30" i="8"/>
  <c r="BU30" i="8"/>
  <c r="BY30" i="8" s="1"/>
  <c r="BW30" i="8"/>
  <c r="BV26" i="7"/>
  <c r="BV30" i="7"/>
  <c r="BT30" i="7"/>
  <c r="BR30" i="7"/>
  <c r="BN30" i="7"/>
  <c r="BJ30" i="7"/>
  <c r="BF30" i="7"/>
  <c r="BB30" i="7"/>
  <c r="AX30" i="7"/>
  <c r="AT30" i="7"/>
  <c r="AP30" i="7"/>
  <c r="AL30" i="7"/>
  <c r="AH30" i="7"/>
  <c r="Z30" i="7"/>
  <c r="V30" i="7"/>
  <c r="R30" i="7"/>
  <c r="N30" i="7"/>
  <c r="N31" i="7" s="1"/>
  <c r="J30" i="7"/>
  <c r="F30" i="7"/>
  <c r="BV29" i="7"/>
  <c r="BT29" i="7"/>
  <c r="BR29" i="7"/>
  <c r="BN29" i="7"/>
  <c r="BJ29" i="7"/>
  <c r="BF29" i="7"/>
  <c r="BB29" i="7"/>
  <c r="AX29" i="7"/>
  <c r="AT29" i="7"/>
  <c r="AP29" i="7"/>
  <c r="AL29" i="7"/>
  <c r="AH29" i="7"/>
  <c r="AD29" i="7"/>
  <c r="Z29" i="7"/>
  <c r="V29" i="7"/>
  <c r="R29" i="7"/>
  <c r="N29" i="7"/>
  <c r="J29" i="7"/>
  <c r="F29" i="7"/>
  <c r="BV28" i="7"/>
  <c r="BT28" i="7"/>
  <c r="BR28" i="7"/>
  <c r="BN28" i="7"/>
  <c r="BJ28" i="7"/>
  <c r="BF28" i="7"/>
  <c r="BB28" i="7"/>
  <c r="AX28" i="7"/>
  <c r="AT28" i="7"/>
  <c r="AP28" i="7"/>
  <c r="AL28" i="7"/>
  <c r="AH28" i="7"/>
  <c r="AD28" i="7"/>
  <c r="Z28" i="7"/>
  <c r="V28" i="7"/>
  <c r="R28" i="7"/>
  <c r="N28" i="7"/>
  <c r="J28" i="7"/>
  <c r="F28" i="7"/>
  <c r="BV27" i="7"/>
  <c r="BT27" i="7"/>
  <c r="BR27" i="7"/>
  <c r="BN27" i="7"/>
  <c r="BJ27" i="7"/>
  <c r="BF27" i="7"/>
  <c r="BB27" i="7"/>
  <c r="AX27" i="7"/>
  <c r="AT27" i="7"/>
  <c r="AP27" i="7"/>
  <c r="AL27" i="7"/>
  <c r="AH27" i="7"/>
  <c r="AD27" i="7"/>
  <c r="Z27" i="7"/>
  <c r="V27" i="7"/>
  <c r="R27" i="7"/>
  <c r="N27" i="7"/>
  <c r="J27" i="7"/>
  <c r="F27" i="7"/>
  <c r="BT26" i="7"/>
  <c r="BR26" i="7"/>
  <c r="BN26" i="7"/>
  <c r="BJ26" i="7"/>
  <c r="BF26" i="7"/>
  <c r="BB26" i="7"/>
  <c r="AX26" i="7"/>
  <c r="AT26" i="7"/>
  <c r="AP26" i="7"/>
  <c r="AL26" i="7"/>
  <c r="AH26" i="7"/>
  <c r="AD26" i="7"/>
  <c r="Z26" i="7"/>
  <c r="V26" i="7"/>
  <c r="R26" i="7"/>
  <c r="N26" i="7"/>
  <c r="J26" i="7"/>
  <c r="F26" i="7"/>
  <c r="BV25" i="7"/>
  <c r="BT25" i="7"/>
  <c r="BX25" i="7" s="1"/>
  <c r="BR25" i="7"/>
  <c r="BN25" i="7"/>
  <c r="BJ25" i="7"/>
  <c r="BF25" i="7"/>
  <c r="BB25" i="7"/>
  <c r="AX25" i="7"/>
  <c r="AT25" i="7"/>
  <c r="AP25" i="7"/>
  <c r="AL25" i="7"/>
  <c r="AH25" i="7"/>
  <c r="AD25" i="7"/>
  <c r="Z25" i="7"/>
  <c r="V25" i="7"/>
  <c r="R25" i="7"/>
  <c r="N25" i="7"/>
  <c r="J25" i="7"/>
  <c r="F25" i="7"/>
  <c r="BV24" i="7"/>
  <c r="BT24" i="7"/>
  <c r="BR24" i="7"/>
  <c r="BN24" i="7"/>
  <c r="BJ24" i="7"/>
  <c r="BF24" i="7"/>
  <c r="BB24" i="7"/>
  <c r="AX24" i="7"/>
  <c r="AT24" i="7"/>
  <c r="AP24" i="7"/>
  <c r="AL24" i="7"/>
  <c r="AH24" i="7"/>
  <c r="AD24" i="7"/>
  <c r="Z24" i="7"/>
  <c r="V24" i="7"/>
  <c r="R24" i="7"/>
  <c r="N24" i="7"/>
  <c r="F24" i="7"/>
  <c r="BV23" i="7"/>
  <c r="BT23" i="7"/>
  <c r="BR23" i="7"/>
  <c r="BN23" i="7"/>
  <c r="BJ23" i="7"/>
  <c r="BF23" i="7"/>
  <c r="BB23" i="7"/>
  <c r="AX23" i="7"/>
  <c r="AT23" i="7"/>
  <c r="AP23" i="7"/>
  <c r="AL23" i="7"/>
  <c r="AH23" i="7"/>
  <c r="AD23" i="7"/>
  <c r="Z23" i="7"/>
  <c r="V23" i="7"/>
  <c r="R23" i="7"/>
  <c r="N23" i="7"/>
  <c r="J23" i="7"/>
  <c r="F23" i="7"/>
  <c r="BV22" i="7"/>
  <c r="BT22" i="7"/>
  <c r="BR22" i="7"/>
  <c r="BN22" i="7"/>
  <c r="BJ22" i="7"/>
  <c r="BF22" i="7"/>
  <c r="BB22" i="7"/>
  <c r="AX22" i="7"/>
  <c r="AT22" i="7"/>
  <c r="AP22" i="7"/>
  <c r="AL22" i="7"/>
  <c r="AH22" i="7"/>
  <c r="AD22" i="7"/>
  <c r="Z22" i="7"/>
  <c r="V22" i="7"/>
  <c r="R22" i="7"/>
  <c r="N22" i="7"/>
  <c r="J22" i="7"/>
  <c r="F22" i="7"/>
  <c r="BV21" i="7"/>
  <c r="BT21" i="7"/>
  <c r="BR21" i="7"/>
  <c r="BN21" i="7"/>
  <c r="BJ21" i="7"/>
  <c r="BF21" i="7"/>
  <c r="BB21" i="7"/>
  <c r="AX21" i="7"/>
  <c r="AT21" i="7"/>
  <c r="AP21" i="7"/>
  <c r="AL21" i="7"/>
  <c r="AH21" i="7"/>
  <c r="AD21" i="7"/>
  <c r="Z21" i="7"/>
  <c r="V21" i="7"/>
  <c r="R21" i="7"/>
  <c r="N21" i="7"/>
  <c r="J21" i="7"/>
  <c r="F21" i="7"/>
  <c r="BV20" i="7"/>
  <c r="BT20" i="7"/>
  <c r="BX20" i="7" s="1"/>
  <c r="BR20" i="7"/>
  <c r="BN20" i="7"/>
  <c r="BJ20" i="7"/>
  <c r="BF20" i="7"/>
  <c r="BB20" i="7"/>
  <c r="AX20" i="7"/>
  <c r="AT20" i="7"/>
  <c r="AP20" i="7"/>
  <c r="AL20" i="7"/>
  <c r="AH20" i="7"/>
  <c r="AD20" i="7"/>
  <c r="Z20" i="7"/>
  <c r="V20" i="7"/>
  <c r="R20" i="7"/>
  <c r="N20" i="7"/>
  <c r="J20" i="7"/>
  <c r="F20" i="7"/>
  <c r="BV19" i="7"/>
  <c r="BT19" i="7"/>
  <c r="BR19" i="7"/>
  <c r="BN19" i="7"/>
  <c r="BJ19" i="7"/>
  <c r="BF19" i="7"/>
  <c r="BB19" i="7"/>
  <c r="AX19" i="7"/>
  <c r="AT19" i="7"/>
  <c r="AP19" i="7"/>
  <c r="AL19" i="7"/>
  <c r="AH19" i="7"/>
  <c r="AD19" i="7"/>
  <c r="Z19" i="7"/>
  <c r="V19" i="7"/>
  <c r="R19" i="7"/>
  <c r="N19" i="7"/>
  <c r="J19" i="7"/>
  <c r="F19" i="7"/>
  <c r="BV18" i="7"/>
  <c r="BT18" i="7"/>
  <c r="BX18" i="7" s="1"/>
  <c r="BR18" i="7"/>
  <c r="BN18" i="7"/>
  <c r="BJ18" i="7"/>
  <c r="BF18" i="7"/>
  <c r="BB18" i="7"/>
  <c r="AX18" i="7"/>
  <c r="AT18" i="7"/>
  <c r="AP18" i="7"/>
  <c r="AL18" i="7"/>
  <c r="AL31" i="7" s="1"/>
  <c r="AH18" i="7"/>
  <c r="AD18" i="7"/>
  <c r="Z18" i="7"/>
  <c r="V18" i="7"/>
  <c r="R18" i="7"/>
  <c r="N18" i="7"/>
  <c r="J18" i="7"/>
  <c r="F18" i="7"/>
  <c r="BV17" i="7"/>
  <c r="BT17" i="7"/>
  <c r="BX17" i="7" s="1"/>
  <c r="BR17" i="7"/>
  <c r="BN17" i="7"/>
  <c r="BJ17" i="7"/>
  <c r="BF17" i="7"/>
  <c r="BB17" i="7"/>
  <c r="AX17" i="7"/>
  <c r="AT17" i="7"/>
  <c r="AP17" i="7"/>
  <c r="AL17" i="7"/>
  <c r="AH17" i="7"/>
  <c r="AH31" i="7" s="1"/>
  <c r="AD17" i="7"/>
  <c r="Z17" i="7"/>
  <c r="V17" i="7"/>
  <c r="R17" i="7"/>
  <c r="N17" i="7"/>
  <c r="J17" i="7"/>
  <c r="F17" i="7"/>
  <c r="BV16" i="7"/>
  <c r="BT16" i="7"/>
  <c r="BX16" i="7" s="1"/>
  <c r="BR16" i="7"/>
  <c r="BN16" i="7"/>
  <c r="BJ16" i="7"/>
  <c r="BF16" i="7"/>
  <c r="BB16" i="7"/>
  <c r="AX16" i="7"/>
  <c r="AT16" i="7"/>
  <c r="AP16" i="7"/>
  <c r="AL16" i="7"/>
  <c r="AH16" i="7"/>
  <c r="AD16" i="7"/>
  <c r="V16" i="7"/>
  <c r="R16" i="7"/>
  <c r="N16" i="7"/>
  <c r="J16" i="7"/>
  <c r="F16" i="7"/>
  <c r="BV15" i="7"/>
  <c r="BT15" i="7"/>
  <c r="BR15" i="7"/>
  <c r="BN15" i="7"/>
  <c r="BJ15" i="7"/>
  <c r="BF15" i="7"/>
  <c r="BB15" i="7"/>
  <c r="AX15" i="7"/>
  <c r="AT15" i="7"/>
  <c r="AP15" i="7"/>
  <c r="AL15" i="7"/>
  <c r="AH15" i="7"/>
  <c r="AD15" i="7"/>
  <c r="Z15" i="7"/>
  <c r="V15" i="7"/>
  <c r="R15" i="7"/>
  <c r="N15" i="7"/>
  <c r="J15" i="7"/>
  <c r="F15" i="7"/>
  <c r="BV14" i="7"/>
  <c r="BT14" i="7"/>
  <c r="BR14" i="7"/>
  <c r="BN14" i="7"/>
  <c r="BJ14" i="7"/>
  <c r="BF14" i="7"/>
  <c r="BB14" i="7"/>
  <c r="AX14" i="7"/>
  <c r="AT14" i="7"/>
  <c r="AP14" i="7"/>
  <c r="AL14" i="7"/>
  <c r="AH14" i="7"/>
  <c r="AD14" i="7"/>
  <c r="AD31" i="7" s="1"/>
  <c r="Z14" i="7"/>
  <c r="R14" i="7"/>
  <c r="F14" i="7"/>
  <c r="BV13" i="7"/>
  <c r="BT13" i="7"/>
  <c r="BR13" i="7"/>
  <c r="BN13" i="7"/>
  <c r="BJ13" i="7"/>
  <c r="BF13" i="7"/>
  <c r="BB13" i="7"/>
  <c r="AX13" i="7"/>
  <c r="AT13" i="7"/>
  <c r="AP13" i="7"/>
  <c r="AL13" i="7"/>
  <c r="AH13" i="7"/>
  <c r="AD13" i="7"/>
  <c r="Z13" i="7"/>
  <c r="V13" i="7"/>
  <c r="R13" i="7"/>
  <c r="N13" i="7"/>
  <c r="J13" i="7"/>
  <c r="J31" i="7" s="1"/>
  <c r="F13" i="7"/>
  <c r="BV12" i="7"/>
  <c r="BT12" i="7"/>
  <c r="BR12" i="7"/>
  <c r="BN12" i="7"/>
  <c r="BJ12" i="7"/>
  <c r="BF12" i="7"/>
  <c r="BB12" i="7"/>
  <c r="AX12" i="7"/>
  <c r="AT12" i="7"/>
  <c r="AP12" i="7"/>
  <c r="AL12" i="7"/>
  <c r="AH12" i="7"/>
  <c r="AD12" i="7"/>
  <c r="Z12" i="7"/>
  <c r="V12" i="7"/>
  <c r="R12" i="7"/>
  <c r="N12" i="7"/>
  <c r="J12" i="7"/>
  <c r="F12" i="7"/>
  <c r="BV11" i="7"/>
  <c r="BT11" i="7"/>
  <c r="BR11" i="7"/>
  <c r="BN11" i="7"/>
  <c r="BJ11" i="7"/>
  <c r="BF11" i="7"/>
  <c r="BB11" i="7"/>
  <c r="AX11" i="7"/>
  <c r="AT11" i="7"/>
  <c r="AP11" i="7"/>
  <c r="AL11" i="7"/>
  <c r="AH11" i="7"/>
  <c r="AD11" i="7"/>
  <c r="Z11" i="7"/>
  <c r="V11" i="7"/>
  <c r="R11" i="7"/>
  <c r="N11" i="7"/>
  <c r="J11" i="7"/>
  <c r="F11" i="7"/>
  <c r="BV10" i="7"/>
  <c r="BT10" i="7"/>
  <c r="BX10" i="7" s="1"/>
  <c r="BR10" i="7"/>
  <c r="BN10" i="7"/>
  <c r="BJ10" i="7"/>
  <c r="BF10" i="7"/>
  <c r="BB10" i="7"/>
  <c r="AX10" i="7"/>
  <c r="AT10" i="7"/>
  <c r="AP10" i="7"/>
  <c r="AL10" i="7"/>
  <c r="AH10" i="7"/>
  <c r="AD10" i="7"/>
  <c r="Z10" i="7"/>
  <c r="V10" i="7"/>
  <c r="R10" i="7"/>
  <c r="N10" i="7"/>
  <c r="J10" i="7"/>
  <c r="F10" i="7"/>
  <c r="BV9" i="7"/>
  <c r="BT9" i="7"/>
  <c r="BR9" i="7"/>
  <c r="BN9" i="7"/>
  <c r="BJ9" i="7"/>
  <c r="BF9" i="7"/>
  <c r="BB9" i="7"/>
  <c r="AX9" i="7"/>
  <c r="AT9" i="7"/>
  <c r="AP9" i="7"/>
  <c r="AL9" i="7"/>
  <c r="AH9" i="7"/>
  <c r="AD9" i="7"/>
  <c r="Z9" i="7"/>
  <c r="V9" i="7"/>
  <c r="R9" i="7"/>
  <c r="N9" i="7"/>
  <c r="J9" i="7"/>
  <c r="F9" i="7"/>
  <c r="BV8" i="7"/>
  <c r="BT8" i="7"/>
  <c r="BR8" i="7"/>
  <c r="BN8" i="7"/>
  <c r="BJ8" i="7"/>
  <c r="BF8" i="7"/>
  <c r="BB8" i="7"/>
  <c r="AX8" i="7"/>
  <c r="AT8" i="7"/>
  <c r="AP8" i="7"/>
  <c r="AL8" i="7"/>
  <c r="AH8" i="7"/>
  <c r="AD8" i="7"/>
  <c r="Z8" i="7"/>
  <c r="V8" i="7"/>
  <c r="V31" i="7" s="1"/>
  <c r="R8" i="7"/>
  <c r="N8" i="7"/>
  <c r="J8" i="7"/>
  <c r="F8" i="7"/>
  <c r="BV7" i="7"/>
  <c r="BT7" i="7"/>
  <c r="BR7" i="7"/>
  <c r="BN7" i="7"/>
  <c r="BJ7" i="7"/>
  <c r="BF7" i="7"/>
  <c r="BF31" i="7" s="1"/>
  <c r="BB7" i="7"/>
  <c r="AX7" i="7"/>
  <c r="AT7" i="7"/>
  <c r="AP7" i="7"/>
  <c r="AL7" i="7"/>
  <c r="AH7" i="7"/>
  <c r="AD7" i="7"/>
  <c r="Z7" i="7"/>
  <c r="V7" i="7"/>
  <c r="R7" i="7"/>
  <c r="N7" i="7"/>
  <c r="J7" i="7"/>
  <c r="F7" i="7"/>
  <c r="BV6" i="7"/>
  <c r="BT6" i="7"/>
  <c r="BR6" i="7"/>
  <c r="BN6" i="7"/>
  <c r="BJ6" i="7"/>
  <c r="BF6" i="7"/>
  <c r="BB6" i="7"/>
  <c r="AX6" i="7"/>
  <c r="AT6" i="7"/>
  <c r="AP6" i="7"/>
  <c r="AL6" i="7"/>
  <c r="AH6" i="7"/>
  <c r="AD6" i="7"/>
  <c r="Z6" i="7"/>
  <c r="V6" i="7"/>
  <c r="R6" i="7"/>
  <c r="N6" i="7"/>
  <c r="J6" i="7"/>
  <c r="F6" i="7"/>
  <c r="BV5" i="7"/>
  <c r="BT5" i="7"/>
  <c r="BR5" i="7"/>
  <c r="BN5" i="7"/>
  <c r="BJ5" i="7"/>
  <c r="BF5" i="7"/>
  <c r="BB5" i="7"/>
  <c r="AX5" i="7"/>
  <c r="AT5" i="7"/>
  <c r="AP5" i="7"/>
  <c r="AL5" i="7"/>
  <c r="AH5" i="7"/>
  <c r="AD5" i="7"/>
  <c r="Z5" i="7"/>
  <c r="V5" i="7"/>
  <c r="R5" i="7"/>
  <c r="N5" i="7"/>
  <c r="J5" i="7"/>
  <c r="F5" i="7"/>
  <c r="BV4" i="7"/>
  <c r="BT4" i="7"/>
  <c r="BR4" i="7"/>
  <c r="BN4" i="7"/>
  <c r="BJ4" i="7"/>
  <c r="BF4" i="7"/>
  <c r="BB4" i="7"/>
  <c r="AX4" i="7"/>
  <c r="AT4" i="7"/>
  <c r="AP4" i="7"/>
  <c r="AL4" i="7"/>
  <c r="AH4" i="7"/>
  <c r="AD4" i="7"/>
  <c r="Z4" i="7"/>
  <c r="V4" i="7"/>
  <c r="R4" i="7"/>
  <c r="N4" i="7"/>
  <c r="J4" i="7"/>
  <c r="F4" i="7"/>
  <c r="BV3" i="7"/>
  <c r="BT3" i="7"/>
  <c r="BX3" i="7" s="1"/>
  <c r="BR3" i="7"/>
  <c r="BN3" i="7"/>
  <c r="BJ3" i="7"/>
  <c r="BF3" i="7"/>
  <c r="BB3" i="7"/>
  <c r="AX3" i="7"/>
  <c r="AX31" i="7" s="1"/>
  <c r="AT3" i="7"/>
  <c r="AP3" i="7"/>
  <c r="AP31" i="7" s="1"/>
  <c r="AL3" i="7"/>
  <c r="AH3" i="7"/>
  <c r="AD3" i="7"/>
  <c r="Z3" i="7"/>
  <c r="Z31" i="7" s="1"/>
  <c r="V3" i="7"/>
  <c r="R3" i="7"/>
  <c r="R31" i="7" s="1"/>
  <c r="N3" i="7"/>
  <c r="J3" i="7"/>
  <c r="F3" i="7"/>
  <c r="R4" i="14" l="1"/>
  <c r="Q4" i="14"/>
  <c r="P3" i="14"/>
  <c r="L4" i="14"/>
  <c r="C5" i="14"/>
  <c r="P5" i="14"/>
  <c r="C7" i="14"/>
  <c r="J3" i="14"/>
  <c r="R3" i="14"/>
  <c r="Q2" i="14"/>
  <c r="M3" i="14"/>
  <c r="O2" i="14"/>
  <c r="J5" i="14"/>
  <c r="S5" i="14"/>
  <c r="L5" i="14"/>
  <c r="O3" i="14"/>
  <c r="D5" i="14"/>
  <c r="P4" i="14"/>
  <c r="O5" i="14"/>
  <c r="I3" i="14"/>
  <c r="L3" i="14"/>
  <c r="G2" i="14"/>
  <c r="S3" i="14"/>
  <c r="F3" i="14"/>
  <c r="K5" i="14"/>
  <c r="R5" i="14"/>
  <c r="E4" i="14"/>
  <c r="P2" i="14"/>
  <c r="E3" i="14"/>
  <c r="Q3" i="14"/>
  <c r="I5" i="14"/>
  <c r="F5" i="14"/>
  <c r="K2" i="14"/>
  <c r="J2" i="14"/>
  <c r="M2" i="14"/>
  <c r="H3" i="14"/>
  <c r="K3" i="14"/>
  <c r="L2" i="14"/>
  <c r="D2" i="14"/>
  <c r="D3" i="14"/>
  <c r="E2" i="14"/>
  <c r="F2" i="14"/>
  <c r="G3" i="14"/>
  <c r="O6" i="14"/>
  <c r="H2" i="14"/>
  <c r="R2" i="14"/>
  <c r="I2" i="14"/>
  <c r="C6" i="14"/>
  <c r="S4" i="14"/>
  <c r="H5" i="14"/>
  <c r="I4" i="14"/>
  <c r="Q5" i="14"/>
  <c r="G5" i="14"/>
  <c r="R7" i="14"/>
  <c r="H4" i="14"/>
  <c r="M5" i="14"/>
  <c r="J4" i="14"/>
  <c r="E5" i="14"/>
  <c r="G4" i="14"/>
  <c r="M4" i="14"/>
  <c r="D4" i="14"/>
  <c r="O4" i="14"/>
  <c r="E7" i="14"/>
  <c r="F4" i="14"/>
  <c r="K4" i="14"/>
  <c r="C4" i="14"/>
  <c r="E6" i="14"/>
  <c r="W31" i="8"/>
  <c r="S31" i="8"/>
  <c r="BC31" i="8"/>
  <c r="BY16" i="8"/>
  <c r="CE9" i="8" s="1"/>
  <c r="BK31" i="8"/>
  <c r="CE7" i="8"/>
  <c r="BY22" i="8"/>
  <c r="CE12" i="8" s="1"/>
  <c r="CE16" i="8"/>
  <c r="BS31" i="8"/>
  <c r="BV3" i="8"/>
  <c r="O31" i="10"/>
  <c r="S31" i="10"/>
  <c r="BY17" i="10"/>
  <c r="BY14" i="10"/>
  <c r="W31" i="10"/>
  <c r="AY31" i="10"/>
  <c r="AQ31" i="8"/>
  <c r="O31" i="8"/>
  <c r="AA31" i="10"/>
  <c r="BB31" i="7"/>
  <c r="BG31" i="8"/>
  <c r="G31" i="10"/>
  <c r="AI31" i="10"/>
  <c r="BV28" i="10"/>
  <c r="BX28" i="10" s="1"/>
  <c r="AU31" i="10"/>
  <c r="AQ31" i="10"/>
  <c r="BO31" i="10"/>
  <c r="BJ31" i="7"/>
  <c r="BR31" i="7"/>
  <c r="AM31" i="8"/>
  <c r="AI31" i="8"/>
  <c r="BK31" i="10"/>
  <c r="CE3" i="7"/>
  <c r="BV8" i="10"/>
  <c r="BX8" i="10" s="1"/>
  <c r="BV5" i="10"/>
  <c r="BX5" i="10" s="1"/>
  <c r="BV21" i="10"/>
  <c r="BX21" i="10" s="1"/>
  <c r="CD12" i="10" s="1"/>
  <c r="BV6" i="10"/>
  <c r="BX6" i="10" s="1"/>
  <c r="BY21" i="10"/>
  <c r="CE12" i="10" s="1"/>
  <c r="AT31" i="7"/>
  <c r="AY31" i="8"/>
  <c r="AM31" i="10"/>
  <c r="BV27" i="10"/>
  <c r="BX27" i="10" s="1"/>
  <c r="CD15" i="10" s="1"/>
  <c r="BV25" i="10"/>
  <c r="BX25" i="10" s="1"/>
  <c r="BN31" i="7"/>
  <c r="BY10" i="10"/>
  <c r="BZ10" i="10" s="1"/>
  <c r="BV7" i="10"/>
  <c r="BX7" i="10" s="1"/>
  <c r="BY25" i="10"/>
  <c r="AE31" i="8"/>
  <c r="F31" i="7"/>
  <c r="BX15" i="7"/>
  <c r="CE9" i="7" s="1"/>
  <c r="K31" i="8"/>
  <c r="BV18" i="10"/>
  <c r="BX18" i="10" s="1"/>
  <c r="BV10" i="10"/>
  <c r="BX10" i="10" s="1"/>
  <c r="BV26" i="10"/>
  <c r="BX26" i="10" s="1"/>
  <c r="BV9" i="10"/>
  <c r="BY28" i="10"/>
  <c r="BG31" i="10"/>
  <c r="BY6" i="10"/>
  <c r="CE4" i="10" s="1"/>
  <c r="BV17" i="10"/>
  <c r="BV13" i="10"/>
  <c r="BX13" i="10" s="1"/>
  <c r="CD8" i="10" s="1"/>
  <c r="BY18" i="10"/>
  <c r="BZ18" i="10" s="1"/>
  <c r="BV16" i="10"/>
  <c r="BX16" i="10" s="1"/>
  <c r="BX12" i="7"/>
  <c r="BV28" i="8"/>
  <c r="BX28" i="8" s="1"/>
  <c r="BZ28" i="8" s="1"/>
  <c r="BV4" i="8"/>
  <c r="BX4" i="8" s="1"/>
  <c r="BY15" i="10"/>
  <c r="BV29" i="10"/>
  <c r="BX29" i="10" s="1"/>
  <c r="BV30" i="10"/>
  <c r="BY27" i="10"/>
  <c r="BV24" i="10"/>
  <c r="BX24" i="10" s="1"/>
  <c r="BZ24" i="10" s="1"/>
  <c r="BV23" i="10"/>
  <c r="BX23" i="10" s="1"/>
  <c r="BY23" i="10"/>
  <c r="CE13" i="10" s="1"/>
  <c r="BV22" i="10"/>
  <c r="BX22" i="10" s="1"/>
  <c r="BZ22" i="10" s="1"/>
  <c r="BY20" i="10"/>
  <c r="BV20" i="10"/>
  <c r="BX20" i="10" s="1"/>
  <c r="BZ20" i="10" s="1"/>
  <c r="BV19" i="10"/>
  <c r="BX19" i="10" s="1"/>
  <c r="CD11" i="10" s="1"/>
  <c r="BV15" i="10"/>
  <c r="BX15" i="10" s="1"/>
  <c r="BY16" i="10"/>
  <c r="BY13" i="10"/>
  <c r="BV11" i="10"/>
  <c r="BX11" i="10" s="1"/>
  <c r="CD7" i="10" s="1"/>
  <c r="BV12" i="10"/>
  <c r="BY12" i="10"/>
  <c r="BV4" i="10"/>
  <c r="BX4" i="10" s="1"/>
  <c r="BZ14" i="10"/>
  <c r="BX12" i="10"/>
  <c r="BX30" i="10"/>
  <c r="BY7" i="10"/>
  <c r="BY8" i="10"/>
  <c r="BY30" i="10"/>
  <c r="CE16" i="10" s="1"/>
  <c r="BV3" i="10"/>
  <c r="BX9" i="10"/>
  <c r="CD6" i="10" s="1"/>
  <c r="BX17" i="10"/>
  <c r="BY4" i="10"/>
  <c r="BY11" i="10"/>
  <c r="BY19" i="10"/>
  <c r="CE11" i="10" s="1"/>
  <c r="BY26" i="10"/>
  <c r="BY6" i="8"/>
  <c r="BV10" i="8"/>
  <c r="BX10" i="8" s="1"/>
  <c r="BY7" i="8"/>
  <c r="CE5" i="8" s="1"/>
  <c r="BV18" i="8"/>
  <c r="BX18" i="8" s="1"/>
  <c r="BV25" i="8"/>
  <c r="BY4" i="8"/>
  <c r="BY5" i="8"/>
  <c r="BV6" i="8"/>
  <c r="BX6" i="8" s="1"/>
  <c r="BV7" i="8"/>
  <c r="BX7" i="8" s="1"/>
  <c r="BX25" i="8"/>
  <c r="BV27" i="8"/>
  <c r="BX27" i="8" s="1"/>
  <c r="BV16" i="8"/>
  <c r="BX16" i="8" s="1"/>
  <c r="BZ16" i="8" s="1"/>
  <c r="BV11" i="8"/>
  <c r="BX11" i="8" s="1"/>
  <c r="BV5" i="8"/>
  <c r="BX5" i="8" s="1"/>
  <c r="BV14" i="8"/>
  <c r="BX14" i="8" s="1"/>
  <c r="BZ14" i="8" s="1"/>
  <c r="BV8" i="8"/>
  <c r="BX8" i="8" s="1"/>
  <c r="BZ8" i="8" s="1"/>
  <c r="BV9" i="8"/>
  <c r="BX9" i="8" s="1"/>
  <c r="BV29" i="8"/>
  <c r="BX29" i="8" s="1"/>
  <c r="BV30" i="8"/>
  <c r="BX30" i="8" s="1"/>
  <c r="BZ30" i="8" s="1"/>
  <c r="BV26" i="8"/>
  <c r="BX26" i="8" s="1"/>
  <c r="BZ26" i="8" s="1"/>
  <c r="BY24" i="8"/>
  <c r="BV24" i="8"/>
  <c r="BX24" i="8"/>
  <c r="BZ24" i="8" s="1"/>
  <c r="BY23" i="8"/>
  <c r="BV23" i="8"/>
  <c r="BX23" i="8" s="1"/>
  <c r="BV21" i="8"/>
  <c r="BX21" i="8" s="1"/>
  <c r="BV22" i="8"/>
  <c r="BX22" i="8" s="1"/>
  <c r="BY20" i="8"/>
  <c r="CE11" i="8" s="1"/>
  <c r="BV20" i="8"/>
  <c r="BX20" i="8" s="1"/>
  <c r="BV19" i="8"/>
  <c r="BX19" i="8"/>
  <c r="BV17" i="8"/>
  <c r="BX17" i="8" s="1"/>
  <c r="BV15" i="8"/>
  <c r="BX15" i="8" s="1"/>
  <c r="BZ15" i="8"/>
  <c r="BV13" i="8"/>
  <c r="BX13" i="8" s="1"/>
  <c r="BV12" i="8"/>
  <c r="BX12" i="8" s="1"/>
  <c r="BZ12" i="8" s="1"/>
  <c r="BX3" i="8"/>
  <c r="BY25" i="8"/>
  <c r="CE14" i="8" s="1"/>
  <c r="BY18" i="8"/>
  <c r="CE10" i="8" s="1"/>
  <c r="BY10" i="8"/>
  <c r="CE6" i="8" s="1"/>
  <c r="BY3" i="8"/>
  <c r="BU21" i="7"/>
  <c r="BW21" i="7" s="1"/>
  <c r="CD12" i="7" s="1"/>
  <c r="BX30" i="7"/>
  <c r="BX24" i="7"/>
  <c r="BU17" i="7"/>
  <c r="BW17" i="7" s="1"/>
  <c r="BU13" i="7"/>
  <c r="BW13" i="7" s="1"/>
  <c r="BX27" i="7"/>
  <c r="BX21" i="7"/>
  <c r="BU28" i="7"/>
  <c r="BW28" i="7" s="1"/>
  <c r="BX28" i="7"/>
  <c r="BX23" i="7"/>
  <c r="CE13" i="7" s="1"/>
  <c r="BU14" i="7"/>
  <c r="BW14" i="7" s="1"/>
  <c r="BX8" i="7"/>
  <c r="BX6" i="7"/>
  <c r="BX5" i="7"/>
  <c r="CE4" i="7" s="1"/>
  <c r="BU12" i="7"/>
  <c r="BW12" i="7" s="1"/>
  <c r="BX13" i="7"/>
  <c r="BU6" i="7"/>
  <c r="BW6" i="7" s="1"/>
  <c r="BU7" i="7"/>
  <c r="BW7" i="7" s="1"/>
  <c r="BU27" i="7"/>
  <c r="BW27" i="7" s="1"/>
  <c r="BU29" i="7"/>
  <c r="BU26" i="7"/>
  <c r="BW26" i="7" s="1"/>
  <c r="BW29" i="7"/>
  <c r="CD16" i="7" s="1"/>
  <c r="BU5" i="7"/>
  <c r="BW5" i="7" s="1"/>
  <c r="CD4" i="7" s="1"/>
  <c r="BU25" i="7"/>
  <c r="BW25" i="7" s="1"/>
  <c r="BU11" i="7"/>
  <c r="BW11" i="7" s="1"/>
  <c r="CD7" i="7" s="1"/>
  <c r="BU9" i="7"/>
  <c r="BW9" i="7" s="1"/>
  <c r="BU20" i="7"/>
  <c r="BW20" i="7" s="1"/>
  <c r="BY20" i="7" s="1"/>
  <c r="BU15" i="7"/>
  <c r="BW15" i="7" s="1"/>
  <c r="BU10" i="7"/>
  <c r="BW10" i="7" s="1"/>
  <c r="BY10" i="7" s="1"/>
  <c r="BU8" i="7"/>
  <c r="BW8" i="7" s="1"/>
  <c r="BY8" i="7" s="1"/>
  <c r="BU24" i="7"/>
  <c r="BW24" i="7" s="1"/>
  <c r="BU23" i="7"/>
  <c r="BW23" i="7" s="1"/>
  <c r="BU22" i="7"/>
  <c r="BW22" i="7" s="1"/>
  <c r="BU19" i="7"/>
  <c r="BW19" i="7" s="1"/>
  <c r="BU16" i="7"/>
  <c r="BW16" i="7" s="1"/>
  <c r="BY16" i="7" s="1"/>
  <c r="BX14" i="7"/>
  <c r="BU30" i="7"/>
  <c r="BW30" i="7" s="1"/>
  <c r="BU4" i="7"/>
  <c r="BW4" i="7" s="1"/>
  <c r="BU18" i="7"/>
  <c r="BW18" i="7" s="1"/>
  <c r="BY18" i="7" s="1"/>
  <c r="BX7" i="7"/>
  <c r="CE5" i="7" s="1"/>
  <c r="BX22" i="7"/>
  <c r="BX29" i="7"/>
  <c r="CE16" i="7" s="1"/>
  <c r="BX11" i="7"/>
  <c r="CE7" i="7" s="1"/>
  <c r="BX19" i="7"/>
  <c r="CE11" i="7" s="1"/>
  <c r="BX26" i="7"/>
  <c r="CE14" i="7" s="1"/>
  <c r="BX9" i="7"/>
  <c r="CE6" i="7" s="1"/>
  <c r="BX4" i="7"/>
  <c r="BU3" i="7"/>
  <c r="BV30" i="6"/>
  <c r="BT30" i="6"/>
  <c r="BR30" i="6"/>
  <c r="BN30" i="6"/>
  <c r="BJ30" i="6"/>
  <c r="BF30" i="6"/>
  <c r="BB30" i="6"/>
  <c r="AX30" i="6"/>
  <c r="AT30" i="6"/>
  <c r="AP30" i="6"/>
  <c r="AL30" i="6"/>
  <c r="AH30" i="6"/>
  <c r="Z30" i="6"/>
  <c r="V30" i="6"/>
  <c r="R30" i="6"/>
  <c r="N30" i="6"/>
  <c r="J30" i="6"/>
  <c r="F30" i="6"/>
  <c r="BV29" i="6"/>
  <c r="BT29" i="6"/>
  <c r="BX29" i="6" s="1"/>
  <c r="BR29" i="6"/>
  <c r="BN29" i="6"/>
  <c r="BJ29" i="6"/>
  <c r="BF29" i="6"/>
  <c r="BB29" i="6"/>
  <c r="AX29" i="6"/>
  <c r="AT29" i="6"/>
  <c r="AP29" i="6"/>
  <c r="AL29" i="6"/>
  <c r="AH29" i="6"/>
  <c r="AD29" i="6"/>
  <c r="Z29" i="6"/>
  <c r="V29" i="6"/>
  <c r="R29" i="6"/>
  <c r="N29" i="6"/>
  <c r="J29" i="6"/>
  <c r="F29" i="6"/>
  <c r="BV28" i="6"/>
  <c r="BT28" i="6"/>
  <c r="BR28" i="6"/>
  <c r="BN28" i="6"/>
  <c r="BJ28" i="6"/>
  <c r="BF28" i="6"/>
  <c r="BB28" i="6"/>
  <c r="AX28" i="6"/>
  <c r="AT28" i="6"/>
  <c r="AP28" i="6"/>
  <c r="AL28" i="6"/>
  <c r="AH28" i="6"/>
  <c r="AD28" i="6"/>
  <c r="Z28" i="6"/>
  <c r="V28" i="6"/>
  <c r="R28" i="6"/>
  <c r="N28" i="6"/>
  <c r="J28" i="6"/>
  <c r="F28" i="6"/>
  <c r="BV27" i="6"/>
  <c r="BT27" i="6"/>
  <c r="BX27" i="6" s="1"/>
  <c r="BR27" i="6"/>
  <c r="BN27" i="6"/>
  <c r="BJ27" i="6"/>
  <c r="BF27" i="6"/>
  <c r="BB27" i="6"/>
  <c r="AX27" i="6"/>
  <c r="AT27" i="6"/>
  <c r="AP27" i="6"/>
  <c r="AL27" i="6"/>
  <c r="AH27" i="6"/>
  <c r="AD27" i="6"/>
  <c r="Z27" i="6"/>
  <c r="V27" i="6"/>
  <c r="R27" i="6"/>
  <c r="N27" i="6"/>
  <c r="J27" i="6"/>
  <c r="F27" i="6"/>
  <c r="BV26" i="6"/>
  <c r="BT26" i="6"/>
  <c r="BR26" i="6"/>
  <c r="BN26" i="6"/>
  <c r="BJ26" i="6"/>
  <c r="BF26" i="6"/>
  <c r="BB26" i="6"/>
  <c r="AX26" i="6"/>
  <c r="AT26" i="6"/>
  <c r="AP26" i="6"/>
  <c r="AL26" i="6"/>
  <c r="AH26" i="6"/>
  <c r="AD26" i="6"/>
  <c r="Z26" i="6"/>
  <c r="V26" i="6"/>
  <c r="R26" i="6"/>
  <c r="N26" i="6"/>
  <c r="J26" i="6"/>
  <c r="F26" i="6"/>
  <c r="BV25" i="6"/>
  <c r="BT25" i="6"/>
  <c r="BX25" i="6" s="1"/>
  <c r="BR25" i="6"/>
  <c r="BN25" i="6"/>
  <c r="BJ25" i="6"/>
  <c r="BF25" i="6"/>
  <c r="BB25" i="6"/>
  <c r="AX25" i="6"/>
  <c r="AT25" i="6"/>
  <c r="AP25" i="6"/>
  <c r="AL25" i="6"/>
  <c r="AH25" i="6"/>
  <c r="AD25" i="6"/>
  <c r="Z25" i="6"/>
  <c r="V25" i="6"/>
  <c r="R25" i="6"/>
  <c r="N25" i="6"/>
  <c r="J25" i="6"/>
  <c r="F25" i="6"/>
  <c r="BV24" i="6"/>
  <c r="BT24" i="6"/>
  <c r="BR24" i="6"/>
  <c r="BN24" i="6"/>
  <c r="BJ24" i="6"/>
  <c r="BF24" i="6"/>
  <c r="BB24" i="6"/>
  <c r="AX24" i="6"/>
  <c r="AT24" i="6"/>
  <c r="AP24" i="6"/>
  <c r="AL24" i="6"/>
  <c r="AH24" i="6"/>
  <c r="AD24" i="6"/>
  <c r="Z24" i="6"/>
  <c r="V24" i="6"/>
  <c r="R24" i="6"/>
  <c r="N24" i="6"/>
  <c r="F24" i="6"/>
  <c r="BV23" i="6"/>
  <c r="BT23" i="6"/>
  <c r="BR23" i="6"/>
  <c r="BN23" i="6"/>
  <c r="BJ23" i="6"/>
  <c r="BF23" i="6"/>
  <c r="BB23" i="6"/>
  <c r="AX23" i="6"/>
  <c r="AT23" i="6"/>
  <c r="AP23" i="6"/>
  <c r="AL23" i="6"/>
  <c r="AH23" i="6"/>
  <c r="AD23" i="6"/>
  <c r="Z23" i="6"/>
  <c r="V23" i="6"/>
  <c r="R23" i="6"/>
  <c r="N23" i="6"/>
  <c r="J23" i="6"/>
  <c r="F23" i="6"/>
  <c r="BV22" i="6"/>
  <c r="BT22" i="6"/>
  <c r="BR22" i="6"/>
  <c r="BN22" i="6"/>
  <c r="BJ22" i="6"/>
  <c r="BF22" i="6"/>
  <c r="BB22" i="6"/>
  <c r="AX22" i="6"/>
  <c r="AT22" i="6"/>
  <c r="AP22" i="6"/>
  <c r="AL22" i="6"/>
  <c r="AH22" i="6"/>
  <c r="AD22" i="6"/>
  <c r="Z22" i="6"/>
  <c r="V22" i="6"/>
  <c r="R22" i="6"/>
  <c r="N22" i="6"/>
  <c r="J22" i="6"/>
  <c r="F22" i="6"/>
  <c r="BV21" i="6"/>
  <c r="BT21" i="6"/>
  <c r="BX21" i="6" s="1"/>
  <c r="BR21" i="6"/>
  <c r="BN21" i="6"/>
  <c r="BJ21" i="6"/>
  <c r="BF21" i="6"/>
  <c r="BB21" i="6"/>
  <c r="AX21" i="6"/>
  <c r="AT21" i="6"/>
  <c r="AP21" i="6"/>
  <c r="AL21" i="6"/>
  <c r="AH21" i="6"/>
  <c r="AD21" i="6"/>
  <c r="Z21" i="6"/>
  <c r="V21" i="6"/>
  <c r="R21" i="6"/>
  <c r="N21" i="6"/>
  <c r="J21" i="6"/>
  <c r="F21" i="6"/>
  <c r="BV20" i="6"/>
  <c r="BT20" i="6"/>
  <c r="BX20" i="6" s="1"/>
  <c r="BR20" i="6"/>
  <c r="BN20" i="6"/>
  <c r="BJ20" i="6"/>
  <c r="BF20" i="6"/>
  <c r="BB20" i="6"/>
  <c r="AX20" i="6"/>
  <c r="AT20" i="6"/>
  <c r="AP20" i="6"/>
  <c r="AL20" i="6"/>
  <c r="AH20" i="6"/>
  <c r="AD20" i="6"/>
  <c r="Z20" i="6"/>
  <c r="V20" i="6"/>
  <c r="R20" i="6"/>
  <c r="N20" i="6"/>
  <c r="J20" i="6"/>
  <c r="F20" i="6"/>
  <c r="BV19" i="6"/>
  <c r="BT19" i="6"/>
  <c r="BR19" i="6"/>
  <c r="BN19" i="6"/>
  <c r="BJ19" i="6"/>
  <c r="BF19" i="6"/>
  <c r="BB19" i="6"/>
  <c r="AX19" i="6"/>
  <c r="AT19" i="6"/>
  <c r="AP19" i="6"/>
  <c r="AL19" i="6"/>
  <c r="AH19" i="6"/>
  <c r="AD19" i="6"/>
  <c r="Z19" i="6"/>
  <c r="V19" i="6"/>
  <c r="R19" i="6"/>
  <c r="N19" i="6"/>
  <c r="J19" i="6"/>
  <c r="F19" i="6"/>
  <c r="BV18" i="6"/>
  <c r="BT18" i="6"/>
  <c r="BX18" i="6" s="1"/>
  <c r="BR18" i="6"/>
  <c r="BN18" i="6"/>
  <c r="BJ18" i="6"/>
  <c r="BF18" i="6"/>
  <c r="BB18" i="6"/>
  <c r="AX18" i="6"/>
  <c r="AT18" i="6"/>
  <c r="AP18" i="6"/>
  <c r="AL18" i="6"/>
  <c r="AH18" i="6"/>
  <c r="AD18" i="6"/>
  <c r="Z18" i="6"/>
  <c r="V18" i="6"/>
  <c r="R18" i="6"/>
  <c r="N18" i="6"/>
  <c r="J18" i="6"/>
  <c r="F18" i="6"/>
  <c r="BV17" i="6"/>
  <c r="BT17" i="6"/>
  <c r="BX17" i="6" s="1"/>
  <c r="BR17" i="6"/>
  <c r="BN17" i="6"/>
  <c r="BJ17" i="6"/>
  <c r="BF17" i="6"/>
  <c r="BB17" i="6"/>
  <c r="AX17" i="6"/>
  <c r="AT17" i="6"/>
  <c r="AP17" i="6"/>
  <c r="AL17" i="6"/>
  <c r="AH17" i="6"/>
  <c r="AD17" i="6"/>
  <c r="Z17" i="6"/>
  <c r="V17" i="6"/>
  <c r="R17" i="6"/>
  <c r="N17" i="6"/>
  <c r="J17" i="6"/>
  <c r="F17" i="6"/>
  <c r="BV16" i="6"/>
  <c r="BT16" i="6"/>
  <c r="BR16" i="6"/>
  <c r="BN16" i="6"/>
  <c r="BJ16" i="6"/>
  <c r="BF16" i="6"/>
  <c r="BB16" i="6"/>
  <c r="AX16" i="6"/>
  <c r="AT16" i="6"/>
  <c r="AP16" i="6"/>
  <c r="AL16" i="6"/>
  <c r="AH16" i="6"/>
  <c r="AD16" i="6"/>
  <c r="V16" i="6"/>
  <c r="R16" i="6"/>
  <c r="N16" i="6"/>
  <c r="J16" i="6"/>
  <c r="F16" i="6"/>
  <c r="BV15" i="6"/>
  <c r="BT15" i="6"/>
  <c r="BX15" i="6" s="1"/>
  <c r="BR15" i="6"/>
  <c r="BN15" i="6"/>
  <c r="BJ15" i="6"/>
  <c r="BF15" i="6"/>
  <c r="BB15" i="6"/>
  <c r="AX15" i="6"/>
  <c r="AT15" i="6"/>
  <c r="AP15" i="6"/>
  <c r="AL15" i="6"/>
  <c r="AH15" i="6"/>
  <c r="AD15" i="6"/>
  <c r="Z15" i="6"/>
  <c r="V15" i="6"/>
  <c r="R15" i="6"/>
  <c r="N15" i="6"/>
  <c r="J15" i="6"/>
  <c r="F15" i="6"/>
  <c r="BV14" i="6"/>
  <c r="BT14" i="6"/>
  <c r="BR14" i="6"/>
  <c r="BN14" i="6"/>
  <c r="BJ14" i="6"/>
  <c r="BF14" i="6"/>
  <c r="BB14" i="6"/>
  <c r="AX14" i="6"/>
  <c r="AT14" i="6"/>
  <c r="AP14" i="6"/>
  <c r="AL14" i="6"/>
  <c r="AH14" i="6"/>
  <c r="AD14" i="6"/>
  <c r="Z14" i="6"/>
  <c r="R14" i="6"/>
  <c r="F14" i="6"/>
  <c r="BV13" i="6"/>
  <c r="BT13" i="6"/>
  <c r="BX13" i="6" s="1"/>
  <c r="BR13" i="6"/>
  <c r="BN13" i="6"/>
  <c r="BJ13" i="6"/>
  <c r="BF13" i="6"/>
  <c r="BB13" i="6"/>
  <c r="AX13" i="6"/>
  <c r="AT13" i="6"/>
  <c r="AP13" i="6"/>
  <c r="AL13" i="6"/>
  <c r="AH13" i="6"/>
  <c r="AD13" i="6"/>
  <c r="Z13" i="6"/>
  <c r="V13" i="6"/>
  <c r="R13" i="6"/>
  <c r="N13" i="6"/>
  <c r="J13" i="6"/>
  <c r="F13" i="6"/>
  <c r="BV12" i="6"/>
  <c r="BT12" i="6"/>
  <c r="BX12" i="6" s="1"/>
  <c r="BR12" i="6"/>
  <c r="BN12" i="6"/>
  <c r="BJ12" i="6"/>
  <c r="BF12" i="6"/>
  <c r="BB12" i="6"/>
  <c r="AX12" i="6"/>
  <c r="AT12" i="6"/>
  <c r="AP12" i="6"/>
  <c r="AL12" i="6"/>
  <c r="AH12" i="6"/>
  <c r="AD12" i="6"/>
  <c r="Z12" i="6"/>
  <c r="V12" i="6"/>
  <c r="R12" i="6"/>
  <c r="N12" i="6"/>
  <c r="J12" i="6"/>
  <c r="F12" i="6"/>
  <c r="BV11" i="6"/>
  <c r="BT11" i="6"/>
  <c r="BR11" i="6"/>
  <c r="BN11" i="6"/>
  <c r="BJ11" i="6"/>
  <c r="BF11" i="6"/>
  <c r="BB11" i="6"/>
  <c r="AX11" i="6"/>
  <c r="AT11" i="6"/>
  <c r="AP11" i="6"/>
  <c r="AL11" i="6"/>
  <c r="AH11" i="6"/>
  <c r="AD11" i="6"/>
  <c r="Z11" i="6"/>
  <c r="V11" i="6"/>
  <c r="R11" i="6"/>
  <c r="N11" i="6"/>
  <c r="J11" i="6"/>
  <c r="F11" i="6"/>
  <c r="BV10" i="6"/>
  <c r="BT10" i="6"/>
  <c r="BX10" i="6" s="1"/>
  <c r="BR10" i="6"/>
  <c r="BN10" i="6"/>
  <c r="BJ10" i="6"/>
  <c r="BF10" i="6"/>
  <c r="BB10" i="6"/>
  <c r="AX10" i="6"/>
  <c r="AT10" i="6"/>
  <c r="AP10" i="6"/>
  <c r="AL10" i="6"/>
  <c r="AH10" i="6"/>
  <c r="AD10" i="6"/>
  <c r="Z10" i="6"/>
  <c r="V10" i="6"/>
  <c r="R10" i="6"/>
  <c r="N10" i="6"/>
  <c r="J10" i="6"/>
  <c r="F10" i="6"/>
  <c r="BV9" i="6"/>
  <c r="BT9" i="6"/>
  <c r="BR9" i="6"/>
  <c r="BN9" i="6"/>
  <c r="BJ9" i="6"/>
  <c r="BF9" i="6"/>
  <c r="BB9" i="6"/>
  <c r="AX9" i="6"/>
  <c r="AT9" i="6"/>
  <c r="AP9" i="6"/>
  <c r="AL9" i="6"/>
  <c r="AH9" i="6"/>
  <c r="AD9" i="6"/>
  <c r="Z9" i="6"/>
  <c r="V9" i="6"/>
  <c r="R9" i="6"/>
  <c r="N9" i="6"/>
  <c r="J9" i="6"/>
  <c r="F9" i="6"/>
  <c r="BV8" i="6"/>
  <c r="BT8" i="6"/>
  <c r="BR8" i="6"/>
  <c r="BN8" i="6"/>
  <c r="BJ8" i="6"/>
  <c r="BF8" i="6"/>
  <c r="BB8" i="6"/>
  <c r="AX8" i="6"/>
  <c r="AT8" i="6"/>
  <c r="AP8" i="6"/>
  <c r="AL8" i="6"/>
  <c r="AH8" i="6"/>
  <c r="AD8" i="6"/>
  <c r="Z8" i="6"/>
  <c r="V8" i="6"/>
  <c r="R8" i="6"/>
  <c r="N8" i="6"/>
  <c r="J8" i="6"/>
  <c r="F8" i="6"/>
  <c r="BV7" i="6"/>
  <c r="BT7" i="6"/>
  <c r="BR7" i="6"/>
  <c r="BN7" i="6"/>
  <c r="BJ7" i="6"/>
  <c r="BF7" i="6"/>
  <c r="BB7" i="6"/>
  <c r="AX7" i="6"/>
  <c r="AT7" i="6"/>
  <c r="AP7" i="6"/>
  <c r="AL7" i="6"/>
  <c r="AH7" i="6"/>
  <c r="AD7" i="6"/>
  <c r="Z7" i="6"/>
  <c r="V7" i="6"/>
  <c r="R7" i="6"/>
  <c r="N7" i="6"/>
  <c r="J7" i="6"/>
  <c r="F7" i="6"/>
  <c r="BV6" i="6"/>
  <c r="BT6" i="6"/>
  <c r="BR6" i="6"/>
  <c r="BN6" i="6"/>
  <c r="BJ6" i="6"/>
  <c r="BF6" i="6"/>
  <c r="BB6" i="6"/>
  <c r="AX6" i="6"/>
  <c r="AT6" i="6"/>
  <c r="AP6" i="6"/>
  <c r="AL6" i="6"/>
  <c r="AH6" i="6"/>
  <c r="AD6" i="6"/>
  <c r="Z6" i="6"/>
  <c r="V6" i="6"/>
  <c r="R6" i="6"/>
  <c r="N6" i="6"/>
  <c r="J6" i="6"/>
  <c r="F6" i="6"/>
  <c r="BV5" i="6"/>
  <c r="BT5" i="6"/>
  <c r="BR5" i="6"/>
  <c r="BN5" i="6"/>
  <c r="BJ5" i="6"/>
  <c r="BF5" i="6"/>
  <c r="BB5" i="6"/>
  <c r="AX5" i="6"/>
  <c r="AT5" i="6"/>
  <c r="AP5" i="6"/>
  <c r="AL5" i="6"/>
  <c r="AH5" i="6"/>
  <c r="AD5" i="6"/>
  <c r="Z5" i="6"/>
  <c r="V5" i="6"/>
  <c r="R5" i="6"/>
  <c r="N5" i="6"/>
  <c r="J5" i="6"/>
  <c r="F5" i="6"/>
  <c r="BV4" i="6"/>
  <c r="BT4" i="6"/>
  <c r="BR4" i="6"/>
  <c r="BN4" i="6"/>
  <c r="BJ4" i="6"/>
  <c r="BF4" i="6"/>
  <c r="BB4" i="6"/>
  <c r="AX4" i="6"/>
  <c r="AT4" i="6"/>
  <c r="AP4" i="6"/>
  <c r="AL4" i="6"/>
  <c r="AH4" i="6"/>
  <c r="AD4" i="6"/>
  <c r="Z4" i="6"/>
  <c r="V4" i="6"/>
  <c r="R4" i="6"/>
  <c r="N4" i="6"/>
  <c r="J4" i="6"/>
  <c r="F4" i="6"/>
  <c r="BV3" i="6"/>
  <c r="BT3" i="6"/>
  <c r="BX3" i="6" s="1"/>
  <c r="BR3" i="6"/>
  <c r="BN3" i="6"/>
  <c r="BJ3" i="6"/>
  <c r="BF3" i="6"/>
  <c r="BB3" i="6"/>
  <c r="AX3" i="6"/>
  <c r="AT3" i="6"/>
  <c r="AP3" i="6"/>
  <c r="AL3" i="6"/>
  <c r="AH3" i="6"/>
  <c r="AD3" i="6"/>
  <c r="Z3" i="6"/>
  <c r="V3" i="6"/>
  <c r="V31" i="6" s="1"/>
  <c r="R3" i="6"/>
  <c r="N3" i="6"/>
  <c r="J3" i="6"/>
  <c r="F3" i="6"/>
  <c r="BV30" i="11"/>
  <c r="BT30" i="11"/>
  <c r="BR30" i="11"/>
  <c r="BN30" i="11"/>
  <c r="BJ30" i="11"/>
  <c r="BF30" i="11"/>
  <c r="BB30" i="11"/>
  <c r="AX30" i="11"/>
  <c r="AT30" i="11"/>
  <c r="AP30" i="11"/>
  <c r="AL30" i="11"/>
  <c r="AH30" i="11"/>
  <c r="Z30" i="11"/>
  <c r="V30" i="11"/>
  <c r="R30" i="11"/>
  <c r="N30" i="11"/>
  <c r="J30" i="11"/>
  <c r="F30" i="11"/>
  <c r="BV29" i="11"/>
  <c r="BT29" i="11"/>
  <c r="BX29" i="11" s="1"/>
  <c r="BR29" i="11"/>
  <c r="BN29" i="11"/>
  <c r="BJ29" i="11"/>
  <c r="BF29" i="11"/>
  <c r="BB29" i="11"/>
  <c r="AX29" i="11"/>
  <c r="AT29" i="11"/>
  <c r="AP29" i="11"/>
  <c r="AL29" i="11"/>
  <c r="AH29" i="11"/>
  <c r="AD29" i="11"/>
  <c r="Z29" i="11"/>
  <c r="V29" i="11"/>
  <c r="R29" i="11"/>
  <c r="N29" i="11"/>
  <c r="J29" i="11"/>
  <c r="F29" i="11"/>
  <c r="BV28" i="11"/>
  <c r="BT28" i="11"/>
  <c r="BR28" i="11"/>
  <c r="BN28" i="11"/>
  <c r="BJ28" i="11"/>
  <c r="BF28" i="11"/>
  <c r="BB28" i="11"/>
  <c r="AX28" i="11"/>
  <c r="AT28" i="11"/>
  <c r="AP28" i="11"/>
  <c r="AL28" i="11"/>
  <c r="AH28" i="11"/>
  <c r="AD28" i="11"/>
  <c r="Z28" i="11"/>
  <c r="V28" i="11"/>
  <c r="R28" i="11"/>
  <c r="N28" i="11"/>
  <c r="J28" i="11"/>
  <c r="F28" i="11"/>
  <c r="BV27" i="11"/>
  <c r="BT27" i="11"/>
  <c r="BX27" i="11" s="1"/>
  <c r="BR27" i="11"/>
  <c r="BN27" i="11"/>
  <c r="BJ27" i="11"/>
  <c r="BF27" i="11"/>
  <c r="BB27" i="11"/>
  <c r="AX27" i="11"/>
  <c r="AT27" i="11"/>
  <c r="AP27" i="11"/>
  <c r="AL27" i="11"/>
  <c r="AH27" i="11"/>
  <c r="AD27" i="11"/>
  <c r="Z27" i="11"/>
  <c r="V27" i="11"/>
  <c r="R27" i="11"/>
  <c r="N27" i="11"/>
  <c r="J27" i="11"/>
  <c r="F27" i="11"/>
  <c r="BV26" i="11"/>
  <c r="BT26" i="11"/>
  <c r="BR26" i="11"/>
  <c r="BN26" i="11"/>
  <c r="BJ26" i="11"/>
  <c r="BF26" i="11"/>
  <c r="BB26" i="11"/>
  <c r="AX26" i="11"/>
  <c r="AT26" i="11"/>
  <c r="AP26" i="11"/>
  <c r="AL26" i="11"/>
  <c r="AH26" i="11"/>
  <c r="AD26" i="11"/>
  <c r="Z26" i="11"/>
  <c r="V26" i="11"/>
  <c r="R26" i="11"/>
  <c r="N26" i="11"/>
  <c r="J26" i="11"/>
  <c r="F26" i="11"/>
  <c r="BV25" i="11"/>
  <c r="BT25" i="11"/>
  <c r="BR25" i="11"/>
  <c r="BN25" i="11"/>
  <c r="BJ25" i="11"/>
  <c r="BF25" i="11"/>
  <c r="BB25" i="11"/>
  <c r="AX25" i="11"/>
  <c r="AT25" i="11"/>
  <c r="AP25" i="11"/>
  <c r="AL25" i="11"/>
  <c r="AH25" i="11"/>
  <c r="AD25" i="11"/>
  <c r="Z25" i="11"/>
  <c r="V25" i="11"/>
  <c r="R25" i="11"/>
  <c r="N25" i="11"/>
  <c r="J25" i="11"/>
  <c r="F25" i="11"/>
  <c r="BV24" i="11"/>
  <c r="BT24" i="11"/>
  <c r="BR24" i="11"/>
  <c r="BN24" i="11"/>
  <c r="BJ24" i="11"/>
  <c r="BF24" i="11"/>
  <c r="BB24" i="11"/>
  <c r="AX24" i="11"/>
  <c r="AT24" i="11"/>
  <c r="AP24" i="11"/>
  <c r="AL24" i="11"/>
  <c r="AH24" i="11"/>
  <c r="AD24" i="11"/>
  <c r="Z24" i="11"/>
  <c r="V24" i="11"/>
  <c r="R24" i="11"/>
  <c r="N24" i="11"/>
  <c r="F24" i="11"/>
  <c r="BV23" i="11"/>
  <c r="BT23" i="11"/>
  <c r="BR23" i="11"/>
  <c r="BN23" i="11"/>
  <c r="BJ23" i="11"/>
  <c r="BF23" i="11"/>
  <c r="BB23" i="11"/>
  <c r="AX23" i="11"/>
  <c r="AT23" i="11"/>
  <c r="AP23" i="11"/>
  <c r="AL23" i="11"/>
  <c r="AH23" i="11"/>
  <c r="AD23" i="11"/>
  <c r="Z23" i="11"/>
  <c r="V23" i="11"/>
  <c r="R23" i="11"/>
  <c r="N23" i="11"/>
  <c r="J23" i="11"/>
  <c r="F23" i="11"/>
  <c r="BV22" i="11"/>
  <c r="BT22" i="11"/>
  <c r="BR22" i="11"/>
  <c r="BN22" i="11"/>
  <c r="BJ22" i="11"/>
  <c r="BF22" i="11"/>
  <c r="BB22" i="11"/>
  <c r="AX22" i="11"/>
  <c r="AT22" i="11"/>
  <c r="AP22" i="11"/>
  <c r="AL22" i="11"/>
  <c r="AH22" i="11"/>
  <c r="AD22" i="11"/>
  <c r="Z22" i="11"/>
  <c r="V22" i="11"/>
  <c r="R22" i="11"/>
  <c r="N22" i="11"/>
  <c r="J22" i="11"/>
  <c r="F22" i="11"/>
  <c r="BV21" i="11"/>
  <c r="BT21" i="11"/>
  <c r="BR21" i="11"/>
  <c r="BN21" i="11"/>
  <c r="BJ21" i="11"/>
  <c r="BF21" i="11"/>
  <c r="BB21" i="11"/>
  <c r="AX21" i="11"/>
  <c r="AT21" i="11"/>
  <c r="AP21" i="11"/>
  <c r="AL21" i="11"/>
  <c r="AH21" i="11"/>
  <c r="AD21" i="11"/>
  <c r="Z21" i="11"/>
  <c r="V21" i="11"/>
  <c r="R21" i="11"/>
  <c r="N21" i="11"/>
  <c r="J21" i="11"/>
  <c r="F21" i="11"/>
  <c r="BV20" i="11"/>
  <c r="BT20" i="11"/>
  <c r="BX20" i="11" s="1"/>
  <c r="BR20" i="11"/>
  <c r="BN20" i="11"/>
  <c r="BJ20" i="11"/>
  <c r="BF20" i="11"/>
  <c r="BB20" i="11"/>
  <c r="AX20" i="11"/>
  <c r="AT20" i="11"/>
  <c r="AP20" i="11"/>
  <c r="AL20" i="11"/>
  <c r="AH20" i="11"/>
  <c r="AD20" i="11"/>
  <c r="Z20" i="11"/>
  <c r="V20" i="11"/>
  <c r="R20" i="11"/>
  <c r="N20" i="11"/>
  <c r="J20" i="11"/>
  <c r="F20" i="11"/>
  <c r="BV19" i="11"/>
  <c r="BT19" i="11"/>
  <c r="BR19" i="11"/>
  <c r="BN19" i="11"/>
  <c r="BJ19" i="11"/>
  <c r="BF19" i="11"/>
  <c r="BB19" i="11"/>
  <c r="AX19" i="11"/>
  <c r="AT19" i="11"/>
  <c r="AP19" i="11"/>
  <c r="AL19" i="11"/>
  <c r="AH19" i="11"/>
  <c r="AD19" i="11"/>
  <c r="Z19" i="11"/>
  <c r="V19" i="11"/>
  <c r="R19" i="11"/>
  <c r="N19" i="11"/>
  <c r="J19" i="11"/>
  <c r="F19" i="11"/>
  <c r="BV18" i="11"/>
  <c r="BT18" i="11"/>
  <c r="BX18" i="11" s="1"/>
  <c r="BR18" i="11"/>
  <c r="BN18" i="11"/>
  <c r="BJ18" i="11"/>
  <c r="BF18" i="11"/>
  <c r="BB18" i="11"/>
  <c r="AX18" i="11"/>
  <c r="AT18" i="11"/>
  <c r="AP18" i="11"/>
  <c r="AL18" i="11"/>
  <c r="AH18" i="11"/>
  <c r="AD18" i="11"/>
  <c r="Z18" i="11"/>
  <c r="V18" i="11"/>
  <c r="R18" i="11"/>
  <c r="N18" i="11"/>
  <c r="J18" i="11"/>
  <c r="F18" i="11"/>
  <c r="BV17" i="11"/>
  <c r="BT17" i="11"/>
  <c r="BX17" i="11" s="1"/>
  <c r="BR17" i="11"/>
  <c r="BN17" i="11"/>
  <c r="BJ17" i="11"/>
  <c r="BF17" i="11"/>
  <c r="BB17" i="11"/>
  <c r="AX17" i="11"/>
  <c r="AT17" i="11"/>
  <c r="AP17" i="11"/>
  <c r="AL17" i="11"/>
  <c r="AH17" i="11"/>
  <c r="AD17" i="11"/>
  <c r="Z17" i="11"/>
  <c r="V17" i="11"/>
  <c r="R17" i="11"/>
  <c r="N17" i="11"/>
  <c r="J17" i="11"/>
  <c r="F17" i="11"/>
  <c r="BV16" i="11"/>
  <c r="BT16" i="11"/>
  <c r="BX16" i="11" s="1"/>
  <c r="BR16" i="11"/>
  <c r="BN16" i="11"/>
  <c r="BJ16" i="11"/>
  <c r="BF16" i="11"/>
  <c r="BB16" i="11"/>
  <c r="AX16" i="11"/>
  <c r="AT16" i="11"/>
  <c r="AP16" i="11"/>
  <c r="AL16" i="11"/>
  <c r="AH16" i="11"/>
  <c r="AD16" i="11"/>
  <c r="V16" i="11"/>
  <c r="R16" i="11"/>
  <c r="N16" i="11"/>
  <c r="J16" i="11"/>
  <c r="F16" i="11"/>
  <c r="BV15" i="11"/>
  <c r="BT15" i="11"/>
  <c r="BR15" i="11"/>
  <c r="BN15" i="11"/>
  <c r="BJ15" i="11"/>
  <c r="BF15" i="11"/>
  <c r="BB15" i="11"/>
  <c r="AX15" i="11"/>
  <c r="AT15" i="11"/>
  <c r="AP15" i="11"/>
  <c r="AL15" i="11"/>
  <c r="AH15" i="11"/>
  <c r="AD15" i="11"/>
  <c r="Z15" i="11"/>
  <c r="V15" i="11"/>
  <c r="R15" i="11"/>
  <c r="N15" i="11"/>
  <c r="J15" i="11"/>
  <c r="F15" i="11"/>
  <c r="BV14" i="11"/>
  <c r="BT14" i="11"/>
  <c r="BR14" i="11"/>
  <c r="BN14" i="11"/>
  <c r="BJ14" i="11"/>
  <c r="BF14" i="11"/>
  <c r="BB14" i="11"/>
  <c r="AX14" i="11"/>
  <c r="AT14" i="11"/>
  <c r="AP14" i="11"/>
  <c r="AL14" i="11"/>
  <c r="AH14" i="11"/>
  <c r="AD14" i="11"/>
  <c r="Z14" i="11"/>
  <c r="R14" i="11"/>
  <c r="F14" i="11"/>
  <c r="BV13" i="11"/>
  <c r="BT13" i="11"/>
  <c r="BR13" i="11"/>
  <c r="BN13" i="11"/>
  <c r="BJ13" i="11"/>
  <c r="BF13" i="11"/>
  <c r="BB13" i="11"/>
  <c r="AX13" i="11"/>
  <c r="AT13" i="11"/>
  <c r="AP13" i="11"/>
  <c r="AL13" i="11"/>
  <c r="AH13" i="11"/>
  <c r="AD13" i="11"/>
  <c r="Z13" i="11"/>
  <c r="V13" i="11"/>
  <c r="R13" i="11"/>
  <c r="N13" i="11"/>
  <c r="J13" i="11"/>
  <c r="F13" i="11"/>
  <c r="BV12" i="11"/>
  <c r="BT12" i="11"/>
  <c r="BR12" i="11"/>
  <c r="BN12" i="11"/>
  <c r="BJ12" i="11"/>
  <c r="BF12" i="11"/>
  <c r="BB12" i="11"/>
  <c r="AX12" i="11"/>
  <c r="AT12" i="11"/>
  <c r="AP12" i="11"/>
  <c r="AL12" i="11"/>
  <c r="AH12" i="11"/>
  <c r="AD12" i="11"/>
  <c r="Z12" i="11"/>
  <c r="V12" i="11"/>
  <c r="R12" i="11"/>
  <c r="N12" i="11"/>
  <c r="J12" i="11"/>
  <c r="F12" i="11"/>
  <c r="BV11" i="11"/>
  <c r="BT11" i="11"/>
  <c r="BR11" i="11"/>
  <c r="BN11" i="11"/>
  <c r="BJ11" i="11"/>
  <c r="BF11" i="11"/>
  <c r="BB11" i="11"/>
  <c r="AX11" i="11"/>
  <c r="AT11" i="11"/>
  <c r="AP11" i="11"/>
  <c r="AL11" i="11"/>
  <c r="AH11" i="11"/>
  <c r="AD11" i="11"/>
  <c r="Z11" i="11"/>
  <c r="V11" i="11"/>
  <c r="R11" i="11"/>
  <c r="N11" i="11"/>
  <c r="J11" i="11"/>
  <c r="F11" i="11"/>
  <c r="BV10" i="11"/>
  <c r="BT10" i="11"/>
  <c r="BR10" i="11"/>
  <c r="BN10" i="11"/>
  <c r="BJ10" i="11"/>
  <c r="BF10" i="11"/>
  <c r="BB10" i="11"/>
  <c r="AX10" i="11"/>
  <c r="AT10" i="11"/>
  <c r="AP10" i="11"/>
  <c r="AL10" i="11"/>
  <c r="AH10" i="11"/>
  <c r="AD10" i="11"/>
  <c r="Z10" i="11"/>
  <c r="V10" i="11"/>
  <c r="R10" i="11"/>
  <c r="N10" i="11"/>
  <c r="J10" i="11"/>
  <c r="F10" i="11"/>
  <c r="BV9" i="11"/>
  <c r="BT9" i="11"/>
  <c r="BR9" i="11"/>
  <c r="BN9" i="11"/>
  <c r="BJ9" i="11"/>
  <c r="BF9" i="11"/>
  <c r="BB9" i="11"/>
  <c r="AX9" i="11"/>
  <c r="AT9" i="11"/>
  <c r="AP9" i="11"/>
  <c r="AL9" i="11"/>
  <c r="AH9" i="11"/>
  <c r="AD9" i="11"/>
  <c r="Z9" i="11"/>
  <c r="V9" i="11"/>
  <c r="R9" i="11"/>
  <c r="N9" i="11"/>
  <c r="J9" i="11"/>
  <c r="F9" i="11"/>
  <c r="BV8" i="11"/>
  <c r="BT8" i="11"/>
  <c r="BX8" i="11" s="1"/>
  <c r="BR8" i="11"/>
  <c r="BN8" i="11"/>
  <c r="BJ8" i="11"/>
  <c r="BF8" i="11"/>
  <c r="BB8" i="11"/>
  <c r="AX8" i="11"/>
  <c r="AT8" i="11"/>
  <c r="AP8" i="11"/>
  <c r="AL8" i="11"/>
  <c r="AH8" i="11"/>
  <c r="AD8" i="11"/>
  <c r="Z8" i="11"/>
  <c r="V8" i="11"/>
  <c r="R8" i="11"/>
  <c r="N8" i="11"/>
  <c r="J8" i="11"/>
  <c r="F8" i="11"/>
  <c r="BV7" i="11"/>
  <c r="BT7" i="11"/>
  <c r="BR7" i="11"/>
  <c r="BN7" i="11"/>
  <c r="BJ7" i="11"/>
  <c r="BF7" i="11"/>
  <c r="BB7" i="11"/>
  <c r="AX7" i="11"/>
  <c r="AT7" i="11"/>
  <c r="AP7" i="11"/>
  <c r="AL7" i="11"/>
  <c r="AH7" i="11"/>
  <c r="AD7" i="11"/>
  <c r="Z7" i="11"/>
  <c r="V7" i="11"/>
  <c r="R7" i="11"/>
  <c r="N7" i="11"/>
  <c r="J7" i="11"/>
  <c r="F7" i="11"/>
  <c r="BV6" i="11"/>
  <c r="BT6" i="11"/>
  <c r="BR6" i="11"/>
  <c r="BN6" i="11"/>
  <c r="BJ6" i="11"/>
  <c r="BF6" i="11"/>
  <c r="BB6" i="11"/>
  <c r="AX6" i="11"/>
  <c r="AT6" i="11"/>
  <c r="AP6" i="11"/>
  <c r="AL6" i="11"/>
  <c r="AH6" i="11"/>
  <c r="AD6" i="11"/>
  <c r="Z6" i="11"/>
  <c r="V6" i="11"/>
  <c r="R6" i="11"/>
  <c r="N6" i="11"/>
  <c r="J6" i="11"/>
  <c r="F6" i="11"/>
  <c r="BV5" i="11"/>
  <c r="BT5" i="11"/>
  <c r="BX5" i="11" s="1"/>
  <c r="BR5" i="11"/>
  <c r="BN5" i="11"/>
  <c r="BJ5" i="11"/>
  <c r="BF5" i="11"/>
  <c r="BB5" i="11"/>
  <c r="AX5" i="11"/>
  <c r="AT5" i="11"/>
  <c r="AP5" i="11"/>
  <c r="AL5" i="11"/>
  <c r="AH5" i="11"/>
  <c r="AD5" i="11"/>
  <c r="Z5" i="11"/>
  <c r="V5" i="11"/>
  <c r="R5" i="11"/>
  <c r="N5" i="11"/>
  <c r="J5" i="11"/>
  <c r="F5" i="11"/>
  <c r="BV4" i="11"/>
  <c r="BT4" i="11"/>
  <c r="BX4" i="11" s="1"/>
  <c r="BR4" i="11"/>
  <c r="BN4" i="11"/>
  <c r="BJ4" i="11"/>
  <c r="BF4" i="11"/>
  <c r="BB4" i="11"/>
  <c r="AX4" i="11"/>
  <c r="AT4" i="11"/>
  <c r="AP4" i="11"/>
  <c r="AL4" i="11"/>
  <c r="AH4" i="11"/>
  <c r="AD4" i="11"/>
  <c r="Z4" i="11"/>
  <c r="V4" i="11"/>
  <c r="R4" i="11"/>
  <c r="N4" i="11"/>
  <c r="J4" i="11"/>
  <c r="F4" i="11"/>
  <c r="BV3" i="11"/>
  <c r="BT3" i="11"/>
  <c r="BR3" i="11"/>
  <c r="BN3" i="11"/>
  <c r="BJ3" i="11"/>
  <c r="BF3" i="11"/>
  <c r="BB3" i="11"/>
  <c r="AX3" i="11"/>
  <c r="AT3" i="11"/>
  <c r="AT31" i="11" s="1"/>
  <c r="AP3" i="11"/>
  <c r="AL3" i="11"/>
  <c r="AH3" i="11"/>
  <c r="AD3" i="11"/>
  <c r="Z3" i="11"/>
  <c r="V3" i="11"/>
  <c r="R3" i="11"/>
  <c r="N3" i="11"/>
  <c r="J3" i="11"/>
  <c r="F3" i="11"/>
  <c r="BV30" i="9"/>
  <c r="BT30" i="9"/>
  <c r="BR30" i="9"/>
  <c r="BN30" i="9"/>
  <c r="BJ30" i="9"/>
  <c r="BF30" i="9"/>
  <c r="BB30" i="9"/>
  <c r="AX30" i="9"/>
  <c r="AT30" i="9"/>
  <c r="AP30" i="9"/>
  <c r="AL30" i="9"/>
  <c r="AH30" i="9"/>
  <c r="Z30" i="9"/>
  <c r="V30" i="9"/>
  <c r="R30" i="9"/>
  <c r="N30" i="9"/>
  <c r="J30" i="9"/>
  <c r="F30" i="9"/>
  <c r="BV29" i="9"/>
  <c r="BT29" i="9"/>
  <c r="BR29" i="9"/>
  <c r="BN29" i="9"/>
  <c r="BJ29" i="9"/>
  <c r="BF29" i="9"/>
  <c r="BB29" i="9"/>
  <c r="AX29" i="9"/>
  <c r="AT29" i="9"/>
  <c r="AP29" i="9"/>
  <c r="AL29" i="9"/>
  <c r="AH29" i="9"/>
  <c r="AD29" i="9"/>
  <c r="Z29" i="9"/>
  <c r="V29" i="9"/>
  <c r="R29" i="9"/>
  <c r="N29" i="9"/>
  <c r="J29" i="9"/>
  <c r="F29" i="9"/>
  <c r="BV28" i="9"/>
  <c r="BT28" i="9"/>
  <c r="BR28" i="9"/>
  <c r="BN28" i="9"/>
  <c r="BJ28" i="9"/>
  <c r="BF28" i="9"/>
  <c r="BB28" i="9"/>
  <c r="AX28" i="9"/>
  <c r="AT28" i="9"/>
  <c r="AP28" i="9"/>
  <c r="AL28" i="9"/>
  <c r="AH28" i="9"/>
  <c r="AD28" i="9"/>
  <c r="Z28" i="9"/>
  <c r="V28" i="9"/>
  <c r="R28" i="9"/>
  <c r="N28" i="9"/>
  <c r="J28" i="9"/>
  <c r="F28" i="9"/>
  <c r="BV27" i="9"/>
  <c r="BT27" i="9"/>
  <c r="BR27" i="9"/>
  <c r="BN27" i="9"/>
  <c r="BJ27" i="9"/>
  <c r="BF27" i="9"/>
  <c r="BB27" i="9"/>
  <c r="AX27" i="9"/>
  <c r="AT27" i="9"/>
  <c r="AP27" i="9"/>
  <c r="AL27" i="9"/>
  <c r="AH27" i="9"/>
  <c r="AD27" i="9"/>
  <c r="Z27" i="9"/>
  <c r="V27" i="9"/>
  <c r="R27" i="9"/>
  <c r="N27" i="9"/>
  <c r="J27" i="9"/>
  <c r="F27" i="9"/>
  <c r="BV26" i="9"/>
  <c r="BT26" i="9"/>
  <c r="BR26" i="9"/>
  <c r="BN26" i="9"/>
  <c r="BJ26" i="9"/>
  <c r="BF26" i="9"/>
  <c r="BB26" i="9"/>
  <c r="AX26" i="9"/>
  <c r="AT26" i="9"/>
  <c r="AP26" i="9"/>
  <c r="AL26" i="9"/>
  <c r="AH26" i="9"/>
  <c r="AD26" i="9"/>
  <c r="Z26" i="9"/>
  <c r="V26" i="9"/>
  <c r="R26" i="9"/>
  <c r="N26" i="9"/>
  <c r="J26" i="9"/>
  <c r="F26" i="9"/>
  <c r="BV25" i="9"/>
  <c r="BT25" i="9"/>
  <c r="BR25" i="9"/>
  <c r="BN25" i="9"/>
  <c r="BJ25" i="9"/>
  <c r="BF25" i="9"/>
  <c r="BB25" i="9"/>
  <c r="AX25" i="9"/>
  <c r="AT25" i="9"/>
  <c r="AP25" i="9"/>
  <c r="AL25" i="9"/>
  <c r="AH25" i="9"/>
  <c r="AD25" i="9"/>
  <c r="Z25" i="9"/>
  <c r="V25" i="9"/>
  <c r="R25" i="9"/>
  <c r="N25" i="9"/>
  <c r="J25" i="9"/>
  <c r="F25" i="9"/>
  <c r="BV24" i="9"/>
  <c r="BT24" i="9"/>
  <c r="BR24" i="9"/>
  <c r="BN24" i="9"/>
  <c r="BJ24" i="9"/>
  <c r="BF24" i="9"/>
  <c r="BB24" i="9"/>
  <c r="AX24" i="9"/>
  <c r="AT24" i="9"/>
  <c r="AP24" i="9"/>
  <c r="AL24" i="9"/>
  <c r="AH24" i="9"/>
  <c r="AD24" i="9"/>
  <c r="Z24" i="9"/>
  <c r="V24" i="9"/>
  <c r="R24" i="9"/>
  <c r="N24" i="9"/>
  <c r="F24" i="9"/>
  <c r="BV23" i="9"/>
  <c r="BT23" i="9"/>
  <c r="BR23" i="9"/>
  <c r="BN23" i="9"/>
  <c r="BJ23" i="9"/>
  <c r="BF23" i="9"/>
  <c r="BB23" i="9"/>
  <c r="AX23" i="9"/>
  <c r="AT23" i="9"/>
  <c r="AP23" i="9"/>
  <c r="AL23" i="9"/>
  <c r="AH23" i="9"/>
  <c r="AD23" i="9"/>
  <c r="Z23" i="9"/>
  <c r="V23" i="9"/>
  <c r="R23" i="9"/>
  <c r="N23" i="9"/>
  <c r="J23" i="9"/>
  <c r="F23" i="9"/>
  <c r="BV22" i="9"/>
  <c r="BT22" i="9"/>
  <c r="BR22" i="9"/>
  <c r="BN22" i="9"/>
  <c r="BJ22" i="9"/>
  <c r="BF22" i="9"/>
  <c r="BB22" i="9"/>
  <c r="AX22" i="9"/>
  <c r="AT22" i="9"/>
  <c r="AP22" i="9"/>
  <c r="AL22" i="9"/>
  <c r="AH22" i="9"/>
  <c r="AD22" i="9"/>
  <c r="Z22" i="9"/>
  <c r="V22" i="9"/>
  <c r="R22" i="9"/>
  <c r="N22" i="9"/>
  <c r="J22" i="9"/>
  <c r="F22" i="9"/>
  <c r="BV21" i="9"/>
  <c r="BT21" i="9"/>
  <c r="BR21" i="9"/>
  <c r="BN21" i="9"/>
  <c r="BJ21" i="9"/>
  <c r="BF21" i="9"/>
  <c r="BB21" i="9"/>
  <c r="AX21" i="9"/>
  <c r="AT21" i="9"/>
  <c r="AP21" i="9"/>
  <c r="AL21" i="9"/>
  <c r="AH21" i="9"/>
  <c r="AD21" i="9"/>
  <c r="Z21" i="9"/>
  <c r="V21" i="9"/>
  <c r="R21" i="9"/>
  <c r="N21" i="9"/>
  <c r="J21" i="9"/>
  <c r="F21" i="9"/>
  <c r="BV20" i="9"/>
  <c r="BT20" i="9"/>
  <c r="BR20" i="9"/>
  <c r="BN20" i="9"/>
  <c r="BJ20" i="9"/>
  <c r="BF20" i="9"/>
  <c r="BB20" i="9"/>
  <c r="AX20" i="9"/>
  <c r="AT20" i="9"/>
  <c r="AP20" i="9"/>
  <c r="AL20" i="9"/>
  <c r="AH20" i="9"/>
  <c r="AD20" i="9"/>
  <c r="Z20" i="9"/>
  <c r="V20" i="9"/>
  <c r="R20" i="9"/>
  <c r="N20" i="9"/>
  <c r="J20" i="9"/>
  <c r="F20" i="9"/>
  <c r="BV19" i="9"/>
  <c r="BT19" i="9"/>
  <c r="BR19" i="9"/>
  <c r="BN19" i="9"/>
  <c r="BJ19" i="9"/>
  <c r="BF19" i="9"/>
  <c r="BB19" i="9"/>
  <c r="AX19" i="9"/>
  <c r="AT19" i="9"/>
  <c r="AP19" i="9"/>
  <c r="AL19" i="9"/>
  <c r="AH19" i="9"/>
  <c r="AD19" i="9"/>
  <c r="Z19" i="9"/>
  <c r="V19" i="9"/>
  <c r="R19" i="9"/>
  <c r="N19" i="9"/>
  <c r="J19" i="9"/>
  <c r="F19" i="9"/>
  <c r="BV18" i="9"/>
  <c r="BT18" i="9"/>
  <c r="BR18" i="9"/>
  <c r="BN18" i="9"/>
  <c r="BJ18" i="9"/>
  <c r="BF18" i="9"/>
  <c r="BB18" i="9"/>
  <c r="AX18" i="9"/>
  <c r="AT18" i="9"/>
  <c r="AP18" i="9"/>
  <c r="AL18" i="9"/>
  <c r="AH18" i="9"/>
  <c r="AD18" i="9"/>
  <c r="Z18" i="9"/>
  <c r="V18" i="9"/>
  <c r="R18" i="9"/>
  <c r="N18" i="9"/>
  <c r="J18" i="9"/>
  <c r="F18" i="9"/>
  <c r="BV17" i="9"/>
  <c r="BT17" i="9"/>
  <c r="BR17" i="9"/>
  <c r="BN17" i="9"/>
  <c r="BJ17" i="9"/>
  <c r="BF17" i="9"/>
  <c r="BB17" i="9"/>
  <c r="AX17" i="9"/>
  <c r="AT17" i="9"/>
  <c r="AP17" i="9"/>
  <c r="AL17" i="9"/>
  <c r="AH17" i="9"/>
  <c r="AD17" i="9"/>
  <c r="Z17" i="9"/>
  <c r="V17" i="9"/>
  <c r="R17" i="9"/>
  <c r="N17" i="9"/>
  <c r="J17" i="9"/>
  <c r="F17" i="9"/>
  <c r="BV16" i="9"/>
  <c r="BT16" i="9"/>
  <c r="BR16" i="9"/>
  <c r="BN16" i="9"/>
  <c r="BJ16" i="9"/>
  <c r="BF16" i="9"/>
  <c r="BB16" i="9"/>
  <c r="AX16" i="9"/>
  <c r="AT16" i="9"/>
  <c r="AP16" i="9"/>
  <c r="AL16" i="9"/>
  <c r="AH16" i="9"/>
  <c r="AD16" i="9"/>
  <c r="V16" i="9"/>
  <c r="R16" i="9"/>
  <c r="N16" i="9"/>
  <c r="J16" i="9"/>
  <c r="F16" i="9"/>
  <c r="BV15" i="9"/>
  <c r="BT15" i="9"/>
  <c r="BR15" i="9"/>
  <c r="BN15" i="9"/>
  <c r="BJ15" i="9"/>
  <c r="BF15" i="9"/>
  <c r="BB15" i="9"/>
  <c r="AX15" i="9"/>
  <c r="AT15" i="9"/>
  <c r="AP15" i="9"/>
  <c r="AL15" i="9"/>
  <c r="AH15" i="9"/>
  <c r="AD15" i="9"/>
  <c r="Z15" i="9"/>
  <c r="V15" i="9"/>
  <c r="R15" i="9"/>
  <c r="N15" i="9"/>
  <c r="J15" i="9"/>
  <c r="F15" i="9"/>
  <c r="BV14" i="9"/>
  <c r="BT14" i="9"/>
  <c r="BR14" i="9"/>
  <c r="BN14" i="9"/>
  <c r="BJ14" i="9"/>
  <c r="BF14" i="9"/>
  <c r="BB14" i="9"/>
  <c r="AX14" i="9"/>
  <c r="AT14" i="9"/>
  <c r="AP14" i="9"/>
  <c r="AL14" i="9"/>
  <c r="AH14" i="9"/>
  <c r="AD14" i="9"/>
  <c r="Z14" i="9"/>
  <c r="R14" i="9"/>
  <c r="F14" i="9"/>
  <c r="BV13" i="9"/>
  <c r="BT13" i="9"/>
  <c r="BR13" i="9"/>
  <c r="BN13" i="9"/>
  <c r="BJ13" i="9"/>
  <c r="BF13" i="9"/>
  <c r="BB13" i="9"/>
  <c r="AX13" i="9"/>
  <c r="AT13" i="9"/>
  <c r="AP13" i="9"/>
  <c r="AL13" i="9"/>
  <c r="AH13" i="9"/>
  <c r="AD13" i="9"/>
  <c r="Z13" i="9"/>
  <c r="V13" i="9"/>
  <c r="R13" i="9"/>
  <c r="N13" i="9"/>
  <c r="J13" i="9"/>
  <c r="F13" i="9"/>
  <c r="BV12" i="9"/>
  <c r="BT12" i="9"/>
  <c r="BR12" i="9"/>
  <c r="BN12" i="9"/>
  <c r="BJ12" i="9"/>
  <c r="BF12" i="9"/>
  <c r="BB12" i="9"/>
  <c r="AX12" i="9"/>
  <c r="AT12" i="9"/>
  <c r="AP12" i="9"/>
  <c r="AL12" i="9"/>
  <c r="AH12" i="9"/>
  <c r="AD12" i="9"/>
  <c r="Z12" i="9"/>
  <c r="V12" i="9"/>
  <c r="R12" i="9"/>
  <c r="N12" i="9"/>
  <c r="J12" i="9"/>
  <c r="F12" i="9"/>
  <c r="BV11" i="9"/>
  <c r="BT11" i="9"/>
  <c r="BR11" i="9"/>
  <c r="BN11" i="9"/>
  <c r="BJ11" i="9"/>
  <c r="BF11" i="9"/>
  <c r="BB11" i="9"/>
  <c r="AX11" i="9"/>
  <c r="AT11" i="9"/>
  <c r="AP11" i="9"/>
  <c r="AL11" i="9"/>
  <c r="AH11" i="9"/>
  <c r="AD11" i="9"/>
  <c r="Z11" i="9"/>
  <c r="V11" i="9"/>
  <c r="R11" i="9"/>
  <c r="N11" i="9"/>
  <c r="J11" i="9"/>
  <c r="F11" i="9"/>
  <c r="BV10" i="9"/>
  <c r="BT10" i="9"/>
  <c r="BR10" i="9"/>
  <c r="BN10" i="9"/>
  <c r="BJ10" i="9"/>
  <c r="BF10" i="9"/>
  <c r="BB10" i="9"/>
  <c r="AX10" i="9"/>
  <c r="AT10" i="9"/>
  <c r="AP10" i="9"/>
  <c r="AL10" i="9"/>
  <c r="AH10" i="9"/>
  <c r="AD10" i="9"/>
  <c r="Z10" i="9"/>
  <c r="V10" i="9"/>
  <c r="R10" i="9"/>
  <c r="N10" i="9"/>
  <c r="J10" i="9"/>
  <c r="F10" i="9"/>
  <c r="BV9" i="9"/>
  <c r="BT9" i="9"/>
  <c r="BR9" i="9"/>
  <c r="BN9" i="9"/>
  <c r="BJ9" i="9"/>
  <c r="BF9" i="9"/>
  <c r="BB9" i="9"/>
  <c r="AX9" i="9"/>
  <c r="AT9" i="9"/>
  <c r="AP9" i="9"/>
  <c r="AL9" i="9"/>
  <c r="AH9" i="9"/>
  <c r="AD9" i="9"/>
  <c r="Z9" i="9"/>
  <c r="V9" i="9"/>
  <c r="R9" i="9"/>
  <c r="N9" i="9"/>
  <c r="J9" i="9"/>
  <c r="F9" i="9"/>
  <c r="BV8" i="9"/>
  <c r="BT8" i="9"/>
  <c r="BR8" i="9"/>
  <c r="BN8" i="9"/>
  <c r="BJ8" i="9"/>
  <c r="BF8" i="9"/>
  <c r="BB8" i="9"/>
  <c r="AX8" i="9"/>
  <c r="AT8" i="9"/>
  <c r="AP8" i="9"/>
  <c r="AL8" i="9"/>
  <c r="AH8" i="9"/>
  <c r="AD8" i="9"/>
  <c r="Z8" i="9"/>
  <c r="V8" i="9"/>
  <c r="R8" i="9"/>
  <c r="N8" i="9"/>
  <c r="J8" i="9"/>
  <c r="F8" i="9"/>
  <c r="BV7" i="9"/>
  <c r="BT7" i="9"/>
  <c r="BR7" i="9"/>
  <c r="BN7" i="9"/>
  <c r="BJ7" i="9"/>
  <c r="BF7" i="9"/>
  <c r="BB7" i="9"/>
  <c r="AX7" i="9"/>
  <c r="AT7" i="9"/>
  <c r="AP7" i="9"/>
  <c r="AL7" i="9"/>
  <c r="AH7" i="9"/>
  <c r="AD7" i="9"/>
  <c r="Z7" i="9"/>
  <c r="V7" i="9"/>
  <c r="R7" i="9"/>
  <c r="N7" i="9"/>
  <c r="J7" i="9"/>
  <c r="F7" i="9"/>
  <c r="BV6" i="9"/>
  <c r="BT6" i="9"/>
  <c r="BR6" i="9"/>
  <c r="BN6" i="9"/>
  <c r="BJ6" i="9"/>
  <c r="BF6" i="9"/>
  <c r="BB6" i="9"/>
  <c r="AX6" i="9"/>
  <c r="AT6" i="9"/>
  <c r="AP6" i="9"/>
  <c r="AL6" i="9"/>
  <c r="AH6" i="9"/>
  <c r="AD6" i="9"/>
  <c r="Z6" i="9"/>
  <c r="V6" i="9"/>
  <c r="R6" i="9"/>
  <c r="N6" i="9"/>
  <c r="J6" i="9"/>
  <c r="F6" i="9"/>
  <c r="BV5" i="9"/>
  <c r="BT5" i="9"/>
  <c r="BR5" i="9"/>
  <c r="BN5" i="9"/>
  <c r="BJ5" i="9"/>
  <c r="BF5" i="9"/>
  <c r="BB5" i="9"/>
  <c r="AX5" i="9"/>
  <c r="AT5" i="9"/>
  <c r="AP5" i="9"/>
  <c r="AL5" i="9"/>
  <c r="AH5" i="9"/>
  <c r="AD5" i="9"/>
  <c r="Z5" i="9"/>
  <c r="V5" i="9"/>
  <c r="R5" i="9"/>
  <c r="N5" i="9"/>
  <c r="J5" i="9"/>
  <c r="F5" i="9"/>
  <c r="BV4" i="9"/>
  <c r="BT4" i="9"/>
  <c r="BR4" i="9"/>
  <c r="BN4" i="9"/>
  <c r="BJ4" i="9"/>
  <c r="BF4" i="9"/>
  <c r="BB4" i="9"/>
  <c r="AX4" i="9"/>
  <c r="AT4" i="9"/>
  <c r="AP4" i="9"/>
  <c r="AL4" i="9"/>
  <c r="AH4" i="9"/>
  <c r="AD4" i="9"/>
  <c r="Z4" i="9"/>
  <c r="V4" i="9"/>
  <c r="R4" i="9"/>
  <c r="N4" i="9"/>
  <c r="J4" i="9"/>
  <c r="F4" i="9"/>
  <c r="BV3" i="9"/>
  <c r="BT3" i="9"/>
  <c r="BR3" i="9"/>
  <c r="BR31" i="9" s="1"/>
  <c r="BN3" i="9"/>
  <c r="BJ3" i="9"/>
  <c r="BF3" i="9"/>
  <c r="BB3" i="9"/>
  <c r="AX3" i="9"/>
  <c r="AT3" i="9"/>
  <c r="AP3" i="9"/>
  <c r="AL3" i="9"/>
  <c r="AH3" i="9"/>
  <c r="AD3" i="9"/>
  <c r="Z3" i="9"/>
  <c r="V3" i="9"/>
  <c r="R3" i="9"/>
  <c r="N3" i="9"/>
  <c r="J3" i="9"/>
  <c r="F3" i="9"/>
  <c r="V27" i="5"/>
  <c r="BV30" i="5"/>
  <c r="BT30" i="5"/>
  <c r="BR30" i="5"/>
  <c r="BN30" i="5"/>
  <c r="BJ30" i="5"/>
  <c r="BF30" i="5"/>
  <c r="BB30" i="5"/>
  <c r="AX30" i="5"/>
  <c r="AT30" i="5"/>
  <c r="AP30" i="5"/>
  <c r="AL30" i="5"/>
  <c r="AH30" i="5"/>
  <c r="Z30" i="5"/>
  <c r="V30" i="5"/>
  <c r="R30" i="5"/>
  <c r="N30" i="5"/>
  <c r="J30" i="5"/>
  <c r="F30" i="5"/>
  <c r="BV29" i="5"/>
  <c r="BT29" i="5"/>
  <c r="BX29" i="5" s="1"/>
  <c r="BR29" i="5"/>
  <c r="BN29" i="5"/>
  <c r="BJ29" i="5"/>
  <c r="BF29" i="5"/>
  <c r="BB29" i="5"/>
  <c r="AX29" i="5"/>
  <c r="AT29" i="5"/>
  <c r="AP29" i="5"/>
  <c r="AL29" i="5"/>
  <c r="AH29" i="5"/>
  <c r="AD29" i="5"/>
  <c r="Z29" i="5"/>
  <c r="V29" i="5"/>
  <c r="R29" i="5"/>
  <c r="N29" i="5"/>
  <c r="J29" i="5"/>
  <c r="F29" i="5"/>
  <c r="BV28" i="5"/>
  <c r="BT28" i="5"/>
  <c r="BR28" i="5"/>
  <c r="BN28" i="5"/>
  <c r="BJ28" i="5"/>
  <c r="BF28" i="5"/>
  <c r="BB28" i="5"/>
  <c r="AX28" i="5"/>
  <c r="AT28" i="5"/>
  <c r="AP28" i="5"/>
  <c r="AL28" i="5"/>
  <c r="AH28" i="5"/>
  <c r="AD28" i="5"/>
  <c r="Z28" i="5"/>
  <c r="V28" i="5"/>
  <c r="R28" i="5"/>
  <c r="N28" i="5"/>
  <c r="J28" i="5"/>
  <c r="F28" i="5"/>
  <c r="BV27" i="5"/>
  <c r="BT27" i="5"/>
  <c r="BR27" i="5"/>
  <c r="BN27" i="5"/>
  <c r="BJ27" i="5"/>
  <c r="BF27" i="5"/>
  <c r="BB27" i="5"/>
  <c r="AX27" i="5"/>
  <c r="AT27" i="5"/>
  <c r="AP27" i="5"/>
  <c r="AL27" i="5"/>
  <c r="AH27" i="5"/>
  <c r="AD27" i="5"/>
  <c r="Z27" i="5"/>
  <c r="R27" i="5"/>
  <c r="N27" i="5"/>
  <c r="J27" i="5"/>
  <c r="F27" i="5"/>
  <c r="BV26" i="5"/>
  <c r="BT26" i="5"/>
  <c r="BX26" i="5" s="1"/>
  <c r="BR26" i="5"/>
  <c r="BN26" i="5"/>
  <c r="BJ26" i="5"/>
  <c r="BF26" i="5"/>
  <c r="BB26" i="5"/>
  <c r="AX26" i="5"/>
  <c r="AT26" i="5"/>
  <c r="AP26" i="5"/>
  <c r="AL26" i="5"/>
  <c r="AH26" i="5"/>
  <c r="AD26" i="5"/>
  <c r="Z26" i="5"/>
  <c r="V26" i="5"/>
  <c r="R26" i="5"/>
  <c r="N26" i="5"/>
  <c r="J26" i="5"/>
  <c r="F26" i="5"/>
  <c r="BV25" i="5"/>
  <c r="BT25" i="5"/>
  <c r="BX25" i="5" s="1"/>
  <c r="BR25" i="5"/>
  <c r="BN25" i="5"/>
  <c r="BJ25" i="5"/>
  <c r="BF25" i="5"/>
  <c r="BB25" i="5"/>
  <c r="AX25" i="5"/>
  <c r="AT25" i="5"/>
  <c r="AP25" i="5"/>
  <c r="AL25" i="5"/>
  <c r="AH25" i="5"/>
  <c r="AD25" i="5"/>
  <c r="Z25" i="5"/>
  <c r="V25" i="5"/>
  <c r="R25" i="5"/>
  <c r="N25" i="5"/>
  <c r="J25" i="5"/>
  <c r="F25" i="5"/>
  <c r="BV24" i="5"/>
  <c r="BT24" i="5"/>
  <c r="BX24" i="5" s="1"/>
  <c r="BR24" i="5"/>
  <c r="BN24" i="5"/>
  <c r="BJ24" i="5"/>
  <c r="BF24" i="5"/>
  <c r="BB24" i="5"/>
  <c r="AX24" i="5"/>
  <c r="AT24" i="5"/>
  <c r="AP24" i="5"/>
  <c r="AL24" i="5"/>
  <c r="AH24" i="5"/>
  <c r="AD24" i="5"/>
  <c r="Z24" i="5"/>
  <c r="V24" i="5"/>
  <c r="R24" i="5"/>
  <c r="N24" i="5"/>
  <c r="F24" i="5"/>
  <c r="BV23" i="5"/>
  <c r="BT23" i="5"/>
  <c r="BR23" i="5"/>
  <c r="BN23" i="5"/>
  <c r="BJ23" i="5"/>
  <c r="BF23" i="5"/>
  <c r="BB23" i="5"/>
  <c r="AX23" i="5"/>
  <c r="AT23" i="5"/>
  <c r="AP23" i="5"/>
  <c r="AL23" i="5"/>
  <c r="AH23" i="5"/>
  <c r="AD23" i="5"/>
  <c r="Z23" i="5"/>
  <c r="V23" i="5"/>
  <c r="R23" i="5"/>
  <c r="N23" i="5"/>
  <c r="J23" i="5"/>
  <c r="F23" i="5"/>
  <c r="BV22" i="5"/>
  <c r="BT22" i="5"/>
  <c r="BR22" i="5"/>
  <c r="BN22" i="5"/>
  <c r="BJ22" i="5"/>
  <c r="BF22" i="5"/>
  <c r="BB22" i="5"/>
  <c r="AX22" i="5"/>
  <c r="AT22" i="5"/>
  <c r="AP22" i="5"/>
  <c r="AL22" i="5"/>
  <c r="AH22" i="5"/>
  <c r="AD22" i="5"/>
  <c r="Z22" i="5"/>
  <c r="V22" i="5"/>
  <c r="R22" i="5"/>
  <c r="N22" i="5"/>
  <c r="J22" i="5"/>
  <c r="F22" i="5"/>
  <c r="BV21" i="5"/>
  <c r="BT21" i="5"/>
  <c r="BR21" i="5"/>
  <c r="BU21" i="5" s="1"/>
  <c r="BW21" i="5" s="1"/>
  <c r="BN21" i="5"/>
  <c r="BJ21" i="5"/>
  <c r="BF21" i="5"/>
  <c r="BB21" i="5"/>
  <c r="AX21" i="5"/>
  <c r="AT21" i="5"/>
  <c r="AP21" i="5"/>
  <c r="AL21" i="5"/>
  <c r="AH21" i="5"/>
  <c r="AD21" i="5"/>
  <c r="Z21" i="5"/>
  <c r="V21" i="5"/>
  <c r="R21" i="5"/>
  <c r="N21" i="5"/>
  <c r="J21" i="5"/>
  <c r="F21" i="5"/>
  <c r="BV20" i="5"/>
  <c r="BT20" i="5"/>
  <c r="BR20" i="5"/>
  <c r="BN20" i="5"/>
  <c r="BJ20" i="5"/>
  <c r="BF20" i="5"/>
  <c r="BB20" i="5"/>
  <c r="AX20" i="5"/>
  <c r="AT20" i="5"/>
  <c r="AP20" i="5"/>
  <c r="AL20" i="5"/>
  <c r="AH20" i="5"/>
  <c r="AD20" i="5"/>
  <c r="Z20" i="5"/>
  <c r="V20" i="5"/>
  <c r="R20" i="5"/>
  <c r="N20" i="5"/>
  <c r="J20" i="5"/>
  <c r="F20" i="5"/>
  <c r="BV19" i="5"/>
  <c r="BT19" i="5"/>
  <c r="BR19" i="5"/>
  <c r="BN19" i="5"/>
  <c r="BJ19" i="5"/>
  <c r="BF19" i="5"/>
  <c r="BB19" i="5"/>
  <c r="AX19" i="5"/>
  <c r="AT19" i="5"/>
  <c r="AP19" i="5"/>
  <c r="AL19" i="5"/>
  <c r="AH19" i="5"/>
  <c r="AD19" i="5"/>
  <c r="Z19" i="5"/>
  <c r="V19" i="5"/>
  <c r="R19" i="5"/>
  <c r="N19" i="5"/>
  <c r="J19" i="5"/>
  <c r="F19" i="5"/>
  <c r="BV18" i="5"/>
  <c r="BT18" i="5"/>
  <c r="BX18" i="5" s="1"/>
  <c r="BR18" i="5"/>
  <c r="BN18" i="5"/>
  <c r="BJ18" i="5"/>
  <c r="BF18" i="5"/>
  <c r="BB18" i="5"/>
  <c r="AX18" i="5"/>
  <c r="AT18" i="5"/>
  <c r="AP18" i="5"/>
  <c r="AL18" i="5"/>
  <c r="AH18" i="5"/>
  <c r="AD18" i="5"/>
  <c r="Z18" i="5"/>
  <c r="V18" i="5"/>
  <c r="R18" i="5"/>
  <c r="N18" i="5"/>
  <c r="J18" i="5"/>
  <c r="F18" i="5"/>
  <c r="BV17" i="5"/>
  <c r="BT17" i="5"/>
  <c r="BR17" i="5"/>
  <c r="BN17" i="5"/>
  <c r="BJ17" i="5"/>
  <c r="BF17" i="5"/>
  <c r="BB17" i="5"/>
  <c r="AX17" i="5"/>
  <c r="AT17" i="5"/>
  <c r="AP17" i="5"/>
  <c r="AL17" i="5"/>
  <c r="AH17" i="5"/>
  <c r="AD17" i="5"/>
  <c r="Z17" i="5"/>
  <c r="V17" i="5"/>
  <c r="R17" i="5"/>
  <c r="N17" i="5"/>
  <c r="J17" i="5"/>
  <c r="F17" i="5"/>
  <c r="BV16" i="5"/>
  <c r="BT16" i="5"/>
  <c r="BR16" i="5"/>
  <c r="BN16" i="5"/>
  <c r="BJ16" i="5"/>
  <c r="BF16" i="5"/>
  <c r="BB16" i="5"/>
  <c r="AX16" i="5"/>
  <c r="AT16" i="5"/>
  <c r="AP16" i="5"/>
  <c r="AL16" i="5"/>
  <c r="AH16" i="5"/>
  <c r="AD16" i="5"/>
  <c r="V16" i="5"/>
  <c r="R16" i="5"/>
  <c r="N16" i="5"/>
  <c r="J16" i="5"/>
  <c r="F16" i="5"/>
  <c r="BV15" i="5"/>
  <c r="BT15" i="5"/>
  <c r="BR15" i="5"/>
  <c r="BN15" i="5"/>
  <c r="BJ15" i="5"/>
  <c r="BF15" i="5"/>
  <c r="BB15" i="5"/>
  <c r="AX15" i="5"/>
  <c r="AT15" i="5"/>
  <c r="AP15" i="5"/>
  <c r="AL15" i="5"/>
  <c r="AH15" i="5"/>
  <c r="AD15" i="5"/>
  <c r="Z15" i="5"/>
  <c r="V15" i="5"/>
  <c r="R15" i="5"/>
  <c r="N15" i="5"/>
  <c r="J15" i="5"/>
  <c r="F15" i="5"/>
  <c r="BV14" i="5"/>
  <c r="BT14" i="5"/>
  <c r="BR14" i="5"/>
  <c r="BN14" i="5"/>
  <c r="BJ14" i="5"/>
  <c r="BF14" i="5"/>
  <c r="BB14" i="5"/>
  <c r="AX14" i="5"/>
  <c r="AT14" i="5"/>
  <c r="AP14" i="5"/>
  <c r="AL14" i="5"/>
  <c r="AH14" i="5"/>
  <c r="AD14" i="5"/>
  <c r="Z14" i="5"/>
  <c r="R14" i="5"/>
  <c r="F14" i="5"/>
  <c r="BV13" i="5"/>
  <c r="BT13" i="5"/>
  <c r="BR13" i="5"/>
  <c r="BN13" i="5"/>
  <c r="BJ13" i="5"/>
  <c r="BF13" i="5"/>
  <c r="BB13" i="5"/>
  <c r="AX13" i="5"/>
  <c r="AT13" i="5"/>
  <c r="AP13" i="5"/>
  <c r="AL13" i="5"/>
  <c r="AH13" i="5"/>
  <c r="AD13" i="5"/>
  <c r="Z13" i="5"/>
  <c r="V13" i="5"/>
  <c r="R13" i="5"/>
  <c r="N13" i="5"/>
  <c r="J13" i="5"/>
  <c r="F13" i="5"/>
  <c r="BV12" i="5"/>
  <c r="BT12" i="5"/>
  <c r="BR12" i="5"/>
  <c r="BN12" i="5"/>
  <c r="BJ12" i="5"/>
  <c r="BF12" i="5"/>
  <c r="BB12" i="5"/>
  <c r="AX12" i="5"/>
  <c r="AT12" i="5"/>
  <c r="AP12" i="5"/>
  <c r="AL12" i="5"/>
  <c r="AH12" i="5"/>
  <c r="AD12" i="5"/>
  <c r="Z12" i="5"/>
  <c r="V12" i="5"/>
  <c r="R12" i="5"/>
  <c r="N12" i="5"/>
  <c r="J12" i="5"/>
  <c r="F12" i="5"/>
  <c r="BV11" i="5"/>
  <c r="BT11" i="5"/>
  <c r="BR11" i="5"/>
  <c r="BN11" i="5"/>
  <c r="BJ11" i="5"/>
  <c r="BF11" i="5"/>
  <c r="BB11" i="5"/>
  <c r="AX11" i="5"/>
  <c r="AT11" i="5"/>
  <c r="AP11" i="5"/>
  <c r="AL11" i="5"/>
  <c r="AH11" i="5"/>
  <c r="AD11" i="5"/>
  <c r="Z11" i="5"/>
  <c r="V11" i="5"/>
  <c r="R11" i="5"/>
  <c r="N11" i="5"/>
  <c r="J11" i="5"/>
  <c r="F11" i="5"/>
  <c r="BV10" i="5"/>
  <c r="BT10" i="5"/>
  <c r="BR10" i="5"/>
  <c r="BN10" i="5"/>
  <c r="BJ10" i="5"/>
  <c r="BF10" i="5"/>
  <c r="BB10" i="5"/>
  <c r="AX10" i="5"/>
  <c r="AT10" i="5"/>
  <c r="AP10" i="5"/>
  <c r="AL10" i="5"/>
  <c r="AH10" i="5"/>
  <c r="AD10" i="5"/>
  <c r="Z10" i="5"/>
  <c r="V10" i="5"/>
  <c r="R10" i="5"/>
  <c r="N10" i="5"/>
  <c r="J10" i="5"/>
  <c r="F10" i="5"/>
  <c r="BV9" i="5"/>
  <c r="BT9" i="5"/>
  <c r="BR9" i="5"/>
  <c r="BN9" i="5"/>
  <c r="BJ9" i="5"/>
  <c r="BF9" i="5"/>
  <c r="BB9" i="5"/>
  <c r="AX9" i="5"/>
  <c r="AT9" i="5"/>
  <c r="AP9" i="5"/>
  <c r="AL9" i="5"/>
  <c r="AH9" i="5"/>
  <c r="AD9" i="5"/>
  <c r="Z9" i="5"/>
  <c r="V9" i="5"/>
  <c r="R9" i="5"/>
  <c r="N9" i="5"/>
  <c r="J9" i="5"/>
  <c r="F9" i="5"/>
  <c r="BV8" i="5"/>
  <c r="BT8" i="5"/>
  <c r="BX8" i="5" s="1"/>
  <c r="BR8" i="5"/>
  <c r="BN8" i="5"/>
  <c r="BJ8" i="5"/>
  <c r="BF8" i="5"/>
  <c r="BB8" i="5"/>
  <c r="AX8" i="5"/>
  <c r="AT8" i="5"/>
  <c r="AP8" i="5"/>
  <c r="AL8" i="5"/>
  <c r="AH8" i="5"/>
  <c r="AD8" i="5"/>
  <c r="Z8" i="5"/>
  <c r="V8" i="5"/>
  <c r="R8" i="5"/>
  <c r="N8" i="5"/>
  <c r="J8" i="5"/>
  <c r="F8" i="5"/>
  <c r="BV7" i="5"/>
  <c r="BT7" i="5"/>
  <c r="BR7" i="5"/>
  <c r="BN7" i="5"/>
  <c r="BJ7" i="5"/>
  <c r="BF7" i="5"/>
  <c r="BB7" i="5"/>
  <c r="AX7" i="5"/>
  <c r="AT7" i="5"/>
  <c r="AP7" i="5"/>
  <c r="AL7" i="5"/>
  <c r="AH7" i="5"/>
  <c r="AD7" i="5"/>
  <c r="Z7" i="5"/>
  <c r="V7" i="5"/>
  <c r="R7" i="5"/>
  <c r="N7" i="5"/>
  <c r="J7" i="5"/>
  <c r="F7" i="5"/>
  <c r="BV6" i="5"/>
  <c r="BT6" i="5"/>
  <c r="BR6" i="5"/>
  <c r="BN6" i="5"/>
  <c r="BJ6" i="5"/>
  <c r="BF6" i="5"/>
  <c r="BB6" i="5"/>
  <c r="AX6" i="5"/>
  <c r="AT6" i="5"/>
  <c r="AP6" i="5"/>
  <c r="AL6" i="5"/>
  <c r="AH6" i="5"/>
  <c r="AD6" i="5"/>
  <c r="Z6" i="5"/>
  <c r="V6" i="5"/>
  <c r="R6" i="5"/>
  <c r="N6" i="5"/>
  <c r="J6" i="5"/>
  <c r="F6" i="5"/>
  <c r="BV5" i="5"/>
  <c r="BT5" i="5"/>
  <c r="BX5" i="5" s="1"/>
  <c r="BR5" i="5"/>
  <c r="BN5" i="5"/>
  <c r="BJ5" i="5"/>
  <c r="BF5" i="5"/>
  <c r="BB5" i="5"/>
  <c r="AX5" i="5"/>
  <c r="AT5" i="5"/>
  <c r="AP5" i="5"/>
  <c r="AL5" i="5"/>
  <c r="AH5" i="5"/>
  <c r="AD5" i="5"/>
  <c r="Z5" i="5"/>
  <c r="V5" i="5"/>
  <c r="R5" i="5"/>
  <c r="N5" i="5"/>
  <c r="J5" i="5"/>
  <c r="F5" i="5"/>
  <c r="BV4" i="5"/>
  <c r="BT4" i="5"/>
  <c r="BR4" i="5"/>
  <c r="BN4" i="5"/>
  <c r="BJ4" i="5"/>
  <c r="BF4" i="5"/>
  <c r="BB4" i="5"/>
  <c r="AX4" i="5"/>
  <c r="AT4" i="5"/>
  <c r="AP4" i="5"/>
  <c r="AL4" i="5"/>
  <c r="AH4" i="5"/>
  <c r="AD4" i="5"/>
  <c r="Z4" i="5"/>
  <c r="V4" i="5"/>
  <c r="R4" i="5"/>
  <c r="N4" i="5"/>
  <c r="J4" i="5"/>
  <c r="F4" i="5"/>
  <c r="BV3" i="5"/>
  <c r="BT3" i="5"/>
  <c r="BR3" i="5"/>
  <c r="BN3" i="5"/>
  <c r="BJ3" i="5"/>
  <c r="BF3" i="5"/>
  <c r="BB3" i="5"/>
  <c r="AX3" i="5"/>
  <c r="AT3" i="5"/>
  <c r="AP3" i="5"/>
  <c r="AL3" i="5"/>
  <c r="AH3" i="5"/>
  <c r="AD3" i="5"/>
  <c r="Z3" i="5"/>
  <c r="V3" i="5"/>
  <c r="R3" i="5"/>
  <c r="R31" i="5" s="1"/>
  <c r="N3" i="5"/>
  <c r="J3" i="5"/>
  <c r="F3" i="5"/>
  <c r="BR19" i="4"/>
  <c r="BB12" i="4"/>
  <c r="BV30" i="4"/>
  <c r="BT30" i="4"/>
  <c r="BX30" i="4" s="1"/>
  <c r="BR30" i="4"/>
  <c r="BN30" i="4"/>
  <c r="BJ30" i="4"/>
  <c r="BF30" i="4"/>
  <c r="BB30" i="4"/>
  <c r="AX30" i="4"/>
  <c r="AT30" i="4"/>
  <c r="AP30" i="4"/>
  <c r="AL30" i="4"/>
  <c r="AH30" i="4"/>
  <c r="Z30" i="4"/>
  <c r="V30" i="4"/>
  <c r="R30" i="4"/>
  <c r="N30" i="4"/>
  <c r="J30" i="4"/>
  <c r="F30" i="4"/>
  <c r="BV29" i="4"/>
  <c r="BT29" i="4"/>
  <c r="BR29" i="4"/>
  <c r="BN29" i="4"/>
  <c r="BJ29" i="4"/>
  <c r="BF29" i="4"/>
  <c r="BB29" i="4"/>
  <c r="AX29" i="4"/>
  <c r="AT29" i="4"/>
  <c r="AP29" i="4"/>
  <c r="AL29" i="4"/>
  <c r="AH29" i="4"/>
  <c r="AD29" i="4"/>
  <c r="Z29" i="4"/>
  <c r="V29" i="4"/>
  <c r="R29" i="4"/>
  <c r="N29" i="4"/>
  <c r="J29" i="4"/>
  <c r="F29" i="4"/>
  <c r="BV28" i="4"/>
  <c r="BT28" i="4"/>
  <c r="BR28" i="4"/>
  <c r="BN28" i="4"/>
  <c r="BJ28" i="4"/>
  <c r="BF28" i="4"/>
  <c r="BB28" i="4"/>
  <c r="AX28" i="4"/>
  <c r="AT28" i="4"/>
  <c r="AP28" i="4"/>
  <c r="AL28" i="4"/>
  <c r="AH28" i="4"/>
  <c r="AD28" i="4"/>
  <c r="Z28" i="4"/>
  <c r="V28" i="4"/>
  <c r="R28" i="4"/>
  <c r="N28" i="4"/>
  <c r="J28" i="4"/>
  <c r="F28" i="4"/>
  <c r="BV27" i="4"/>
  <c r="BT27" i="4"/>
  <c r="BX27" i="4" s="1"/>
  <c r="BR27" i="4"/>
  <c r="BN27" i="4"/>
  <c r="BJ27" i="4"/>
  <c r="BF27" i="4"/>
  <c r="BB27" i="4"/>
  <c r="AX27" i="4"/>
  <c r="AT27" i="4"/>
  <c r="AP27" i="4"/>
  <c r="AL27" i="4"/>
  <c r="AH27" i="4"/>
  <c r="AD27" i="4"/>
  <c r="Z27" i="4"/>
  <c r="V27" i="4"/>
  <c r="R27" i="4"/>
  <c r="N27" i="4"/>
  <c r="J27" i="4"/>
  <c r="F27" i="4"/>
  <c r="BV26" i="4"/>
  <c r="BT26" i="4"/>
  <c r="BX26" i="4" s="1"/>
  <c r="BR26" i="4"/>
  <c r="BN26" i="4"/>
  <c r="BJ26" i="4"/>
  <c r="BF26" i="4"/>
  <c r="BB26" i="4"/>
  <c r="AX26" i="4"/>
  <c r="AT26" i="4"/>
  <c r="AP26" i="4"/>
  <c r="AL26" i="4"/>
  <c r="AH26" i="4"/>
  <c r="AD26" i="4"/>
  <c r="Z26" i="4"/>
  <c r="V26" i="4"/>
  <c r="R26" i="4"/>
  <c r="N26" i="4"/>
  <c r="J26" i="4"/>
  <c r="F26" i="4"/>
  <c r="BV25" i="4"/>
  <c r="BT25" i="4"/>
  <c r="BR25" i="4"/>
  <c r="BN25" i="4"/>
  <c r="BJ25" i="4"/>
  <c r="BF25" i="4"/>
  <c r="BB25" i="4"/>
  <c r="AX25" i="4"/>
  <c r="AT25" i="4"/>
  <c r="AP25" i="4"/>
  <c r="AL25" i="4"/>
  <c r="AH25" i="4"/>
  <c r="AD25" i="4"/>
  <c r="Z25" i="4"/>
  <c r="V25" i="4"/>
  <c r="R25" i="4"/>
  <c r="N25" i="4"/>
  <c r="J25" i="4"/>
  <c r="F25" i="4"/>
  <c r="BV24" i="4"/>
  <c r="BT24" i="4"/>
  <c r="BR24" i="4"/>
  <c r="BN24" i="4"/>
  <c r="BJ24" i="4"/>
  <c r="BF24" i="4"/>
  <c r="BB24" i="4"/>
  <c r="AX24" i="4"/>
  <c r="AT24" i="4"/>
  <c r="AP24" i="4"/>
  <c r="AL24" i="4"/>
  <c r="AH24" i="4"/>
  <c r="AD24" i="4"/>
  <c r="Z24" i="4"/>
  <c r="V24" i="4"/>
  <c r="R24" i="4"/>
  <c r="N24" i="4"/>
  <c r="F24" i="4"/>
  <c r="BV23" i="4"/>
  <c r="BT23" i="4"/>
  <c r="BR23" i="4"/>
  <c r="BN23" i="4"/>
  <c r="BJ23" i="4"/>
  <c r="BF23" i="4"/>
  <c r="BB23" i="4"/>
  <c r="AX23" i="4"/>
  <c r="AT23" i="4"/>
  <c r="AP23" i="4"/>
  <c r="AL23" i="4"/>
  <c r="AH23" i="4"/>
  <c r="AD23" i="4"/>
  <c r="Z23" i="4"/>
  <c r="V23" i="4"/>
  <c r="R23" i="4"/>
  <c r="N23" i="4"/>
  <c r="J23" i="4"/>
  <c r="F23" i="4"/>
  <c r="BV22" i="4"/>
  <c r="BT22" i="4"/>
  <c r="BX22" i="4" s="1"/>
  <c r="BR22" i="4"/>
  <c r="BN22" i="4"/>
  <c r="BJ22" i="4"/>
  <c r="BF22" i="4"/>
  <c r="BB22" i="4"/>
  <c r="AX22" i="4"/>
  <c r="AT22" i="4"/>
  <c r="AP22" i="4"/>
  <c r="AL22" i="4"/>
  <c r="AH22" i="4"/>
  <c r="AD22" i="4"/>
  <c r="Z22" i="4"/>
  <c r="V22" i="4"/>
  <c r="R22" i="4"/>
  <c r="N22" i="4"/>
  <c r="J22" i="4"/>
  <c r="F22" i="4"/>
  <c r="BV21" i="4"/>
  <c r="BT21" i="4"/>
  <c r="BR21" i="4"/>
  <c r="BN21" i="4"/>
  <c r="BJ21" i="4"/>
  <c r="BF21" i="4"/>
  <c r="BB21" i="4"/>
  <c r="AX21" i="4"/>
  <c r="AT21" i="4"/>
  <c r="AP21" i="4"/>
  <c r="AL21" i="4"/>
  <c r="AH21" i="4"/>
  <c r="AD21" i="4"/>
  <c r="Z21" i="4"/>
  <c r="V21" i="4"/>
  <c r="R21" i="4"/>
  <c r="N21" i="4"/>
  <c r="J21" i="4"/>
  <c r="F21" i="4"/>
  <c r="BV20" i="4"/>
  <c r="BT20" i="4"/>
  <c r="BR20" i="4"/>
  <c r="BN20" i="4"/>
  <c r="BJ20" i="4"/>
  <c r="BF20" i="4"/>
  <c r="BB20" i="4"/>
  <c r="AX20" i="4"/>
  <c r="AT20" i="4"/>
  <c r="AP20" i="4"/>
  <c r="AL20" i="4"/>
  <c r="AH20" i="4"/>
  <c r="AD20" i="4"/>
  <c r="Z20" i="4"/>
  <c r="V20" i="4"/>
  <c r="R20" i="4"/>
  <c r="N20" i="4"/>
  <c r="J20" i="4"/>
  <c r="F20" i="4"/>
  <c r="BV19" i="4"/>
  <c r="BT19" i="4"/>
  <c r="BN19" i="4"/>
  <c r="BJ19" i="4"/>
  <c r="BF19" i="4"/>
  <c r="BB19" i="4"/>
  <c r="AX19" i="4"/>
  <c r="AT19" i="4"/>
  <c r="AP19" i="4"/>
  <c r="AL19" i="4"/>
  <c r="AH19" i="4"/>
  <c r="AD19" i="4"/>
  <c r="Z19" i="4"/>
  <c r="V19" i="4"/>
  <c r="R19" i="4"/>
  <c r="N19" i="4"/>
  <c r="J19" i="4"/>
  <c r="F19" i="4"/>
  <c r="BV18" i="4"/>
  <c r="BT18" i="4"/>
  <c r="BR18" i="4"/>
  <c r="BN18" i="4"/>
  <c r="BJ18" i="4"/>
  <c r="BF18" i="4"/>
  <c r="BB18" i="4"/>
  <c r="AX18" i="4"/>
  <c r="AT18" i="4"/>
  <c r="AP18" i="4"/>
  <c r="AL18" i="4"/>
  <c r="AH18" i="4"/>
  <c r="AD18" i="4"/>
  <c r="Z18" i="4"/>
  <c r="V18" i="4"/>
  <c r="R18" i="4"/>
  <c r="N18" i="4"/>
  <c r="J18" i="4"/>
  <c r="F18" i="4"/>
  <c r="BV17" i="4"/>
  <c r="BT17" i="4"/>
  <c r="BR17" i="4"/>
  <c r="BN17" i="4"/>
  <c r="BJ17" i="4"/>
  <c r="BF17" i="4"/>
  <c r="BB17" i="4"/>
  <c r="AX17" i="4"/>
  <c r="AT17" i="4"/>
  <c r="AP17" i="4"/>
  <c r="AL17" i="4"/>
  <c r="AH17" i="4"/>
  <c r="AD17" i="4"/>
  <c r="Z17" i="4"/>
  <c r="V17" i="4"/>
  <c r="R17" i="4"/>
  <c r="N17" i="4"/>
  <c r="J17" i="4"/>
  <c r="F17" i="4"/>
  <c r="BV16" i="4"/>
  <c r="BT16" i="4"/>
  <c r="BX16" i="4" s="1"/>
  <c r="BR16" i="4"/>
  <c r="BN16" i="4"/>
  <c r="BJ16" i="4"/>
  <c r="BF16" i="4"/>
  <c r="BB16" i="4"/>
  <c r="AX16" i="4"/>
  <c r="AT16" i="4"/>
  <c r="AP16" i="4"/>
  <c r="AL16" i="4"/>
  <c r="AH16" i="4"/>
  <c r="AD16" i="4"/>
  <c r="V16" i="4"/>
  <c r="R16" i="4"/>
  <c r="N16" i="4"/>
  <c r="J16" i="4"/>
  <c r="F16" i="4"/>
  <c r="BV15" i="4"/>
  <c r="BT15" i="4"/>
  <c r="BX15" i="4" s="1"/>
  <c r="BR15" i="4"/>
  <c r="BN15" i="4"/>
  <c r="BJ15" i="4"/>
  <c r="BF15" i="4"/>
  <c r="BB15" i="4"/>
  <c r="AX15" i="4"/>
  <c r="AT15" i="4"/>
  <c r="AP15" i="4"/>
  <c r="AL15" i="4"/>
  <c r="AH15" i="4"/>
  <c r="AD15" i="4"/>
  <c r="Z15" i="4"/>
  <c r="V15" i="4"/>
  <c r="R15" i="4"/>
  <c r="N15" i="4"/>
  <c r="J15" i="4"/>
  <c r="F15" i="4"/>
  <c r="BV14" i="4"/>
  <c r="BT14" i="4"/>
  <c r="BR14" i="4"/>
  <c r="BN14" i="4"/>
  <c r="BJ14" i="4"/>
  <c r="BF14" i="4"/>
  <c r="BB14" i="4"/>
  <c r="AX14" i="4"/>
  <c r="AT14" i="4"/>
  <c r="AP14" i="4"/>
  <c r="AL14" i="4"/>
  <c r="AH14" i="4"/>
  <c r="AD14" i="4"/>
  <c r="Z14" i="4"/>
  <c r="R14" i="4"/>
  <c r="F14" i="4"/>
  <c r="BV13" i="4"/>
  <c r="BT13" i="4"/>
  <c r="BR13" i="4"/>
  <c r="BN13" i="4"/>
  <c r="BJ13" i="4"/>
  <c r="BF13" i="4"/>
  <c r="BB13" i="4"/>
  <c r="AX13" i="4"/>
  <c r="AT13" i="4"/>
  <c r="AP13" i="4"/>
  <c r="AL13" i="4"/>
  <c r="AH13" i="4"/>
  <c r="AD13" i="4"/>
  <c r="Z13" i="4"/>
  <c r="V13" i="4"/>
  <c r="R13" i="4"/>
  <c r="N13" i="4"/>
  <c r="J13" i="4"/>
  <c r="F13" i="4"/>
  <c r="BV12" i="4"/>
  <c r="BT12" i="4"/>
  <c r="BR12" i="4"/>
  <c r="BN12" i="4"/>
  <c r="BJ12" i="4"/>
  <c r="BF12" i="4"/>
  <c r="AX12" i="4"/>
  <c r="AT12" i="4"/>
  <c r="AP12" i="4"/>
  <c r="AL12" i="4"/>
  <c r="AH12" i="4"/>
  <c r="AD12" i="4"/>
  <c r="Z12" i="4"/>
  <c r="V12" i="4"/>
  <c r="R12" i="4"/>
  <c r="N12" i="4"/>
  <c r="J12" i="4"/>
  <c r="F12" i="4"/>
  <c r="BV11" i="4"/>
  <c r="BT11" i="4"/>
  <c r="BX11" i="4" s="1"/>
  <c r="BR11" i="4"/>
  <c r="BN11" i="4"/>
  <c r="BJ11" i="4"/>
  <c r="BF11" i="4"/>
  <c r="BB11" i="4"/>
  <c r="AX11" i="4"/>
  <c r="AT11" i="4"/>
  <c r="AP11" i="4"/>
  <c r="AL11" i="4"/>
  <c r="AH11" i="4"/>
  <c r="AD11" i="4"/>
  <c r="Z11" i="4"/>
  <c r="V11" i="4"/>
  <c r="R11" i="4"/>
  <c r="N11" i="4"/>
  <c r="J11" i="4"/>
  <c r="F11" i="4"/>
  <c r="BV10" i="4"/>
  <c r="BT10" i="4"/>
  <c r="BX10" i="4" s="1"/>
  <c r="BR10" i="4"/>
  <c r="BN10" i="4"/>
  <c r="BJ10" i="4"/>
  <c r="BF10" i="4"/>
  <c r="BB10" i="4"/>
  <c r="AX10" i="4"/>
  <c r="AT10" i="4"/>
  <c r="AP10" i="4"/>
  <c r="AL10" i="4"/>
  <c r="AH10" i="4"/>
  <c r="AD10" i="4"/>
  <c r="Z10" i="4"/>
  <c r="V10" i="4"/>
  <c r="R10" i="4"/>
  <c r="N10" i="4"/>
  <c r="J10" i="4"/>
  <c r="F10" i="4"/>
  <c r="BV9" i="4"/>
  <c r="BT9" i="4"/>
  <c r="BX9" i="4" s="1"/>
  <c r="BR9" i="4"/>
  <c r="BN9" i="4"/>
  <c r="BJ9" i="4"/>
  <c r="BF9" i="4"/>
  <c r="BB9" i="4"/>
  <c r="AX9" i="4"/>
  <c r="AT9" i="4"/>
  <c r="AP9" i="4"/>
  <c r="AL9" i="4"/>
  <c r="AH9" i="4"/>
  <c r="AD9" i="4"/>
  <c r="Z9" i="4"/>
  <c r="V9" i="4"/>
  <c r="R9" i="4"/>
  <c r="N9" i="4"/>
  <c r="J9" i="4"/>
  <c r="F9" i="4"/>
  <c r="BV8" i="4"/>
  <c r="BT8" i="4"/>
  <c r="BR8" i="4"/>
  <c r="BN8" i="4"/>
  <c r="BJ8" i="4"/>
  <c r="BF8" i="4"/>
  <c r="BB8" i="4"/>
  <c r="AX8" i="4"/>
  <c r="AT8" i="4"/>
  <c r="AP8" i="4"/>
  <c r="AL8" i="4"/>
  <c r="AH8" i="4"/>
  <c r="AD8" i="4"/>
  <c r="Z8" i="4"/>
  <c r="V8" i="4"/>
  <c r="R8" i="4"/>
  <c r="N8" i="4"/>
  <c r="J8" i="4"/>
  <c r="F8" i="4"/>
  <c r="BV7" i="4"/>
  <c r="BT7" i="4"/>
  <c r="BR7" i="4"/>
  <c r="BN7" i="4"/>
  <c r="BJ7" i="4"/>
  <c r="BF7" i="4"/>
  <c r="BB7" i="4"/>
  <c r="AX7" i="4"/>
  <c r="AT7" i="4"/>
  <c r="AP7" i="4"/>
  <c r="AL7" i="4"/>
  <c r="AH7" i="4"/>
  <c r="AD7" i="4"/>
  <c r="Z7" i="4"/>
  <c r="V7" i="4"/>
  <c r="R7" i="4"/>
  <c r="N7" i="4"/>
  <c r="J7" i="4"/>
  <c r="F7" i="4"/>
  <c r="BV6" i="4"/>
  <c r="BT6" i="4"/>
  <c r="BR6" i="4"/>
  <c r="BN6" i="4"/>
  <c r="BJ6" i="4"/>
  <c r="BF6" i="4"/>
  <c r="BB6" i="4"/>
  <c r="AX6" i="4"/>
  <c r="AT6" i="4"/>
  <c r="AP6" i="4"/>
  <c r="AL6" i="4"/>
  <c r="AH6" i="4"/>
  <c r="AD6" i="4"/>
  <c r="Z6" i="4"/>
  <c r="V6" i="4"/>
  <c r="R6" i="4"/>
  <c r="N6" i="4"/>
  <c r="J6" i="4"/>
  <c r="F6" i="4"/>
  <c r="BV5" i="4"/>
  <c r="BT5" i="4"/>
  <c r="BX5" i="4" s="1"/>
  <c r="BR5" i="4"/>
  <c r="BN5" i="4"/>
  <c r="BJ5" i="4"/>
  <c r="BF5" i="4"/>
  <c r="BB5" i="4"/>
  <c r="AX5" i="4"/>
  <c r="AT5" i="4"/>
  <c r="AP5" i="4"/>
  <c r="AL5" i="4"/>
  <c r="AH5" i="4"/>
  <c r="AD5" i="4"/>
  <c r="Z5" i="4"/>
  <c r="V5" i="4"/>
  <c r="R5" i="4"/>
  <c r="N5" i="4"/>
  <c r="J5" i="4"/>
  <c r="F5" i="4"/>
  <c r="BV4" i="4"/>
  <c r="BT4" i="4"/>
  <c r="BX4" i="4" s="1"/>
  <c r="BR4" i="4"/>
  <c r="BN4" i="4"/>
  <c r="BJ4" i="4"/>
  <c r="BF4" i="4"/>
  <c r="BB4" i="4"/>
  <c r="AX4" i="4"/>
  <c r="AT4" i="4"/>
  <c r="AP4" i="4"/>
  <c r="AL4" i="4"/>
  <c r="AH4" i="4"/>
  <c r="AD4" i="4"/>
  <c r="Z4" i="4"/>
  <c r="V4" i="4"/>
  <c r="R4" i="4"/>
  <c r="N4" i="4"/>
  <c r="J4" i="4"/>
  <c r="F4" i="4"/>
  <c r="BV3" i="4"/>
  <c r="BT3" i="4"/>
  <c r="BR3" i="4"/>
  <c r="BN3" i="4"/>
  <c r="BJ3" i="4"/>
  <c r="BF3" i="4"/>
  <c r="BB3" i="4"/>
  <c r="AX3" i="4"/>
  <c r="AT3" i="4"/>
  <c r="AP3" i="4"/>
  <c r="AP31" i="4" s="1"/>
  <c r="AL3" i="4"/>
  <c r="AH3" i="4"/>
  <c r="AD3" i="4"/>
  <c r="Z3" i="4"/>
  <c r="V3" i="4"/>
  <c r="R3" i="4"/>
  <c r="N3" i="4"/>
  <c r="J3" i="4"/>
  <c r="F3" i="4"/>
  <c r="L6" i="14" l="1"/>
  <c r="Q6" i="14"/>
  <c r="M6" i="14"/>
  <c r="P6" i="14"/>
  <c r="H6" i="14"/>
  <c r="O7" i="14"/>
  <c r="D7" i="14"/>
  <c r="P7" i="14"/>
  <c r="M7" i="14"/>
  <c r="K7" i="14"/>
  <c r="I7" i="14"/>
  <c r="G6" i="14"/>
  <c r="R6" i="14"/>
  <c r="S7" i="14"/>
  <c r="H7" i="14"/>
  <c r="Q7" i="14"/>
  <c r="J7" i="14"/>
  <c r="I6" i="14"/>
  <c r="J6" i="14"/>
  <c r="G7" i="14"/>
  <c r="L7" i="14"/>
  <c r="F7" i="14"/>
  <c r="K6" i="14"/>
  <c r="D6" i="14"/>
  <c r="F6" i="14"/>
  <c r="S6" i="14"/>
  <c r="CF9" i="8"/>
  <c r="CD4" i="8"/>
  <c r="CD9" i="8"/>
  <c r="CD14" i="8"/>
  <c r="BZ6" i="8"/>
  <c r="BZ22" i="8"/>
  <c r="CE4" i="8"/>
  <c r="CE13" i="8"/>
  <c r="CE15" i="10"/>
  <c r="BZ9" i="10"/>
  <c r="CF6" i="10" s="1"/>
  <c r="CE14" i="10"/>
  <c r="CE9" i="10"/>
  <c r="CD5" i="10"/>
  <c r="CD14" i="10"/>
  <c r="BZ12" i="10"/>
  <c r="BZ16" i="10"/>
  <c r="CE7" i="10"/>
  <c r="BZ28" i="10"/>
  <c r="BZ6" i="10"/>
  <c r="CE6" i="10"/>
  <c r="BZ29" i="10"/>
  <c r="CD16" i="10"/>
  <c r="BZ5" i="10"/>
  <c r="CF4" i="10" s="1"/>
  <c r="CD4" i="10"/>
  <c r="CD12" i="5"/>
  <c r="AH31" i="5"/>
  <c r="V31" i="9"/>
  <c r="Z31" i="9"/>
  <c r="N31" i="4"/>
  <c r="BR31" i="5"/>
  <c r="BZ27" i="10"/>
  <c r="R31" i="4"/>
  <c r="V31" i="11"/>
  <c r="AH31" i="11"/>
  <c r="J31" i="6"/>
  <c r="CD11" i="7"/>
  <c r="BZ5" i="8"/>
  <c r="CF4" i="8" s="1"/>
  <c r="AX31" i="11"/>
  <c r="Z31" i="6"/>
  <c r="BZ13" i="8"/>
  <c r="CF8" i="8" s="1"/>
  <c r="CD8" i="8"/>
  <c r="AX31" i="4"/>
  <c r="CE6" i="4"/>
  <c r="Z31" i="5"/>
  <c r="BB31" i="11"/>
  <c r="AD31" i="6"/>
  <c r="CE16" i="6"/>
  <c r="BZ4" i="10"/>
  <c r="CE3" i="10"/>
  <c r="BB31" i="4"/>
  <c r="AD31" i="5"/>
  <c r="CE8" i="6"/>
  <c r="BY15" i="7"/>
  <c r="CF9" i="7" s="1"/>
  <c r="CD9" i="7"/>
  <c r="BZ11" i="8"/>
  <c r="CF7" i="8" s="1"/>
  <c r="CD7" i="8"/>
  <c r="BF31" i="4"/>
  <c r="F31" i="9"/>
  <c r="BJ31" i="11"/>
  <c r="BU21" i="11"/>
  <c r="BW21" i="11" s="1"/>
  <c r="AL31" i="6"/>
  <c r="BY21" i="7"/>
  <c r="CE12" i="7"/>
  <c r="BZ17" i="8"/>
  <c r="CF10" i="8" s="1"/>
  <c r="CD10" i="8"/>
  <c r="BZ17" i="10"/>
  <c r="CF10" i="10" s="1"/>
  <c r="CD10" i="10"/>
  <c r="AL31" i="5"/>
  <c r="J31" i="9"/>
  <c r="BN31" i="11"/>
  <c r="AP31" i="6"/>
  <c r="CD6" i="7"/>
  <c r="CE15" i="7"/>
  <c r="BZ19" i="8"/>
  <c r="CD11" i="8"/>
  <c r="BZ27" i="8"/>
  <c r="CF15" i="8" s="1"/>
  <c r="CD15" i="8"/>
  <c r="AP31" i="5"/>
  <c r="N31" i="9"/>
  <c r="BR31" i="11"/>
  <c r="AT31" i="6"/>
  <c r="CD8" i="7"/>
  <c r="BR31" i="4"/>
  <c r="AT31" i="5"/>
  <c r="R31" i="9"/>
  <c r="BY25" i="7"/>
  <c r="CF14" i="7" s="1"/>
  <c r="CD14" i="7"/>
  <c r="BY17" i="7"/>
  <c r="CF10" i="7" s="1"/>
  <c r="CD10" i="7"/>
  <c r="BZ7" i="8"/>
  <c r="CF5" i="8" s="1"/>
  <c r="CD5" i="8"/>
  <c r="AX31" i="5"/>
  <c r="CE14" i="5"/>
  <c r="BB31" i="6"/>
  <c r="BB31" i="5"/>
  <c r="CE10" i="11"/>
  <c r="BF31" i="6"/>
  <c r="BF31" i="5"/>
  <c r="AD31" i="9"/>
  <c r="F31" i="11"/>
  <c r="BJ31" i="6"/>
  <c r="BZ21" i="8"/>
  <c r="CD12" i="8"/>
  <c r="BZ15" i="10"/>
  <c r="CF9" i="10" s="1"/>
  <c r="CD9" i="10"/>
  <c r="F31" i="4"/>
  <c r="BJ31" i="5"/>
  <c r="AH31" i="9"/>
  <c r="BN31" i="6"/>
  <c r="CE12" i="6"/>
  <c r="CE3" i="8"/>
  <c r="BZ3" i="8"/>
  <c r="BZ23" i="8"/>
  <c r="CF13" i="8" s="1"/>
  <c r="CD13" i="8"/>
  <c r="BZ7" i="10"/>
  <c r="CE5" i="10"/>
  <c r="BZ13" i="10"/>
  <c r="CF8" i="10" s="1"/>
  <c r="CE8" i="10"/>
  <c r="J31" i="4"/>
  <c r="CE9" i="4"/>
  <c r="AL31" i="9"/>
  <c r="N31" i="11"/>
  <c r="BR31" i="6"/>
  <c r="CD15" i="7"/>
  <c r="R31" i="11"/>
  <c r="BX21" i="5"/>
  <c r="CE12" i="5" s="1"/>
  <c r="AT31" i="9"/>
  <c r="BY30" i="7"/>
  <c r="V31" i="4"/>
  <c r="CE10" i="6"/>
  <c r="BY13" i="7"/>
  <c r="CF8" i="7" s="1"/>
  <c r="CE8" i="7"/>
  <c r="CE17" i="7" s="1"/>
  <c r="C9" i="12" s="1"/>
  <c r="CD3" i="8"/>
  <c r="Z31" i="4"/>
  <c r="BB31" i="9"/>
  <c r="AD31" i="11"/>
  <c r="F31" i="6"/>
  <c r="BY12" i="7"/>
  <c r="AD31" i="4"/>
  <c r="CE15" i="4"/>
  <c r="F31" i="5"/>
  <c r="BF31" i="9"/>
  <c r="AH31" i="4"/>
  <c r="BX12" i="4"/>
  <c r="CE7" i="4" s="1"/>
  <c r="J31" i="5"/>
  <c r="BJ31" i="9"/>
  <c r="AL31" i="11"/>
  <c r="CE15" i="11"/>
  <c r="N31" i="6"/>
  <c r="CE9" i="6"/>
  <c r="BZ29" i="8"/>
  <c r="CF16" i="8" s="1"/>
  <c r="CD16" i="8"/>
  <c r="BZ25" i="10"/>
  <c r="BZ21" i="10"/>
  <c r="CF12" i="10" s="1"/>
  <c r="CD13" i="10"/>
  <c r="AT31" i="4"/>
  <c r="V31" i="5"/>
  <c r="BU28" i="5"/>
  <c r="BF31" i="11"/>
  <c r="AH31" i="6"/>
  <c r="BJ31" i="4"/>
  <c r="BN31" i="4"/>
  <c r="AX31" i="6"/>
  <c r="J31" i="11"/>
  <c r="BN31" i="5"/>
  <c r="AP31" i="9"/>
  <c r="CE3" i="6"/>
  <c r="CD5" i="7"/>
  <c r="AX31" i="9"/>
  <c r="Z31" i="11"/>
  <c r="AL31" i="4"/>
  <c r="N31" i="5"/>
  <c r="BU14" i="5"/>
  <c r="BW14" i="5" s="1"/>
  <c r="BX15" i="5"/>
  <c r="BN31" i="9"/>
  <c r="BX5" i="9"/>
  <c r="CE4" i="9" s="1"/>
  <c r="AP31" i="11"/>
  <c r="BX11" i="11"/>
  <c r="R31" i="6"/>
  <c r="BX14" i="6"/>
  <c r="CD13" i="7"/>
  <c r="BZ9" i="8"/>
  <c r="CD6" i="8"/>
  <c r="CE10" i="10"/>
  <c r="BZ30" i="10"/>
  <c r="BZ23" i="10"/>
  <c r="CF13" i="10" s="1"/>
  <c r="BZ11" i="10"/>
  <c r="CF7" i="10" s="1"/>
  <c r="BX3" i="10"/>
  <c r="CD3" i="10" s="1"/>
  <c r="BZ8" i="10"/>
  <c r="BZ26" i="10"/>
  <c r="BZ19" i="10"/>
  <c r="CF11" i="10" s="1"/>
  <c r="BZ18" i="8"/>
  <c r="BZ4" i="8"/>
  <c r="BZ10" i="8"/>
  <c r="BZ20" i="8"/>
  <c r="BZ25" i="8"/>
  <c r="CF14" i="8" s="1"/>
  <c r="BY5" i="7"/>
  <c r="BY24" i="7"/>
  <c r="BY6" i="7"/>
  <c r="BY28" i="7"/>
  <c r="BY14" i="7"/>
  <c r="BY23" i="7"/>
  <c r="CF13" i="7" s="1"/>
  <c r="BY27" i="7"/>
  <c r="CF15" i="7" s="1"/>
  <c r="BY11" i="7"/>
  <c r="CF7" i="7" s="1"/>
  <c r="BY29" i="7"/>
  <c r="CF16" i="7" s="1"/>
  <c r="BY4" i="7"/>
  <c r="BY19" i="7"/>
  <c r="CF11" i="7" s="1"/>
  <c r="BY7" i="7"/>
  <c r="CF5" i="7" s="1"/>
  <c r="BW3" i="7"/>
  <c r="CD3" i="7" s="1"/>
  <c r="BY22" i="7"/>
  <c r="BY9" i="7"/>
  <c r="CF6" i="7" s="1"/>
  <c r="BY26" i="7"/>
  <c r="BU14" i="6"/>
  <c r="BU19" i="6"/>
  <c r="BW19" i="6" s="1"/>
  <c r="BX9" i="6"/>
  <c r="CE6" i="6" s="1"/>
  <c r="BX16" i="6"/>
  <c r="BX28" i="6"/>
  <c r="CE15" i="6" s="1"/>
  <c r="BX26" i="6"/>
  <c r="CE14" i="6" s="1"/>
  <c r="BU26" i="6"/>
  <c r="BW26" i="6" s="1"/>
  <c r="BX23" i="6"/>
  <c r="CE13" i="6" s="1"/>
  <c r="BX22" i="6"/>
  <c r="BU11" i="6"/>
  <c r="BW11" i="6" s="1"/>
  <c r="BX7" i="6"/>
  <c r="BX6" i="6"/>
  <c r="BU7" i="6"/>
  <c r="BW7" i="6" s="1"/>
  <c r="BX11" i="6"/>
  <c r="CE7" i="6" s="1"/>
  <c r="BU5" i="6"/>
  <c r="BW5" i="6" s="1"/>
  <c r="CD4" i="6" s="1"/>
  <c r="BX8" i="6"/>
  <c r="BY8" i="6" s="1"/>
  <c r="BU23" i="6"/>
  <c r="BW23" i="6" s="1"/>
  <c r="CD13" i="6" s="1"/>
  <c r="BU29" i="6"/>
  <c r="BW29" i="6" s="1"/>
  <c r="BU4" i="6"/>
  <c r="BW4" i="6" s="1"/>
  <c r="BU28" i="6"/>
  <c r="BW28" i="6" s="1"/>
  <c r="BX30" i="6"/>
  <c r="BU25" i="6"/>
  <c r="BW25" i="6" s="1"/>
  <c r="BU27" i="6"/>
  <c r="BW27" i="6" s="1"/>
  <c r="BU24" i="6"/>
  <c r="BU16" i="6"/>
  <c r="BW16" i="6" s="1"/>
  <c r="BY16" i="6" s="1"/>
  <c r="BX24" i="6"/>
  <c r="BU30" i="6"/>
  <c r="BW30" i="6" s="1"/>
  <c r="BU13" i="6"/>
  <c r="BW13" i="6" s="1"/>
  <c r="BU10" i="6"/>
  <c r="BW10" i="6" s="1"/>
  <c r="BY10" i="6" s="1"/>
  <c r="BU9" i="6"/>
  <c r="BW9" i="6" s="1"/>
  <c r="BU6" i="6"/>
  <c r="BW6" i="6" s="1"/>
  <c r="BU22" i="6"/>
  <c r="BW22" i="6" s="1"/>
  <c r="BU21" i="6"/>
  <c r="BW21" i="6" s="1"/>
  <c r="BU20" i="6"/>
  <c r="BW20" i="6" s="1"/>
  <c r="BY20" i="6" s="1"/>
  <c r="BU17" i="6"/>
  <c r="BW17" i="6" s="1"/>
  <c r="BU8" i="6"/>
  <c r="BW8" i="6" s="1"/>
  <c r="BU12" i="6"/>
  <c r="BW12" i="6" s="1"/>
  <c r="BY12" i="6" s="1"/>
  <c r="BU18" i="6"/>
  <c r="BW18" i="6" s="1"/>
  <c r="BY18" i="6" s="1"/>
  <c r="BU15" i="6"/>
  <c r="BW15" i="6" s="1"/>
  <c r="BX19" i="6"/>
  <c r="BX5" i="6"/>
  <c r="BW14" i="6"/>
  <c r="BX4" i="6"/>
  <c r="BU3" i="6"/>
  <c r="BW3" i="6" s="1"/>
  <c r="CD3" i="6" s="1"/>
  <c r="BW24" i="6"/>
  <c r="BX10" i="11"/>
  <c r="BU14" i="11"/>
  <c r="BW14" i="11" s="1"/>
  <c r="BY14" i="11" s="1"/>
  <c r="BX15" i="11"/>
  <c r="CE9" i="11" s="1"/>
  <c r="BX21" i="11"/>
  <c r="BU13" i="11"/>
  <c r="BW13" i="11" s="1"/>
  <c r="CD8" i="11" s="1"/>
  <c r="BU28" i="11"/>
  <c r="BW28" i="11" s="1"/>
  <c r="BU17" i="11"/>
  <c r="BW17" i="11" s="1"/>
  <c r="BX12" i="11"/>
  <c r="BY12" i="11" s="1"/>
  <c r="BX23" i="11"/>
  <c r="CE13" i="11" s="1"/>
  <c r="BU15" i="11"/>
  <c r="BW15" i="11" s="1"/>
  <c r="BU12" i="11"/>
  <c r="BX14" i="11"/>
  <c r="BU11" i="11"/>
  <c r="BW11" i="11" s="1"/>
  <c r="BU10" i="11"/>
  <c r="BW10" i="11" s="1"/>
  <c r="BU9" i="11"/>
  <c r="BW9" i="11" s="1"/>
  <c r="CD6" i="11" s="1"/>
  <c r="BX13" i="11"/>
  <c r="CE8" i="11" s="1"/>
  <c r="BU30" i="11"/>
  <c r="BW30" i="11" s="1"/>
  <c r="BU8" i="11"/>
  <c r="BW8" i="11" s="1"/>
  <c r="BY8" i="11" s="1"/>
  <c r="BX30" i="11"/>
  <c r="CE16" i="11" s="1"/>
  <c r="BU7" i="11"/>
  <c r="BW7" i="11" s="1"/>
  <c r="CD5" i="11" s="1"/>
  <c r="BU29" i="11"/>
  <c r="BW29" i="11" s="1"/>
  <c r="BU26" i="11"/>
  <c r="BW26" i="11" s="1"/>
  <c r="BX6" i="11"/>
  <c r="BY6" i="11" s="1"/>
  <c r="BU24" i="11"/>
  <c r="BW24" i="11" s="1"/>
  <c r="BU23" i="11"/>
  <c r="BW23" i="11" s="1"/>
  <c r="BU20" i="11"/>
  <c r="BW20" i="11" s="1"/>
  <c r="BY20" i="11" s="1"/>
  <c r="BU22" i="11"/>
  <c r="BW22" i="11" s="1"/>
  <c r="BU19" i="11"/>
  <c r="BW19" i="11" s="1"/>
  <c r="BX22" i="11"/>
  <c r="BU16" i="11"/>
  <c r="BW16" i="11" s="1"/>
  <c r="BY16" i="11" s="1"/>
  <c r="BU27" i="11"/>
  <c r="BW27" i="11" s="1"/>
  <c r="BU6" i="11"/>
  <c r="BW6" i="11" s="1"/>
  <c r="BU5" i="11"/>
  <c r="BW5" i="11" s="1"/>
  <c r="BU25" i="11"/>
  <c r="BW25" i="11" s="1"/>
  <c r="BU4" i="11"/>
  <c r="BW4" i="11" s="1"/>
  <c r="BY4" i="11" s="1"/>
  <c r="BX28" i="11"/>
  <c r="BU18" i="11"/>
  <c r="BW18" i="11" s="1"/>
  <c r="BY18" i="11" s="1"/>
  <c r="BX19" i="11"/>
  <c r="CE11" i="11" s="1"/>
  <c r="BW12" i="11"/>
  <c r="BX7" i="11"/>
  <c r="CE5" i="11" s="1"/>
  <c r="BX9" i="11"/>
  <c r="CE6" i="11" s="1"/>
  <c r="BX24" i="11"/>
  <c r="BX25" i="11"/>
  <c r="BX26" i="11"/>
  <c r="BU3" i="11"/>
  <c r="BX3" i="11"/>
  <c r="CE3" i="11" s="1"/>
  <c r="BX11" i="5"/>
  <c r="CE7" i="5" s="1"/>
  <c r="BX30" i="9"/>
  <c r="BX20" i="9"/>
  <c r="BX11" i="9"/>
  <c r="BX26" i="9"/>
  <c r="BX25" i="9"/>
  <c r="CE14" i="9" s="1"/>
  <c r="BX10" i="9"/>
  <c r="BX15" i="9"/>
  <c r="BX12" i="9"/>
  <c r="BX27" i="9"/>
  <c r="CE15" i="9" s="1"/>
  <c r="BX9" i="9"/>
  <c r="CE6" i="9" s="1"/>
  <c r="BX8" i="9"/>
  <c r="BU14" i="9"/>
  <c r="BW14" i="9" s="1"/>
  <c r="BU13" i="9"/>
  <c r="BW13" i="9" s="1"/>
  <c r="CD8" i="9" s="1"/>
  <c r="BU28" i="9"/>
  <c r="BW28" i="9" s="1"/>
  <c r="BX29" i="9"/>
  <c r="BU21" i="9"/>
  <c r="BW21" i="9" s="1"/>
  <c r="BX7" i="9"/>
  <c r="CE5" i="9" s="1"/>
  <c r="BU22" i="9"/>
  <c r="BW22" i="9" s="1"/>
  <c r="BU16" i="9"/>
  <c r="BW16" i="9" s="1"/>
  <c r="BX14" i="9"/>
  <c r="BU20" i="9"/>
  <c r="BW20" i="9" s="1"/>
  <c r="BY20" i="9" s="1"/>
  <c r="BU19" i="9"/>
  <c r="BW19" i="9" s="1"/>
  <c r="BU18" i="9"/>
  <c r="BW18" i="9" s="1"/>
  <c r="BU17" i="9"/>
  <c r="BW17" i="9" s="1"/>
  <c r="CD10" i="9" s="1"/>
  <c r="BX21" i="9"/>
  <c r="BU12" i="9"/>
  <c r="BW12" i="9" s="1"/>
  <c r="BU10" i="9"/>
  <c r="BW10" i="9" s="1"/>
  <c r="BU30" i="9"/>
  <c r="BW30" i="9" s="1"/>
  <c r="BU23" i="9"/>
  <c r="BW23" i="9" s="1"/>
  <c r="CD13" i="9" s="1"/>
  <c r="BU15" i="9"/>
  <c r="BW15" i="9" s="1"/>
  <c r="BU11" i="9"/>
  <c r="BW11" i="9" s="1"/>
  <c r="BU9" i="9"/>
  <c r="BW9" i="9" s="1"/>
  <c r="CD6" i="9" s="1"/>
  <c r="BX13" i="9"/>
  <c r="BU8" i="9"/>
  <c r="BW8" i="9" s="1"/>
  <c r="BU7" i="9"/>
  <c r="BW7" i="9" s="1"/>
  <c r="CD5" i="9" s="1"/>
  <c r="BU27" i="9"/>
  <c r="BW27" i="9" s="1"/>
  <c r="CD15" i="9" s="1"/>
  <c r="BU29" i="9"/>
  <c r="BW29" i="9" s="1"/>
  <c r="CD16" i="9" s="1"/>
  <c r="BU6" i="9"/>
  <c r="BW6" i="9" s="1"/>
  <c r="BU26" i="9"/>
  <c r="BW26" i="9" s="1"/>
  <c r="BU5" i="9"/>
  <c r="BW5" i="9" s="1"/>
  <c r="BU25" i="9"/>
  <c r="BW25" i="9" s="1"/>
  <c r="BU4" i="9"/>
  <c r="BW4" i="9" s="1"/>
  <c r="BX6" i="9"/>
  <c r="BU24" i="9"/>
  <c r="BW24" i="9" s="1"/>
  <c r="BX28" i="9"/>
  <c r="BX4" i="9"/>
  <c r="BX24" i="9"/>
  <c r="BX22" i="9"/>
  <c r="BX16" i="9"/>
  <c r="BX23" i="9"/>
  <c r="CE13" i="9" s="1"/>
  <c r="BX17" i="9"/>
  <c r="BX3" i="9"/>
  <c r="CE3" i="9" s="1"/>
  <c r="BX18" i="9"/>
  <c r="BX19" i="9"/>
  <c r="CE11" i="9" s="1"/>
  <c r="BU3" i="9"/>
  <c r="BU15" i="5"/>
  <c r="BW15" i="5" s="1"/>
  <c r="BU26" i="5"/>
  <c r="BW26" i="5" s="1"/>
  <c r="BY26" i="5" s="1"/>
  <c r="BU30" i="5"/>
  <c r="BW30" i="5" s="1"/>
  <c r="BY30" i="5" s="1"/>
  <c r="BX30" i="5"/>
  <c r="CE16" i="5" s="1"/>
  <c r="BX14" i="5"/>
  <c r="BY14" i="5" s="1"/>
  <c r="BU10" i="5"/>
  <c r="BW10" i="5" s="1"/>
  <c r="BY10" i="5" s="1"/>
  <c r="BX12" i="5"/>
  <c r="BU13" i="5"/>
  <c r="BU4" i="5"/>
  <c r="BW4" i="5" s="1"/>
  <c r="BU27" i="5"/>
  <c r="BW27" i="5" s="1"/>
  <c r="BX10" i="5"/>
  <c r="BX27" i="5"/>
  <c r="BU17" i="5"/>
  <c r="BU8" i="5"/>
  <c r="BW8" i="5" s="1"/>
  <c r="BY8" i="5" s="1"/>
  <c r="BU19" i="5"/>
  <c r="BW19" i="5" s="1"/>
  <c r="BU24" i="5"/>
  <c r="BW24" i="5" s="1"/>
  <c r="BY24" i="5" s="1"/>
  <c r="BU5" i="5"/>
  <c r="BW5" i="5" s="1"/>
  <c r="BX6" i="5"/>
  <c r="CE4" i="5" s="1"/>
  <c r="BU23" i="5"/>
  <c r="BW23" i="5" s="1"/>
  <c r="CD13" i="5" s="1"/>
  <c r="BX3" i="5"/>
  <c r="BU18" i="5"/>
  <c r="BW18" i="5" s="1"/>
  <c r="BY18" i="5" s="1"/>
  <c r="BU29" i="5"/>
  <c r="BW29" i="5" s="1"/>
  <c r="BW28" i="5"/>
  <c r="BX28" i="5"/>
  <c r="BU25" i="5"/>
  <c r="BW25" i="5" s="1"/>
  <c r="BX23" i="5"/>
  <c r="CE13" i="5" s="1"/>
  <c r="BU22" i="5"/>
  <c r="BW22" i="5" s="1"/>
  <c r="BX22" i="5"/>
  <c r="BU20" i="5"/>
  <c r="BW20" i="5" s="1"/>
  <c r="BX20" i="5"/>
  <c r="BY20" i="5" s="1"/>
  <c r="BX19" i="5"/>
  <c r="CE11" i="5" s="1"/>
  <c r="BX17" i="5"/>
  <c r="CE10" i="5" s="1"/>
  <c r="BU16" i="5"/>
  <c r="BW16" i="5" s="1"/>
  <c r="BW13" i="5"/>
  <c r="CD8" i="5" s="1"/>
  <c r="BX13" i="5"/>
  <c r="BU12" i="5"/>
  <c r="BW12" i="5" s="1"/>
  <c r="BU11" i="5"/>
  <c r="BW11" i="5" s="1"/>
  <c r="BU9" i="5"/>
  <c r="BW9" i="5" s="1"/>
  <c r="BX9" i="5"/>
  <c r="CE6" i="5" s="1"/>
  <c r="BU7" i="5"/>
  <c r="BW7" i="5" s="1"/>
  <c r="BU6" i="5"/>
  <c r="BW6" i="5" s="1"/>
  <c r="BX4" i="5"/>
  <c r="BY4" i="5" s="1"/>
  <c r="BY21" i="5"/>
  <c r="BX7" i="5"/>
  <c r="CE5" i="5" s="1"/>
  <c r="BX16" i="5"/>
  <c r="BU3" i="5"/>
  <c r="BW17" i="5"/>
  <c r="BX8" i="4"/>
  <c r="BX7" i="4"/>
  <c r="CE5" i="4" s="1"/>
  <c r="BX29" i="4"/>
  <c r="CE16" i="4" s="1"/>
  <c r="BU28" i="4"/>
  <c r="BW28" i="4" s="1"/>
  <c r="BX24" i="4"/>
  <c r="BX19" i="4"/>
  <c r="BX20" i="4"/>
  <c r="BU13" i="4"/>
  <c r="BW13" i="4" s="1"/>
  <c r="CD8" i="4" s="1"/>
  <c r="BU11" i="4"/>
  <c r="BW11" i="4" s="1"/>
  <c r="BU21" i="4"/>
  <c r="BW21" i="4" s="1"/>
  <c r="CD12" i="4" s="1"/>
  <c r="BU14" i="4"/>
  <c r="BW14" i="4" s="1"/>
  <c r="BU10" i="4"/>
  <c r="BW10" i="4" s="1"/>
  <c r="BY10" i="4" s="1"/>
  <c r="BX13" i="4"/>
  <c r="BU30" i="4"/>
  <c r="BW30" i="4" s="1"/>
  <c r="BY30" i="4" s="1"/>
  <c r="BU8" i="4"/>
  <c r="BW8" i="4" s="1"/>
  <c r="BU6" i="4"/>
  <c r="BW6" i="4" s="1"/>
  <c r="BU26" i="4"/>
  <c r="BW26" i="4" s="1"/>
  <c r="BY26" i="4" s="1"/>
  <c r="BU4" i="4"/>
  <c r="BW4" i="4" s="1"/>
  <c r="BY4" i="4" s="1"/>
  <c r="BU20" i="4"/>
  <c r="BW20" i="4" s="1"/>
  <c r="BU22" i="4"/>
  <c r="BW22" i="4" s="1"/>
  <c r="BY22" i="4" s="1"/>
  <c r="BU19" i="4"/>
  <c r="BU18" i="4"/>
  <c r="BW18" i="4" s="1"/>
  <c r="BU17" i="4"/>
  <c r="BW17" i="4" s="1"/>
  <c r="BX21" i="4"/>
  <c r="CE12" i="4" s="1"/>
  <c r="BU16" i="4"/>
  <c r="BW16" i="4" s="1"/>
  <c r="BY16" i="4" s="1"/>
  <c r="BU15" i="4"/>
  <c r="BW15" i="4" s="1"/>
  <c r="BU12" i="4"/>
  <c r="BW12" i="4" s="1"/>
  <c r="BY12" i="4" s="1"/>
  <c r="BX14" i="4"/>
  <c r="BU9" i="4"/>
  <c r="BW9" i="4" s="1"/>
  <c r="BU7" i="4"/>
  <c r="BW7" i="4" s="1"/>
  <c r="BU27" i="4"/>
  <c r="BW27" i="4" s="1"/>
  <c r="BU29" i="4"/>
  <c r="BU5" i="4"/>
  <c r="BW5" i="4" s="1"/>
  <c r="BU25" i="4"/>
  <c r="BW25" i="4" s="1"/>
  <c r="BX6" i="4"/>
  <c r="CE4" i="4" s="1"/>
  <c r="BU24" i="4"/>
  <c r="BW24" i="4" s="1"/>
  <c r="BX28" i="4"/>
  <c r="BU23" i="4"/>
  <c r="BW23" i="4" s="1"/>
  <c r="CD13" i="4" s="1"/>
  <c r="BW29" i="4"/>
  <c r="BX17" i="4"/>
  <c r="BX18" i="4"/>
  <c r="BX23" i="4"/>
  <c r="BX25" i="4"/>
  <c r="CE14" i="4" s="1"/>
  <c r="BU3" i="4"/>
  <c r="BX3" i="4"/>
  <c r="CE3" i="4" s="1"/>
  <c r="BW19" i="4"/>
  <c r="CD11" i="4" s="1"/>
  <c r="BN16" i="2"/>
  <c r="V27" i="2"/>
  <c r="BV30" i="2"/>
  <c r="BT30" i="2"/>
  <c r="BR30" i="2"/>
  <c r="BN30" i="2"/>
  <c r="BJ30" i="2"/>
  <c r="BF30" i="2"/>
  <c r="BB30" i="2"/>
  <c r="AX30" i="2"/>
  <c r="AT30" i="2"/>
  <c r="AP30" i="2"/>
  <c r="AL30" i="2"/>
  <c r="AH30" i="2"/>
  <c r="Z30" i="2"/>
  <c r="V30" i="2"/>
  <c r="R30" i="2"/>
  <c r="N30" i="2"/>
  <c r="J30" i="2"/>
  <c r="F30" i="2"/>
  <c r="BV29" i="2"/>
  <c r="BT29" i="2"/>
  <c r="BX29" i="2" s="1"/>
  <c r="BR29" i="2"/>
  <c r="BN29" i="2"/>
  <c r="BJ29" i="2"/>
  <c r="BF29" i="2"/>
  <c r="BB29" i="2"/>
  <c r="AX29" i="2"/>
  <c r="AT29" i="2"/>
  <c r="AP29" i="2"/>
  <c r="AL29" i="2"/>
  <c r="AH29" i="2"/>
  <c r="AD29" i="2"/>
  <c r="Z29" i="2"/>
  <c r="V29" i="2"/>
  <c r="R29" i="2"/>
  <c r="N29" i="2"/>
  <c r="J29" i="2"/>
  <c r="F29" i="2"/>
  <c r="BV28" i="2"/>
  <c r="BT28" i="2"/>
  <c r="BR28" i="2"/>
  <c r="BN28" i="2"/>
  <c r="BJ28" i="2"/>
  <c r="BF28" i="2"/>
  <c r="BB28" i="2"/>
  <c r="AX28" i="2"/>
  <c r="AT28" i="2"/>
  <c r="AP28" i="2"/>
  <c r="AL28" i="2"/>
  <c r="AH28" i="2"/>
  <c r="AD28" i="2"/>
  <c r="Z28" i="2"/>
  <c r="V28" i="2"/>
  <c r="R28" i="2"/>
  <c r="N28" i="2"/>
  <c r="J28" i="2"/>
  <c r="F28" i="2"/>
  <c r="BV27" i="2"/>
  <c r="BT27" i="2"/>
  <c r="BR27" i="2"/>
  <c r="BN27" i="2"/>
  <c r="BJ27" i="2"/>
  <c r="BF27" i="2"/>
  <c r="BB27" i="2"/>
  <c r="AX27" i="2"/>
  <c r="AT27" i="2"/>
  <c r="AP27" i="2"/>
  <c r="AL27" i="2"/>
  <c r="AH27" i="2"/>
  <c r="AD27" i="2"/>
  <c r="Z27" i="2"/>
  <c r="R27" i="2"/>
  <c r="N27" i="2"/>
  <c r="J27" i="2"/>
  <c r="F27" i="2"/>
  <c r="BV26" i="2"/>
  <c r="BT26" i="2"/>
  <c r="BR26" i="2"/>
  <c r="BN26" i="2"/>
  <c r="BJ26" i="2"/>
  <c r="BF26" i="2"/>
  <c r="BB26" i="2"/>
  <c r="AX26" i="2"/>
  <c r="AT26" i="2"/>
  <c r="AP26" i="2"/>
  <c r="AL26" i="2"/>
  <c r="AH26" i="2"/>
  <c r="AD26" i="2"/>
  <c r="Z26" i="2"/>
  <c r="V26" i="2"/>
  <c r="R26" i="2"/>
  <c r="N26" i="2"/>
  <c r="J26" i="2"/>
  <c r="F26" i="2"/>
  <c r="BV25" i="2"/>
  <c r="BT25" i="2"/>
  <c r="BR25" i="2"/>
  <c r="BN25" i="2"/>
  <c r="BJ25" i="2"/>
  <c r="BF25" i="2"/>
  <c r="BB25" i="2"/>
  <c r="AX25" i="2"/>
  <c r="AT25" i="2"/>
  <c r="AP25" i="2"/>
  <c r="AL25" i="2"/>
  <c r="AH25" i="2"/>
  <c r="AD25" i="2"/>
  <c r="Z25" i="2"/>
  <c r="V25" i="2"/>
  <c r="R25" i="2"/>
  <c r="N25" i="2"/>
  <c r="J25" i="2"/>
  <c r="F25" i="2"/>
  <c r="BV24" i="2"/>
  <c r="BT24" i="2"/>
  <c r="BX24" i="2" s="1"/>
  <c r="BR24" i="2"/>
  <c r="BN24" i="2"/>
  <c r="BJ24" i="2"/>
  <c r="BF24" i="2"/>
  <c r="BB24" i="2"/>
  <c r="AX24" i="2"/>
  <c r="AT24" i="2"/>
  <c r="AP24" i="2"/>
  <c r="AL24" i="2"/>
  <c r="AH24" i="2"/>
  <c r="AD24" i="2"/>
  <c r="Z24" i="2"/>
  <c r="V24" i="2"/>
  <c r="R24" i="2"/>
  <c r="N24" i="2"/>
  <c r="F24" i="2"/>
  <c r="BV23" i="2"/>
  <c r="BT23" i="2"/>
  <c r="BR23" i="2"/>
  <c r="BN23" i="2"/>
  <c r="BJ23" i="2"/>
  <c r="BF23" i="2"/>
  <c r="BB23" i="2"/>
  <c r="AX23" i="2"/>
  <c r="AT23" i="2"/>
  <c r="AP23" i="2"/>
  <c r="AL23" i="2"/>
  <c r="AH23" i="2"/>
  <c r="AD23" i="2"/>
  <c r="Z23" i="2"/>
  <c r="V23" i="2"/>
  <c r="R23" i="2"/>
  <c r="N23" i="2"/>
  <c r="J23" i="2"/>
  <c r="F23" i="2"/>
  <c r="BV22" i="2"/>
  <c r="BT22" i="2"/>
  <c r="BR22" i="2"/>
  <c r="BN22" i="2"/>
  <c r="BJ22" i="2"/>
  <c r="BF22" i="2"/>
  <c r="BB22" i="2"/>
  <c r="AX22" i="2"/>
  <c r="AT22" i="2"/>
  <c r="AP22" i="2"/>
  <c r="AL22" i="2"/>
  <c r="AH22" i="2"/>
  <c r="AD22" i="2"/>
  <c r="Z22" i="2"/>
  <c r="V22" i="2"/>
  <c r="R22" i="2"/>
  <c r="N22" i="2"/>
  <c r="J22" i="2"/>
  <c r="F22" i="2"/>
  <c r="BV21" i="2"/>
  <c r="BT21" i="2"/>
  <c r="BR21" i="2"/>
  <c r="BN21" i="2"/>
  <c r="BJ21" i="2"/>
  <c r="BF21" i="2"/>
  <c r="BB21" i="2"/>
  <c r="AX21" i="2"/>
  <c r="AT21" i="2"/>
  <c r="AP21" i="2"/>
  <c r="AL21" i="2"/>
  <c r="AH21" i="2"/>
  <c r="AD21" i="2"/>
  <c r="Z21" i="2"/>
  <c r="V21" i="2"/>
  <c r="R21" i="2"/>
  <c r="N21" i="2"/>
  <c r="J21" i="2"/>
  <c r="F21" i="2"/>
  <c r="BV20" i="2"/>
  <c r="BT20" i="2"/>
  <c r="BR20" i="2"/>
  <c r="BN20" i="2"/>
  <c r="BJ20" i="2"/>
  <c r="BF20" i="2"/>
  <c r="BB20" i="2"/>
  <c r="AX20" i="2"/>
  <c r="AT20" i="2"/>
  <c r="AP20" i="2"/>
  <c r="AL20" i="2"/>
  <c r="AH20" i="2"/>
  <c r="AD20" i="2"/>
  <c r="Z20" i="2"/>
  <c r="V20" i="2"/>
  <c r="R20" i="2"/>
  <c r="N20" i="2"/>
  <c r="J20" i="2"/>
  <c r="F20" i="2"/>
  <c r="BV19" i="2"/>
  <c r="BT19" i="2"/>
  <c r="BR19" i="2"/>
  <c r="BN19" i="2"/>
  <c r="BJ19" i="2"/>
  <c r="BF19" i="2"/>
  <c r="BB19" i="2"/>
  <c r="AX19" i="2"/>
  <c r="AT19" i="2"/>
  <c r="AP19" i="2"/>
  <c r="AL19" i="2"/>
  <c r="AH19" i="2"/>
  <c r="AD19" i="2"/>
  <c r="Z19" i="2"/>
  <c r="V19" i="2"/>
  <c r="R19" i="2"/>
  <c r="N19" i="2"/>
  <c r="J19" i="2"/>
  <c r="F19" i="2"/>
  <c r="BV18" i="2"/>
  <c r="BT18" i="2"/>
  <c r="BX18" i="2" s="1"/>
  <c r="BR18" i="2"/>
  <c r="BN18" i="2"/>
  <c r="BJ18" i="2"/>
  <c r="BF18" i="2"/>
  <c r="BB18" i="2"/>
  <c r="AX18" i="2"/>
  <c r="AT18" i="2"/>
  <c r="AP18" i="2"/>
  <c r="AL18" i="2"/>
  <c r="AH18" i="2"/>
  <c r="AD18" i="2"/>
  <c r="Z18" i="2"/>
  <c r="V18" i="2"/>
  <c r="R18" i="2"/>
  <c r="N18" i="2"/>
  <c r="J18" i="2"/>
  <c r="F18" i="2"/>
  <c r="BV17" i="2"/>
  <c r="BT17" i="2"/>
  <c r="BR17" i="2"/>
  <c r="BN17" i="2"/>
  <c r="BJ17" i="2"/>
  <c r="BF17" i="2"/>
  <c r="BB17" i="2"/>
  <c r="AX17" i="2"/>
  <c r="AT17" i="2"/>
  <c r="AP17" i="2"/>
  <c r="AL17" i="2"/>
  <c r="AH17" i="2"/>
  <c r="AD17" i="2"/>
  <c r="Z17" i="2"/>
  <c r="V17" i="2"/>
  <c r="R17" i="2"/>
  <c r="N17" i="2"/>
  <c r="J17" i="2"/>
  <c r="F17" i="2"/>
  <c r="BV16" i="2"/>
  <c r="BT16" i="2"/>
  <c r="BX16" i="2" s="1"/>
  <c r="BR16" i="2"/>
  <c r="BJ16" i="2"/>
  <c r="BF16" i="2"/>
  <c r="BB16" i="2"/>
  <c r="AX16" i="2"/>
  <c r="AT16" i="2"/>
  <c r="AP16" i="2"/>
  <c r="AL16" i="2"/>
  <c r="AH16" i="2"/>
  <c r="AD16" i="2"/>
  <c r="V16" i="2"/>
  <c r="R16" i="2"/>
  <c r="N16" i="2"/>
  <c r="J16" i="2"/>
  <c r="F16" i="2"/>
  <c r="BV15" i="2"/>
  <c r="BT15" i="2"/>
  <c r="BR15" i="2"/>
  <c r="BN15" i="2"/>
  <c r="BJ15" i="2"/>
  <c r="BF15" i="2"/>
  <c r="BB15" i="2"/>
  <c r="AX15" i="2"/>
  <c r="AT15" i="2"/>
  <c r="AP15" i="2"/>
  <c r="AL15" i="2"/>
  <c r="AH15" i="2"/>
  <c r="AD15" i="2"/>
  <c r="Z15" i="2"/>
  <c r="V15" i="2"/>
  <c r="R15" i="2"/>
  <c r="N15" i="2"/>
  <c r="J15" i="2"/>
  <c r="F15" i="2"/>
  <c r="BV14" i="2"/>
  <c r="BT14" i="2"/>
  <c r="BR14" i="2"/>
  <c r="BN14" i="2"/>
  <c r="BJ14" i="2"/>
  <c r="BF14" i="2"/>
  <c r="BB14" i="2"/>
  <c r="AX14" i="2"/>
  <c r="AT14" i="2"/>
  <c r="AP14" i="2"/>
  <c r="AL14" i="2"/>
  <c r="AH14" i="2"/>
  <c r="AD14" i="2"/>
  <c r="Z14" i="2"/>
  <c r="R14" i="2"/>
  <c r="F14" i="2"/>
  <c r="BV13" i="2"/>
  <c r="BT13" i="2"/>
  <c r="BR13" i="2"/>
  <c r="BN13" i="2"/>
  <c r="BJ13" i="2"/>
  <c r="BF13" i="2"/>
  <c r="BB13" i="2"/>
  <c r="AX13" i="2"/>
  <c r="AT13" i="2"/>
  <c r="AP13" i="2"/>
  <c r="AL13" i="2"/>
  <c r="AH13" i="2"/>
  <c r="AD13" i="2"/>
  <c r="Z13" i="2"/>
  <c r="V13" i="2"/>
  <c r="R13" i="2"/>
  <c r="N13" i="2"/>
  <c r="J13" i="2"/>
  <c r="F13" i="2"/>
  <c r="BV12" i="2"/>
  <c r="BT12" i="2"/>
  <c r="BX12" i="2" s="1"/>
  <c r="BR12" i="2"/>
  <c r="BN12" i="2"/>
  <c r="BJ12" i="2"/>
  <c r="BF12" i="2"/>
  <c r="BB12" i="2"/>
  <c r="AX12" i="2"/>
  <c r="AT12" i="2"/>
  <c r="AP12" i="2"/>
  <c r="AL12" i="2"/>
  <c r="AH12" i="2"/>
  <c r="AD12" i="2"/>
  <c r="Z12" i="2"/>
  <c r="V12" i="2"/>
  <c r="R12" i="2"/>
  <c r="N12" i="2"/>
  <c r="J12" i="2"/>
  <c r="F12" i="2"/>
  <c r="BV11" i="2"/>
  <c r="BT11" i="2"/>
  <c r="BR11" i="2"/>
  <c r="BN11" i="2"/>
  <c r="BJ11" i="2"/>
  <c r="BF11" i="2"/>
  <c r="BB11" i="2"/>
  <c r="AX11" i="2"/>
  <c r="AT11" i="2"/>
  <c r="AP11" i="2"/>
  <c r="AL11" i="2"/>
  <c r="AH11" i="2"/>
  <c r="AD11" i="2"/>
  <c r="Z11" i="2"/>
  <c r="V11" i="2"/>
  <c r="R11" i="2"/>
  <c r="N11" i="2"/>
  <c r="J11" i="2"/>
  <c r="F11" i="2"/>
  <c r="BV10" i="2"/>
  <c r="BT10" i="2"/>
  <c r="BX10" i="2" s="1"/>
  <c r="BR10" i="2"/>
  <c r="BN10" i="2"/>
  <c r="BJ10" i="2"/>
  <c r="BF10" i="2"/>
  <c r="BB10" i="2"/>
  <c r="AX10" i="2"/>
  <c r="AT10" i="2"/>
  <c r="AP10" i="2"/>
  <c r="AL10" i="2"/>
  <c r="AH10" i="2"/>
  <c r="AD10" i="2"/>
  <c r="Z10" i="2"/>
  <c r="V10" i="2"/>
  <c r="R10" i="2"/>
  <c r="N10" i="2"/>
  <c r="J10" i="2"/>
  <c r="F10" i="2"/>
  <c r="BV9" i="2"/>
  <c r="BT9" i="2"/>
  <c r="BR9" i="2"/>
  <c r="BN9" i="2"/>
  <c r="BJ9" i="2"/>
  <c r="BF9" i="2"/>
  <c r="BB9" i="2"/>
  <c r="AX9" i="2"/>
  <c r="AT9" i="2"/>
  <c r="AP9" i="2"/>
  <c r="AL9" i="2"/>
  <c r="AH9" i="2"/>
  <c r="AD9" i="2"/>
  <c r="Z9" i="2"/>
  <c r="V9" i="2"/>
  <c r="R9" i="2"/>
  <c r="N9" i="2"/>
  <c r="J9" i="2"/>
  <c r="F9" i="2"/>
  <c r="BV8" i="2"/>
  <c r="BT8" i="2"/>
  <c r="BX8" i="2" s="1"/>
  <c r="BR8" i="2"/>
  <c r="BN8" i="2"/>
  <c r="BJ8" i="2"/>
  <c r="BF8" i="2"/>
  <c r="BB8" i="2"/>
  <c r="AX8" i="2"/>
  <c r="AT8" i="2"/>
  <c r="AP8" i="2"/>
  <c r="AL8" i="2"/>
  <c r="AH8" i="2"/>
  <c r="AD8" i="2"/>
  <c r="Z8" i="2"/>
  <c r="V8" i="2"/>
  <c r="R8" i="2"/>
  <c r="N8" i="2"/>
  <c r="J8" i="2"/>
  <c r="F8" i="2"/>
  <c r="BV7" i="2"/>
  <c r="BT7" i="2"/>
  <c r="BX7" i="2" s="1"/>
  <c r="BR7" i="2"/>
  <c r="BN7" i="2"/>
  <c r="BJ7" i="2"/>
  <c r="BF7" i="2"/>
  <c r="BB7" i="2"/>
  <c r="AX7" i="2"/>
  <c r="AT7" i="2"/>
  <c r="AP7" i="2"/>
  <c r="AL7" i="2"/>
  <c r="AH7" i="2"/>
  <c r="AD7" i="2"/>
  <c r="Z7" i="2"/>
  <c r="V7" i="2"/>
  <c r="R7" i="2"/>
  <c r="N7" i="2"/>
  <c r="J7" i="2"/>
  <c r="F7" i="2"/>
  <c r="BV6" i="2"/>
  <c r="BT6" i="2"/>
  <c r="BR6" i="2"/>
  <c r="BN6" i="2"/>
  <c r="BJ6" i="2"/>
  <c r="BF6" i="2"/>
  <c r="BB6" i="2"/>
  <c r="AX6" i="2"/>
  <c r="AT6" i="2"/>
  <c r="AP6" i="2"/>
  <c r="AL6" i="2"/>
  <c r="AH6" i="2"/>
  <c r="AD6" i="2"/>
  <c r="Z6" i="2"/>
  <c r="V6" i="2"/>
  <c r="R6" i="2"/>
  <c r="N6" i="2"/>
  <c r="J6" i="2"/>
  <c r="F6" i="2"/>
  <c r="BV5" i="2"/>
  <c r="BT5" i="2"/>
  <c r="BR5" i="2"/>
  <c r="BN5" i="2"/>
  <c r="BJ5" i="2"/>
  <c r="BF5" i="2"/>
  <c r="BB5" i="2"/>
  <c r="AX5" i="2"/>
  <c r="AT5" i="2"/>
  <c r="AP5" i="2"/>
  <c r="AL5" i="2"/>
  <c r="AH5" i="2"/>
  <c r="AD5" i="2"/>
  <c r="Z5" i="2"/>
  <c r="V5" i="2"/>
  <c r="R5" i="2"/>
  <c r="N5" i="2"/>
  <c r="J5" i="2"/>
  <c r="F5" i="2"/>
  <c r="BV4" i="2"/>
  <c r="BT4" i="2"/>
  <c r="BR4" i="2"/>
  <c r="BN4" i="2"/>
  <c r="BJ4" i="2"/>
  <c r="BF4" i="2"/>
  <c r="BB4" i="2"/>
  <c r="AX4" i="2"/>
  <c r="AT4" i="2"/>
  <c r="AP4" i="2"/>
  <c r="AL4" i="2"/>
  <c r="AH4" i="2"/>
  <c r="AD4" i="2"/>
  <c r="Z4" i="2"/>
  <c r="V4" i="2"/>
  <c r="R4" i="2"/>
  <c r="N4" i="2"/>
  <c r="J4" i="2"/>
  <c r="F4" i="2"/>
  <c r="BV3" i="2"/>
  <c r="BT3" i="2"/>
  <c r="BR3" i="2"/>
  <c r="BN3" i="2"/>
  <c r="BJ3" i="2"/>
  <c r="BF3" i="2"/>
  <c r="BB3" i="2"/>
  <c r="AX3" i="2"/>
  <c r="AT3" i="2"/>
  <c r="AP3" i="2"/>
  <c r="AL3" i="2"/>
  <c r="AH3" i="2"/>
  <c r="AD3" i="2"/>
  <c r="Z3" i="2"/>
  <c r="V3" i="2"/>
  <c r="R3" i="2"/>
  <c r="R31" i="2" s="1"/>
  <c r="N3" i="2"/>
  <c r="J3" i="2"/>
  <c r="F3" i="2"/>
  <c r="AP28" i="1"/>
  <c r="J26" i="1"/>
  <c r="AX22" i="1"/>
  <c r="AL20" i="1"/>
  <c r="BN18" i="1"/>
  <c r="AX18" i="1"/>
  <c r="AL18" i="1"/>
  <c r="BN4" i="1"/>
  <c r="BN5" i="1"/>
  <c r="BN6" i="1"/>
  <c r="BN7" i="1"/>
  <c r="BN8" i="1"/>
  <c r="BN9" i="1"/>
  <c r="BN10" i="1"/>
  <c r="BN11" i="1"/>
  <c r="BN12" i="1"/>
  <c r="BN13" i="1"/>
  <c r="BN14" i="1"/>
  <c r="BN15" i="1"/>
  <c r="BN16" i="1"/>
  <c r="BN17" i="1"/>
  <c r="BN19" i="1"/>
  <c r="BN20" i="1"/>
  <c r="BN21" i="1"/>
  <c r="BN22" i="1"/>
  <c r="BN23" i="1"/>
  <c r="BN24" i="1"/>
  <c r="BN25" i="1"/>
  <c r="BN26" i="1"/>
  <c r="BN27" i="1"/>
  <c r="BN28" i="1"/>
  <c r="BN29" i="1"/>
  <c r="BN30" i="1"/>
  <c r="BF4" i="1"/>
  <c r="BF5" i="1"/>
  <c r="BF6" i="1"/>
  <c r="BF7" i="1"/>
  <c r="BF8" i="1"/>
  <c r="BF9" i="1"/>
  <c r="BF10" i="1"/>
  <c r="BF11" i="1"/>
  <c r="BF12" i="1"/>
  <c r="BF13" i="1"/>
  <c r="BF14" i="1"/>
  <c r="BF15" i="1"/>
  <c r="BF16" i="1"/>
  <c r="BF17" i="1"/>
  <c r="BF18" i="1"/>
  <c r="BF19" i="1"/>
  <c r="BF20" i="1"/>
  <c r="BF21" i="1"/>
  <c r="BF22" i="1"/>
  <c r="BF23" i="1"/>
  <c r="BF24" i="1"/>
  <c r="BF25" i="1"/>
  <c r="BF26" i="1"/>
  <c r="BF27" i="1"/>
  <c r="BF28" i="1"/>
  <c r="BF29" i="1"/>
  <c r="BF30" i="1"/>
  <c r="BF3" i="1"/>
  <c r="BT4" i="1"/>
  <c r="BX4" i="1" s="1"/>
  <c r="BV4" i="1"/>
  <c r="BT5" i="1"/>
  <c r="BV5" i="1"/>
  <c r="BT6" i="1"/>
  <c r="BV6" i="1"/>
  <c r="BX6" i="1"/>
  <c r="BT7" i="1"/>
  <c r="BV7" i="1"/>
  <c r="BT8" i="1"/>
  <c r="BV8" i="1"/>
  <c r="BT9" i="1"/>
  <c r="BV9" i="1"/>
  <c r="BX9" i="1"/>
  <c r="BT10" i="1"/>
  <c r="BV10" i="1"/>
  <c r="BT11" i="1"/>
  <c r="BV11" i="1"/>
  <c r="BX11" i="1"/>
  <c r="BT12" i="1"/>
  <c r="BV12" i="1"/>
  <c r="BT13" i="1"/>
  <c r="BV13" i="1"/>
  <c r="BT14" i="1"/>
  <c r="BV14" i="1"/>
  <c r="BX14" i="1" s="1"/>
  <c r="BT15" i="1"/>
  <c r="BV15" i="1"/>
  <c r="BT16" i="1"/>
  <c r="BV16" i="1"/>
  <c r="BT17" i="1"/>
  <c r="BV17" i="1"/>
  <c r="BT18" i="1"/>
  <c r="BV18" i="1"/>
  <c r="BT19" i="1"/>
  <c r="BV19" i="1"/>
  <c r="BT20" i="1"/>
  <c r="BV20" i="1"/>
  <c r="BT21" i="1"/>
  <c r="BV21" i="1"/>
  <c r="BT22" i="1"/>
  <c r="BV22" i="1"/>
  <c r="BT23" i="1"/>
  <c r="BV23" i="1"/>
  <c r="BT24" i="1"/>
  <c r="BV24" i="1"/>
  <c r="BT25" i="1"/>
  <c r="BV25" i="1"/>
  <c r="BT26" i="1"/>
  <c r="BV26" i="1"/>
  <c r="BT27" i="1"/>
  <c r="BV27" i="1"/>
  <c r="BT28" i="1"/>
  <c r="BV28" i="1"/>
  <c r="BT29" i="1"/>
  <c r="BV29" i="1"/>
  <c r="BT30" i="1"/>
  <c r="BV30" i="1"/>
  <c r="BV3" i="1"/>
  <c r="BT3" i="1"/>
  <c r="AD3" i="1"/>
  <c r="AP3" i="1"/>
  <c r="AX3" i="1"/>
  <c r="BB3" i="1"/>
  <c r="BJ3" i="1"/>
  <c r="BN3" i="1"/>
  <c r="BR4" i="1"/>
  <c r="BR5" i="1"/>
  <c r="BR6" i="1"/>
  <c r="BR7" i="1"/>
  <c r="BR8" i="1"/>
  <c r="BR9" i="1"/>
  <c r="BR10" i="1"/>
  <c r="BR11" i="1"/>
  <c r="BR12" i="1"/>
  <c r="BR13" i="1"/>
  <c r="BR14" i="1"/>
  <c r="BR15" i="1"/>
  <c r="BR16" i="1"/>
  <c r="BR17" i="1"/>
  <c r="BR18" i="1"/>
  <c r="BR19" i="1"/>
  <c r="BR20" i="1"/>
  <c r="BR21" i="1"/>
  <c r="BR22" i="1"/>
  <c r="BR23" i="1"/>
  <c r="BR24" i="1"/>
  <c r="BR25" i="1"/>
  <c r="BR26" i="1"/>
  <c r="BR27" i="1"/>
  <c r="BR28" i="1"/>
  <c r="BR29" i="1"/>
  <c r="BR30" i="1"/>
  <c r="BR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AP14" i="1"/>
  <c r="AL14" i="1"/>
  <c r="AH14" i="1"/>
  <c r="AD14" i="1"/>
  <c r="Z14" i="1"/>
  <c r="AX14" i="1"/>
  <c r="AX15" i="1"/>
  <c r="AX12"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AX4" i="1"/>
  <c r="AX5" i="1"/>
  <c r="AX6" i="1"/>
  <c r="AX7" i="1"/>
  <c r="AX8" i="1"/>
  <c r="AX9" i="1"/>
  <c r="AX10" i="1"/>
  <c r="AX11" i="1"/>
  <c r="AX13" i="1"/>
  <c r="AX16" i="1"/>
  <c r="AX17" i="1"/>
  <c r="AX19" i="1"/>
  <c r="AX20" i="1"/>
  <c r="AX21" i="1"/>
  <c r="AX23" i="1"/>
  <c r="AX24" i="1"/>
  <c r="AX25" i="1"/>
  <c r="AX26" i="1"/>
  <c r="AX27" i="1"/>
  <c r="AX28" i="1"/>
  <c r="AX29" i="1"/>
  <c r="AX30"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P4" i="1"/>
  <c r="AP5" i="1"/>
  <c r="AP6" i="1"/>
  <c r="AP7" i="1"/>
  <c r="AP8" i="1"/>
  <c r="AP9" i="1"/>
  <c r="AP10" i="1"/>
  <c r="AP11" i="1"/>
  <c r="AP12" i="1"/>
  <c r="AP13" i="1"/>
  <c r="AP15" i="1"/>
  <c r="AP16" i="1"/>
  <c r="AP17" i="1"/>
  <c r="AP18" i="1"/>
  <c r="AP19" i="1"/>
  <c r="AP20" i="1"/>
  <c r="AP21" i="1"/>
  <c r="AP22" i="1"/>
  <c r="AP23" i="1"/>
  <c r="AP24" i="1"/>
  <c r="AP25" i="1"/>
  <c r="AP26" i="1"/>
  <c r="AP27" i="1"/>
  <c r="AP29" i="1"/>
  <c r="AP30" i="1"/>
  <c r="AL4" i="1"/>
  <c r="AL5" i="1"/>
  <c r="AL6" i="1"/>
  <c r="AL7" i="1"/>
  <c r="AL8" i="1"/>
  <c r="AL9" i="1"/>
  <c r="AL10" i="1"/>
  <c r="AL11" i="1"/>
  <c r="AL12" i="1"/>
  <c r="AL13" i="1"/>
  <c r="AL15" i="1"/>
  <c r="AL16" i="1"/>
  <c r="AL17" i="1"/>
  <c r="AL19" i="1"/>
  <c r="AL21" i="1"/>
  <c r="AL22" i="1"/>
  <c r="AL23" i="1"/>
  <c r="AL24" i="1"/>
  <c r="AL25" i="1"/>
  <c r="AL26" i="1"/>
  <c r="AL27" i="1"/>
  <c r="AL28" i="1"/>
  <c r="AL29" i="1"/>
  <c r="AL30" i="1"/>
  <c r="AH4" i="1"/>
  <c r="AH5" i="1"/>
  <c r="AH6" i="1"/>
  <c r="AH7" i="1"/>
  <c r="AH8" i="1"/>
  <c r="AH9" i="1"/>
  <c r="AH10" i="1"/>
  <c r="AH11" i="1"/>
  <c r="AH12" i="1"/>
  <c r="AH13" i="1"/>
  <c r="AH15" i="1"/>
  <c r="AH16" i="1"/>
  <c r="AH17" i="1"/>
  <c r="AH18" i="1"/>
  <c r="AH19" i="1"/>
  <c r="AH20" i="1"/>
  <c r="AH21" i="1"/>
  <c r="AH22" i="1"/>
  <c r="AH23" i="1"/>
  <c r="AH24" i="1"/>
  <c r="AH25" i="1"/>
  <c r="AH26" i="1"/>
  <c r="AH27" i="1"/>
  <c r="AH28" i="1"/>
  <c r="AH29" i="1"/>
  <c r="AH30" i="1"/>
  <c r="AD4" i="1"/>
  <c r="AD5" i="1"/>
  <c r="AD6" i="1"/>
  <c r="AD7" i="1"/>
  <c r="AD8" i="1"/>
  <c r="AD9" i="1"/>
  <c r="AD10" i="1"/>
  <c r="AD11" i="1"/>
  <c r="AD12" i="1"/>
  <c r="AD13" i="1"/>
  <c r="AD15" i="1"/>
  <c r="AD16" i="1"/>
  <c r="AD17" i="1"/>
  <c r="AD18" i="1"/>
  <c r="AD19" i="1"/>
  <c r="AD20" i="1"/>
  <c r="AD21" i="1"/>
  <c r="AD22" i="1"/>
  <c r="AD23" i="1"/>
  <c r="AD24" i="1"/>
  <c r="AD25" i="1"/>
  <c r="AD26" i="1"/>
  <c r="AD27" i="1"/>
  <c r="AD28" i="1"/>
  <c r="AD29" i="1"/>
  <c r="Z4" i="1"/>
  <c r="Z5" i="1"/>
  <c r="Z6" i="1"/>
  <c r="Z7" i="1"/>
  <c r="Z8" i="1"/>
  <c r="Z9" i="1"/>
  <c r="Z10" i="1"/>
  <c r="Z11" i="1"/>
  <c r="Z12" i="1"/>
  <c r="Z13" i="1"/>
  <c r="Z15" i="1"/>
  <c r="Z17" i="1"/>
  <c r="Z18" i="1"/>
  <c r="Z19" i="1"/>
  <c r="Z20" i="1"/>
  <c r="Z21" i="1"/>
  <c r="Z22" i="1"/>
  <c r="Z23" i="1"/>
  <c r="Z24" i="1"/>
  <c r="Z25" i="1"/>
  <c r="Z26" i="1"/>
  <c r="Z27" i="1"/>
  <c r="Z28" i="1"/>
  <c r="Z29" i="1"/>
  <c r="Z30" i="1"/>
  <c r="V4" i="1"/>
  <c r="V5" i="1"/>
  <c r="V6" i="1"/>
  <c r="V7" i="1"/>
  <c r="V8" i="1"/>
  <c r="V9" i="1"/>
  <c r="V10" i="1"/>
  <c r="V11" i="1"/>
  <c r="V12" i="1"/>
  <c r="V13" i="1"/>
  <c r="V15" i="1"/>
  <c r="V16" i="1"/>
  <c r="V17" i="1"/>
  <c r="V18" i="1"/>
  <c r="V19" i="1"/>
  <c r="V20" i="1"/>
  <c r="V21" i="1"/>
  <c r="V22" i="1"/>
  <c r="V23" i="1"/>
  <c r="V24" i="1"/>
  <c r="V25" i="1"/>
  <c r="V26" i="1"/>
  <c r="V27" i="1"/>
  <c r="V28" i="1"/>
  <c r="V29" i="1"/>
  <c r="V30" i="1"/>
  <c r="R4" i="1"/>
  <c r="R5" i="1"/>
  <c r="R6" i="1"/>
  <c r="R7" i="1"/>
  <c r="R8" i="1"/>
  <c r="R9" i="1"/>
  <c r="R10" i="1"/>
  <c r="R11" i="1"/>
  <c r="R12" i="1"/>
  <c r="R13" i="1"/>
  <c r="R14" i="1"/>
  <c r="R15" i="1"/>
  <c r="R16" i="1"/>
  <c r="R17" i="1"/>
  <c r="R18" i="1"/>
  <c r="R19" i="1"/>
  <c r="R20" i="1"/>
  <c r="R21" i="1"/>
  <c r="R22" i="1"/>
  <c r="R23" i="1"/>
  <c r="R24" i="1"/>
  <c r="R25" i="1"/>
  <c r="R26" i="1"/>
  <c r="R27" i="1"/>
  <c r="R28" i="1"/>
  <c r="R29" i="1"/>
  <c r="R30" i="1"/>
  <c r="N4" i="1"/>
  <c r="N5" i="1"/>
  <c r="N6" i="1"/>
  <c r="N7" i="1"/>
  <c r="N8" i="1"/>
  <c r="N9" i="1"/>
  <c r="N10" i="1"/>
  <c r="N11" i="1"/>
  <c r="N12" i="1"/>
  <c r="N13" i="1"/>
  <c r="N15" i="1"/>
  <c r="N16" i="1"/>
  <c r="N17" i="1"/>
  <c r="N18" i="1"/>
  <c r="N19" i="1"/>
  <c r="N20" i="1"/>
  <c r="N21" i="1"/>
  <c r="N22" i="1"/>
  <c r="N23" i="1"/>
  <c r="N24" i="1"/>
  <c r="N25" i="1"/>
  <c r="N26" i="1"/>
  <c r="N27" i="1"/>
  <c r="N28" i="1"/>
  <c r="N29" i="1"/>
  <c r="N30" i="1"/>
  <c r="J12" i="1"/>
  <c r="J4" i="1"/>
  <c r="J5" i="1"/>
  <c r="J6" i="1"/>
  <c r="J7" i="1"/>
  <c r="J8" i="1"/>
  <c r="J9" i="1"/>
  <c r="J10" i="1"/>
  <c r="J11" i="1"/>
  <c r="J13" i="1"/>
  <c r="J15" i="1"/>
  <c r="J16" i="1"/>
  <c r="J17" i="1"/>
  <c r="J18" i="1"/>
  <c r="J19" i="1"/>
  <c r="J20" i="1"/>
  <c r="J21" i="1"/>
  <c r="J22" i="1"/>
  <c r="J23" i="1"/>
  <c r="J25" i="1"/>
  <c r="J27" i="1"/>
  <c r="J28" i="1"/>
  <c r="J29" i="1"/>
  <c r="J30"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CF11" i="8" l="1"/>
  <c r="CF17" i="8" s="1"/>
  <c r="D11" i="12" s="1"/>
  <c r="CD17" i="8"/>
  <c r="B11" i="12" s="1"/>
  <c r="CF3" i="8"/>
  <c r="CE17" i="8"/>
  <c r="C11" i="12" s="1"/>
  <c r="CF6" i="8"/>
  <c r="CF12" i="8"/>
  <c r="CD17" i="10"/>
  <c r="B10" i="12" s="1"/>
  <c r="CF15" i="10"/>
  <c r="BX13" i="1"/>
  <c r="BX8" i="1"/>
  <c r="BU10" i="1"/>
  <c r="BW10" i="1" s="1"/>
  <c r="BU25" i="1"/>
  <c r="BW25" i="1" s="1"/>
  <c r="BU7" i="1"/>
  <c r="BW7" i="1" s="1"/>
  <c r="BU5" i="1"/>
  <c r="BW5" i="1" s="1"/>
  <c r="BU4" i="1"/>
  <c r="BW4" i="1" s="1"/>
  <c r="BY4" i="1" s="1"/>
  <c r="BU14" i="1"/>
  <c r="BW14" i="1" s="1"/>
  <c r="BY14" i="1" s="1"/>
  <c r="CD9" i="5"/>
  <c r="BY15" i="5"/>
  <c r="BY7" i="6"/>
  <c r="CF5" i="6" s="1"/>
  <c r="CD5" i="6"/>
  <c r="BY17" i="6"/>
  <c r="CF10" i="6" s="1"/>
  <c r="CD10" i="6"/>
  <c r="BY29" i="5"/>
  <c r="CF16" i="5" s="1"/>
  <c r="CD16" i="5"/>
  <c r="CD9" i="11"/>
  <c r="BY25" i="5"/>
  <c r="CF14" i="5" s="1"/>
  <c r="CD14" i="5"/>
  <c r="Z31" i="2"/>
  <c r="AH31" i="2"/>
  <c r="BY15" i="4"/>
  <c r="CF9" i="4" s="1"/>
  <c r="CD9" i="4"/>
  <c r="AL31" i="2"/>
  <c r="BY23" i="11"/>
  <c r="CF13" i="11" s="1"/>
  <c r="CD13" i="11"/>
  <c r="CD5" i="5"/>
  <c r="BU15" i="1"/>
  <c r="BW15" i="1" s="1"/>
  <c r="CE13" i="4"/>
  <c r="BY6" i="6"/>
  <c r="BB31" i="2"/>
  <c r="CE17" i="10"/>
  <c r="C10" i="12" s="1"/>
  <c r="BY13" i="5"/>
  <c r="CF8" i="5" s="1"/>
  <c r="CE8" i="5"/>
  <c r="BY28" i="4"/>
  <c r="CF4" i="7"/>
  <c r="BR31" i="1"/>
  <c r="BY8" i="4"/>
  <c r="CE4" i="6"/>
  <c r="CE17" i="6" s="1"/>
  <c r="C8" i="12" s="1"/>
  <c r="CD14" i="11"/>
  <c r="CD11" i="6"/>
  <c r="BY7" i="4"/>
  <c r="CF5" i="4" s="1"/>
  <c r="CD5" i="4"/>
  <c r="BY25" i="9"/>
  <c r="CF14" i="9" s="1"/>
  <c r="CD14" i="9"/>
  <c r="BY11" i="4"/>
  <c r="CF7" i="4" s="1"/>
  <c r="CD7" i="4"/>
  <c r="BY19" i="11"/>
  <c r="CF11" i="11" s="1"/>
  <c r="CD11" i="11"/>
  <c r="CD17" i="7"/>
  <c r="B9" i="12" s="1"/>
  <c r="CE11" i="4"/>
  <c r="AT31" i="2"/>
  <c r="CD10" i="4"/>
  <c r="BY11" i="5"/>
  <c r="CF7" i="5" s="1"/>
  <c r="CD7" i="5"/>
  <c r="CE5" i="2"/>
  <c r="CD10" i="5"/>
  <c r="CD14" i="4"/>
  <c r="BY5" i="4"/>
  <c r="CD4" i="4"/>
  <c r="CE8" i="4"/>
  <c r="CE17" i="4" s="1"/>
  <c r="C4" i="12" s="1"/>
  <c r="BY5" i="11"/>
  <c r="CF4" i="11" s="1"/>
  <c r="CD4" i="11"/>
  <c r="BY11" i="11"/>
  <c r="CF7" i="11" s="1"/>
  <c r="CD7" i="11"/>
  <c r="BY26" i="6"/>
  <c r="CE9" i="5"/>
  <c r="CD12" i="11"/>
  <c r="BU21" i="1"/>
  <c r="BW21" i="1" s="1"/>
  <c r="BY9" i="4"/>
  <c r="CF6" i="4" s="1"/>
  <c r="CD6" i="4"/>
  <c r="BN31" i="1"/>
  <c r="AD31" i="2"/>
  <c r="BU17" i="1"/>
  <c r="BW17" i="1" s="1"/>
  <c r="AX31" i="1"/>
  <c r="CD12" i="9"/>
  <c r="BY21" i="6"/>
  <c r="CF12" i="6" s="1"/>
  <c r="CD12" i="6"/>
  <c r="AP31" i="1"/>
  <c r="AP31" i="2"/>
  <c r="BY21" i="11"/>
  <c r="CF12" i="11" s="1"/>
  <c r="CE12" i="11"/>
  <c r="CE5" i="6"/>
  <c r="AX31" i="2"/>
  <c r="CD6" i="5"/>
  <c r="CE8" i="9"/>
  <c r="CD7" i="6"/>
  <c r="CE10" i="4"/>
  <c r="BY5" i="5"/>
  <c r="CF4" i="5" s="1"/>
  <c r="CD4" i="5"/>
  <c r="BF31" i="2"/>
  <c r="BY29" i="4"/>
  <c r="CF16" i="4" s="1"/>
  <c r="CD16" i="4"/>
  <c r="CE10" i="9"/>
  <c r="CE17" i="9" s="1"/>
  <c r="C6" i="12" s="1"/>
  <c r="BJ31" i="2"/>
  <c r="CD9" i="9"/>
  <c r="BU13" i="1"/>
  <c r="BW13" i="1" s="1"/>
  <c r="BN31" i="2"/>
  <c r="BX6" i="2"/>
  <c r="CD17" i="6"/>
  <c r="B8" i="12" s="1"/>
  <c r="BY30" i="9"/>
  <c r="CE7" i="11"/>
  <c r="BY27" i="6"/>
  <c r="CD15" i="6"/>
  <c r="BU9" i="1"/>
  <c r="BW9" i="1" s="1"/>
  <c r="CD15" i="5"/>
  <c r="CE12" i="9"/>
  <c r="BY10" i="11"/>
  <c r="F31" i="2"/>
  <c r="J31" i="2"/>
  <c r="CE7" i="9"/>
  <c r="BY19" i="6"/>
  <c r="CF11" i="6" s="1"/>
  <c r="CE11" i="6"/>
  <c r="BY28" i="6"/>
  <c r="CF12" i="5"/>
  <c r="BY29" i="6"/>
  <c r="CF16" i="6" s="1"/>
  <c r="CD16" i="6"/>
  <c r="V31" i="2"/>
  <c r="BY5" i="9"/>
  <c r="CF4" i="9" s="1"/>
  <c r="CD4" i="9"/>
  <c r="BJ31" i="1"/>
  <c r="BY17" i="11"/>
  <c r="CF10" i="11" s="1"/>
  <c r="CD10" i="11"/>
  <c r="BB31" i="1"/>
  <c r="CE14" i="11"/>
  <c r="CE8" i="1"/>
  <c r="CE3" i="5"/>
  <c r="CE16" i="9"/>
  <c r="AD31" i="1"/>
  <c r="BY9" i="6"/>
  <c r="CF6" i="6" s="1"/>
  <c r="CD6" i="6"/>
  <c r="BY29" i="11"/>
  <c r="CD16" i="11"/>
  <c r="BY11" i="9"/>
  <c r="CF7" i="9" s="1"/>
  <c r="CD7" i="9"/>
  <c r="BY13" i="6"/>
  <c r="CF8" i="6" s="1"/>
  <c r="CD8" i="6"/>
  <c r="CE4" i="11"/>
  <c r="CE17" i="11" s="1"/>
  <c r="C7" i="12" s="1"/>
  <c r="BY19" i="5"/>
  <c r="CF11" i="5" s="1"/>
  <c r="CD11" i="5"/>
  <c r="BF31" i="1"/>
  <c r="BR31" i="2"/>
  <c r="F31" i="1"/>
  <c r="CE15" i="5"/>
  <c r="CE9" i="9"/>
  <c r="BY14" i="6"/>
  <c r="CF12" i="7"/>
  <c r="BY25" i="6"/>
  <c r="CF14" i="6" s="1"/>
  <c r="CD14" i="6"/>
  <c r="BU6" i="1"/>
  <c r="BW6" i="1" s="1"/>
  <c r="N31" i="2"/>
  <c r="BX15" i="2"/>
  <c r="CE9" i="2" s="1"/>
  <c r="BX30" i="2"/>
  <c r="CE16" i="2" s="1"/>
  <c r="BY27" i="4"/>
  <c r="CF15" i="4" s="1"/>
  <c r="CD15" i="4"/>
  <c r="CD11" i="9"/>
  <c r="BY27" i="11"/>
  <c r="CD15" i="11"/>
  <c r="BY15" i="6"/>
  <c r="CF9" i="6" s="1"/>
  <c r="CD9" i="6"/>
  <c r="CF14" i="10"/>
  <c r="CF5" i="10"/>
  <c r="CF16" i="10"/>
  <c r="BZ3" i="10"/>
  <c r="BY3" i="7"/>
  <c r="CF3" i="7" s="1"/>
  <c r="CF17" i="7" s="1"/>
  <c r="D9" i="12" s="1"/>
  <c r="BY24" i="6"/>
  <c r="BY22" i="6"/>
  <c r="BY23" i="6"/>
  <c r="CF13" i="6" s="1"/>
  <c r="BY30" i="6"/>
  <c r="BY11" i="6"/>
  <c r="CF7" i="6" s="1"/>
  <c r="BY4" i="6"/>
  <c r="BY5" i="6"/>
  <c r="CF4" i="6" s="1"/>
  <c r="BY3" i="6"/>
  <c r="CF3" i="6" s="1"/>
  <c r="BY30" i="11"/>
  <c r="BY28" i="11"/>
  <c r="BY15" i="11"/>
  <c r="CF9" i="11" s="1"/>
  <c r="BY13" i="11"/>
  <c r="CF8" i="11" s="1"/>
  <c r="BY24" i="11"/>
  <c r="BY26" i="11"/>
  <c r="BY22" i="11"/>
  <c r="BW3" i="11"/>
  <c r="CD3" i="11" s="1"/>
  <c r="BY9" i="11"/>
  <c r="BY7" i="11"/>
  <c r="CF5" i="11" s="1"/>
  <c r="BY25" i="11"/>
  <c r="CF14" i="11" s="1"/>
  <c r="BY27" i="5"/>
  <c r="CF15" i="5" s="1"/>
  <c r="BX5" i="1"/>
  <c r="BY26" i="9"/>
  <c r="BY10" i="9"/>
  <c r="BY27" i="9"/>
  <c r="CF15" i="9" s="1"/>
  <c r="BY15" i="9"/>
  <c r="CF9" i="9" s="1"/>
  <c r="BU11" i="1"/>
  <c r="BW11" i="1" s="1"/>
  <c r="BU12" i="1"/>
  <c r="BW12" i="1" s="1"/>
  <c r="BX10" i="1"/>
  <c r="BY28" i="9"/>
  <c r="BY12" i="9"/>
  <c r="BY13" i="9"/>
  <c r="BY9" i="9"/>
  <c r="BY8" i="9"/>
  <c r="BY7" i="9"/>
  <c r="CF5" i="9" s="1"/>
  <c r="BY6" i="9"/>
  <c r="BY21" i="9"/>
  <c r="BY4" i="9"/>
  <c r="BY29" i="9"/>
  <c r="BY14" i="9"/>
  <c r="BY23" i="9"/>
  <c r="BY16" i="9"/>
  <c r="BY22" i="9"/>
  <c r="BY17" i="9"/>
  <c r="BY24" i="9"/>
  <c r="BY18" i="9"/>
  <c r="BY19" i="9"/>
  <c r="CF11" i="9" s="1"/>
  <c r="BW3" i="9"/>
  <c r="CD3" i="9" s="1"/>
  <c r="CD17" i="9" s="1"/>
  <c r="B6" i="12" s="1"/>
  <c r="BY12" i="5"/>
  <c r="BY6" i="5"/>
  <c r="BY17" i="5"/>
  <c r="CF10" i="5" s="1"/>
  <c r="BY23" i="5"/>
  <c r="CF13" i="5" s="1"/>
  <c r="BY28" i="5"/>
  <c r="BY22" i="5"/>
  <c r="BY16" i="5"/>
  <c r="BY9" i="5"/>
  <c r="CF6" i="5" s="1"/>
  <c r="BY7" i="5"/>
  <c r="CF5" i="5" s="1"/>
  <c r="BW3" i="5"/>
  <c r="CD3" i="5" s="1"/>
  <c r="BY14" i="4"/>
  <c r="BY24" i="4"/>
  <c r="BY21" i="4"/>
  <c r="CF12" i="4" s="1"/>
  <c r="BU20" i="2"/>
  <c r="BW20" i="2" s="1"/>
  <c r="BY19" i="4"/>
  <c r="BY20" i="4"/>
  <c r="BY13" i="4"/>
  <c r="CF8" i="4" s="1"/>
  <c r="BY6" i="4"/>
  <c r="BY25" i="4"/>
  <c r="CF14" i="4" s="1"/>
  <c r="BY17" i="4"/>
  <c r="CF10" i="4" s="1"/>
  <c r="BW3" i="4"/>
  <c r="CD3" i="4" s="1"/>
  <c r="BY18" i="4"/>
  <c r="BY23" i="4"/>
  <c r="BU14" i="2"/>
  <c r="BW14" i="2" s="1"/>
  <c r="BU28" i="2"/>
  <c r="BW28" i="2" s="1"/>
  <c r="BU15" i="2"/>
  <c r="BW15" i="2" s="1"/>
  <c r="BU10" i="2"/>
  <c r="BU21" i="2"/>
  <c r="BW21" i="2" s="1"/>
  <c r="BX28" i="2"/>
  <c r="BY28" i="2" s="1"/>
  <c r="BU24" i="2"/>
  <c r="BW24" i="2" s="1"/>
  <c r="BY24" i="2" s="1"/>
  <c r="BU8" i="2"/>
  <c r="BY6" i="2"/>
  <c r="BX20" i="2"/>
  <c r="BU17" i="2"/>
  <c r="BW17" i="2" s="1"/>
  <c r="CD10" i="2" s="1"/>
  <c r="BU16" i="2"/>
  <c r="BW16" i="2" s="1"/>
  <c r="BY16" i="2" s="1"/>
  <c r="BU13" i="2"/>
  <c r="BW13" i="2" s="1"/>
  <c r="CD8" i="2" s="1"/>
  <c r="BU9" i="2"/>
  <c r="BW9" i="2" s="1"/>
  <c r="CD6" i="2" s="1"/>
  <c r="BU7" i="2"/>
  <c r="BW7" i="2" s="1"/>
  <c r="BX9" i="2"/>
  <c r="BU23" i="2"/>
  <c r="BW23" i="2" s="1"/>
  <c r="CD13" i="2" s="1"/>
  <c r="BU6" i="2"/>
  <c r="BW6" i="2" s="1"/>
  <c r="BU5" i="2"/>
  <c r="BW5" i="2" s="1"/>
  <c r="BU18" i="2"/>
  <c r="BW18" i="2" s="1"/>
  <c r="BY18" i="2" s="1"/>
  <c r="BU26" i="2"/>
  <c r="BW26" i="2" s="1"/>
  <c r="BU25" i="2"/>
  <c r="BW25" i="2" s="1"/>
  <c r="CD14" i="2" s="1"/>
  <c r="BU11" i="2"/>
  <c r="BW11" i="2" s="1"/>
  <c r="CD7" i="2" s="1"/>
  <c r="BX14" i="2"/>
  <c r="BY14" i="2" s="1"/>
  <c r="BX13" i="2"/>
  <c r="CE8" i="2" s="1"/>
  <c r="BX22" i="2"/>
  <c r="BX19" i="2"/>
  <c r="BX4" i="2"/>
  <c r="BU4" i="2"/>
  <c r="BW4" i="2" s="1"/>
  <c r="BY4" i="2" s="1"/>
  <c r="BX5" i="2"/>
  <c r="BU30" i="2"/>
  <c r="BW30" i="2" s="1"/>
  <c r="BU29" i="2"/>
  <c r="BW29" i="2" s="1"/>
  <c r="BU22" i="2"/>
  <c r="BW22" i="2" s="1"/>
  <c r="BX17" i="2"/>
  <c r="CE10" i="2" s="1"/>
  <c r="BX21" i="2"/>
  <c r="CE12" i="2" s="1"/>
  <c r="BX27" i="2"/>
  <c r="CE15" i="2" s="1"/>
  <c r="BU19" i="2"/>
  <c r="BW19" i="2" s="1"/>
  <c r="CD11" i="2" s="1"/>
  <c r="BX23" i="2"/>
  <c r="CE13" i="2" s="1"/>
  <c r="BU27" i="2"/>
  <c r="BW27" i="2" s="1"/>
  <c r="BX3" i="2"/>
  <c r="BU12" i="2"/>
  <c r="BW12" i="2"/>
  <c r="BY12" i="2"/>
  <c r="BW8" i="2"/>
  <c r="BY8" i="2" s="1"/>
  <c r="BU3" i="2"/>
  <c r="BW10" i="2"/>
  <c r="BY10" i="2" s="1"/>
  <c r="BX25" i="2"/>
  <c r="BX11" i="2"/>
  <c r="CE7" i="2" s="1"/>
  <c r="BX26" i="2"/>
  <c r="BX29" i="1"/>
  <c r="BU29" i="1"/>
  <c r="BW29" i="1" s="1"/>
  <c r="BX30" i="1"/>
  <c r="BU30" i="1"/>
  <c r="BW30" i="1" s="1"/>
  <c r="BX28" i="1"/>
  <c r="BX25" i="1"/>
  <c r="BU26" i="1"/>
  <c r="BW26" i="1" s="1"/>
  <c r="BX26" i="1"/>
  <c r="BX23" i="1"/>
  <c r="BU24" i="1"/>
  <c r="BW24" i="1" s="1"/>
  <c r="BX24" i="1"/>
  <c r="BX21" i="1"/>
  <c r="BX19" i="1"/>
  <c r="BU20" i="1"/>
  <c r="BW20" i="1" s="1"/>
  <c r="BX20" i="1"/>
  <c r="BX18" i="1"/>
  <c r="BU18" i="1"/>
  <c r="BW18" i="1" s="1"/>
  <c r="BU28" i="1"/>
  <c r="BW28" i="1" s="1"/>
  <c r="BU8" i="1"/>
  <c r="BW8" i="1" s="1"/>
  <c r="BY8" i="1" s="1"/>
  <c r="BU27" i="1"/>
  <c r="BW27" i="1" s="1"/>
  <c r="CD15" i="1" s="1"/>
  <c r="BU23" i="1"/>
  <c r="BW23" i="1" s="1"/>
  <c r="BU22" i="1"/>
  <c r="BW22" i="1" s="1"/>
  <c r="BU19" i="1"/>
  <c r="BW19" i="1" s="1"/>
  <c r="BX15" i="1"/>
  <c r="BX16" i="1"/>
  <c r="BU16" i="1"/>
  <c r="BW16" i="1" s="1"/>
  <c r="BX22" i="1"/>
  <c r="BX12" i="1"/>
  <c r="CE7" i="1" s="1"/>
  <c r="BX27" i="1"/>
  <c r="BX17" i="1"/>
  <c r="BX7" i="1"/>
  <c r="AT3" i="1"/>
  <c r="AT31" i="1" s="1"/>
  <c r="AL3" i="1"/>
  <c r="AL31" i="1" s="1"/>
  <c r="AH3" i="1"/>
  <c r="AH31" i="1" s="1"/>
  <c r="Z3" i="1"/>
  <c r="Z31" i="1" s="1"/>
  <c r="V3" i="1"/>
  <c r="V31" i="1" s="1"/>
  <c r="R3" i="1"/>
  <c r="R31" i="1" s="1"/>
  <c r="N3" i="1"/>
  <c r="N31" i="1" s="1"/>
  <c r="J3" i="1"/>
  <c r="J31" i="1" s="1"/>
  <c r="BY18" i="1" l="1"/>
  <c r="CE5" i="1"/>
  <c r="BY25" i="1"/>
  <c r="CD10" i="1"/>
  <c r="CD8" i="1"/>
  <c r="CD11" i="1"/>
  <c r="CD4" i="1"/>
  <c r="BY10" i="1"/>
  <c r="BY13" i="1"/>
  <c r="CF8" i="1" s="1"/>
  <c r="CD13" i="1"/>
  <c r="CE6" i="1"/>
  <c r="CE12" i="1"/>
  <c r="BY29" i="2"/>
  <c r="CD16" i="2"/>
  <c r="BY7" i="2"/>
  <c r="CF5" i="2" s="1"/>
  <c r="CD5" i="2"/>
  <c r="CE16" i="1"/>
  <c r="CE4" i="2"/>
  <c r="CF13" i="9"/>
  <c r="CE14" i="2"/>
  <c r="CF16" i="9"/>
  <c r="BY5" i="1"/>
  <c r="CE4" i="1"/>
  <c r="CE10" i="1"/>
  <c r="CE11" i="1"/>
  <c r="CE11" i="2"/>
  <c r="CD17" i="5"/>
  <c r="B5" i="12" s="1"/>
  <c r="BY6" i="1"/>
  <c r="BY11" i="1"/>
  <c r="CD7" i="1"/>
  <c r="BY9" i="2"/>
  <c r="CF6" i="2" s="1"/>
  <c r="CE6" i="2"/>
  <c r="CF10" i="9"/>
  <c r="CF4" i="4"/>
  <c r="CF16" i="11"/>
  <c r="CD12" i="1"/>
  <c r="CD12" i="2"/>
  <c r="CF3" i="10"/>
  <c r="CF17" i="10" s="1"/>
  <c r="D10" i="12" s="1"/>
  <c r="CE17" i="5"/>
  <c r="C5" i="12" s="1"/>
  <c r="CF6" i="11"/>
  <c r="CD17" i="11"/>
  <c r="B7" i="12" s="1"/>
  <c r="CF8" i="9"/>
  <c r="BY9" i="1"/>
  <c r="CD6" i="1"/>
  <c r="CF13" i="4"/>
  <c r="BY29" i="1"/>
  <c r="CD16" i="1"/>
  <c r="CD15" i="2"/>
  <c r="CF15" i="6"/>
  <c r="CF17" i="6" s="1"/>
  <c r="D8" i="12" s="1"/>
  <c r="CD9" i="1"/>
  <c r="CF9" i="5"/>
  <c r="CF11" i="4"/>
  <c r="BY30" i="2"/>
  <c r="CE15" i="1"/>
  <c r="CF12" i="9"/>
  <c r="CD5" i="1"/>
  <c r="BY15" i="2"/>
  <c r="CF9" i="2" s="1"/>
  <c r="CD9" i="2"/>
  <c r="BU3" i="1"/>
  <c r="BW3" i="1" s="1"/>
  <c r="CE13" i="1"/>
  <c r="CF6" i="9"/>
  <c r="CE3" i="2"/>
  <c r="CD14" i="1"/>
  <c r="BY5" i="2"/>
  <c r="CF4" i="2" s="1"/>
  <c r="CD4" i="2"/>
  <c r="BY15" i="1"/>
  <c r="CE9" i="1"/>
  <c r="CE14" i="1"/>
  <c r="CD17" i="4"/>
  <c r="B4" i="12" s="1"/>
  <c r="CF15" i="11"/>
  <c r="BY3" i="11"/>
  <c r="CF3" i="11" s="1"/>
  <c r="BY21" i="1"/>
  <c r="BY3" i="9"/>
  <c r="CF3" i="9" s="1"/>
  <c r="BY3" i="5"/>
  <c r="CF3" i="5" s="1"/>
  <c r="CF17" i="5" s="1"/>
  <c r="D5" i="12" s="1"/>
  <c r="BY20" i="2"/>
  <c r="BY3" i="4"/>
  <c r="CF3" i="4" s="1"/>
  <c r="BY13" i="2"/>
  <c r="CF8" i="2" s="1"/>
  <c r="BY21" i="2"/>
  <c r="BY17" i="2"/>
  <c r="CF10" i="2" s="1"/>
  <c r="BY25" i="2"/>
  <c r="BY27" i="2"/>
  <c r="CF15" i="2" s="1"/>
  <c r="BY19" i="2"/>
  <c r="CF11" i="2" s="1"/>
  <c r="BY22" i="2"/>
  <c r="BY23" i="2"/>
  <c r="CF13" i="2" s="1"/>
  <c r="BW3" i="2"/>
  <c r="CD3" i="2" s="1"/>
  <c r="BY26" i="2"/>
  <c r="BY11" i="2"/>
  <c r="CF7" i="2" s="1"/>
  <c r="BY30" i="1"/>
  <c r="BY28" i="1"/>
  <c r="BY26" i="1"/>
  <c r="BY23" i="1"/>
  <c r="BY24" i="1"/>
  <c r="BY19" i="1"/>
  <c r="BY20" i="1"/>
  <c r="BY17" i="1"/>
  <c r="CF10" i="1" s="1"/>
  <c r="BY7" i="1"/>
  <c r="CF5" i="1" s="1"/>
  <c r="BY27" i="1"/>
  <c r="BY12" i="1"/>
  <c r="BY22" i="1"/>
  <c r="BY16" i="1"/>
  <c r="CF14" i="1" l="1"/>
  <c r="CF9" i="1"/>
  <c r="CF6" i="1"/>
  <c r="CF7" i="1"/>
  <c r="CD17" i="2"/>
  <c r="B3" i="12" s="1"/>
  <c r="CE17" i="2"/>
  <c r="C3" i="12" s="1"/>
  <c r="CF14" i="2"/>
  <c r="CF4" i="1"/>
  <c r="CF16" i="1"/>
  <c r="CF12" i="2"/>
  <c r="CF15" i="1"/>
  <c r="CF11" i="1"/>
  <c r="CF13" i="1"/>
  <c r="CF17" i="11"/>
  <c r="D7" i="12" s="1"/>
  <c r="CF17" i="4"/>
  <c r="D4" i="12" s="1"/>
  <c r="CF17" i="9"/>
  <c r="D6" i="12" s="1"/>
  <c r="CF12" i="1"/>
  <c r="CF16" i="2"/>
  <c r="BY3" i="2"/>
  <c r="CF3" i="2" s="1"/>
  <c r="CF17" i="2" s="1"/>
  <c r="D3" i="12" s="1"/>
  <c r="CD3" i="1" l="1"/>
  <c r="CD17" i="1" s="1"/>
  <c r="B2" i="12" s="1"/>
  <c r="BX3" i="1"/>
  <c r="CE3" i="1" s="1"/>
  <c r="CE17" i="1" s="1"/>
  <c r="C2" i="12" s="1"/>
  <c r="BY3" i="1" l="1"/>
  <c r="CF3" i="1" s="1"/>
  <c r="CF17" i="1" s="1"/>
  <c r="D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AM5" authorId="0" shapeId="0" xr:uid="{A179E1F1-EB8F-4F31-BE67-DCB1B9C31700}">
      <text>
        <r>
          <rPr>
            <b/>
            <sz val="10"/>
            <color indexed="81"/>
            <rFont val="Tahoma"/>
            <family val="2"/>
          </rPr>
          <t>A hmy:</t>
        </r>
        <r>
          <rPr>
            <sz val="10"/>
            <color indexed="81"/>
            <rFont val="Tahoma"/>
            <family val="2"/>
          </rPr>
          <t xml:space="preserve">
اینجا هم باز یه رابطه ارث بری از object داشت
</t>
        </r>
      </text>
    </comment>
    <comment ref="S9" authorId="0" shapeId="0" xr:uid="{6C6D7FB7-7664-4D4E-B581-7E1ACB2EFE33}">
      <text>
        <r>
          <rPr>
            <b/>
            <sz val="10"/>
            <color indexed="81"/>
            <rFont val="Tahoma"/>
            <family val="2"/>
          </rPr>
          <t>A hmy:</t>
        </r>
        <r>
          <rPr>
            <sz val="10"/>
            <color indexed="81"/>
            <rFont val="Tahoma"/>
            <family val="2"/>
          </rPr>
          <t xml:space="preserve">
اینجا اتریبیوت اضافه نبوده درواقع یک رابطه بود که به صورت اتریبیوت است و خب این خودش اومده بود گرفته بودش</t>
        </r>
      </text>
    </comment>
    <comment ref="AY9" authorId="0" shapeId="0" xr:uid="{94564D56-668E-40C4-8524-80629B17EBAF}">
      <text>
        <r>
          <rPr>
            <b/>
            <sz val="10"/>
            <color indexed="81"/>
            <rFont val="Tahoma"/>
            <family val="2"/>
          </rPr>
          <t>*</t>
        </r>
      </text>
    </comment>
    <comment ref="S11" authorId="0" shapeId="0" xr:uid="{09392696-5D86-45F8-8D43-D07E4F2E5533}">
      <text>
        <r>
          <rPr>
            <b/>
            <sz val="10"/>
            <color indexed="81"/>
            <rFont val="Tahoma"/>
            <family val="2"/>
          </rPr>
          <t>A hmy:</t>
        </r>
        <r>
          <rPr>
            <sz val="10"/>
            <color indexed="81"/>
            <rFont val="Tahoma"/>
            <family val="2"/>
          </rPr>
          <t xml:space="preserve">
اینم مثل قبلی رابطه بوده که به صورت اتریبیوت است</t>
        </r>
      </text>
    </comment>
    <comment ref="S13" authorId="0" shapeId="0" xr:uid="{EB48DAB1-1EF4-4576-91C4-93C8EF68D060}">
      <text>
        <r>
          <rPr>
            <b/>
            <sz val="10"/>
            <color indexed="81"/>
            <rFont val="Tahoma"/>
            <family val="2"/>
          </rPr>
          <t>A hmy:</t>
        </r>
        <r>
          <rPr>
            <sz val="10"/>
            <color indexed="81"/>
            <rFont val="Tahoma"/>
            <family val="2"/>
          </rPr>
          <t xml:space="preserve">
اینم مثل بالایی</t>
        </r>
      </text>
    </comment>
    <comment ref="S15" authorId="0" shapeId="0" xr:uid="{0CA63762-22B1-4418-9D1A-88C4251940C4}">
      <text>
        <r>
          <rPr>
            <b/>
            <sz val="10"/>
            <color indexed="81"/>
            <rFont val="Tahoma"/>
            <family val="2"/>
          </rPr>
          <t>A hmy:</t>
        </r>
        <r>
          <rPr>
            <sz val="10"/>
            <color indexed="81"/>
            <rFont val="Tahoma"/>
            <family val="2"/>
          </rPr>
          <t xml:space="preserve">
اتریبوت رابطه بوده
</t>
        </r>
      </text>
    </comment>
    <comment ref="AY15" authorId="0" shapeId="0" xr:uid="{05938EA9-AAEB-42D8-9BCA-DA8EDDB17355}">
      <text>
        <r>
          <rPr>
            <b/>
            <sz val="10"/>
            <color indexed="81"/>
            <rFont val="Tahoma"/>
            <family val="2"/>
          </rPr>
          <t>A hmy:</t>
        </r>
        <r>
          <rPr>
            <sz val="10"/>
            <color indexed="81"/>
            <rFont val="Tahoma"/>
            <family val="2"/>
          </rPr>
          <t xml:space="preserve">
*
</t>
        </r>
      </text>
    </comment>
    <comment ref="BJ23" authorId="0" shapeId="0" xr:uid="{48EA34FD-785E-4A20-87B7-5254AFB64B85}">
      <text>
        <r>
          <rPr>
            <b/>
            <sz val="10"/>
            <color indexed="81"/>
            <rFont val="Tahoma"/>
            <family val="2"/>
          </rPr>
          <t>A hmy:</t>
        </r>
        <r>
          <rPr>
            <sz val="10"/>
            <color indexed="81"/>
            <rFont val="Tahoma"/>
            <family val="2"/>
          </rPr>
          <t xml:space="preserve">
باز مربوط به همون چیزی است که کلا کلاسش نبود</t>
        </r>
      </text>
    </comment>
    <comment ref="AQ27" authorId="0" shapeId="0" xr:uid="{01132B78-8517-4D49-A306-C8CF4F654B69}">
      <text>
        <r>
          <rPr>
            <b/>
            <sz val="10"/>
            <color indexed="81"/>
            <rFont val="Tahoma"/>
            <family val="2"/>
          </rPr>
          <t>A hmy:</t>
        </r>
        <r>
          <rPr>
            <sz val="10"/>
            <color indexed="81"/>
            <rFont val="Tahoma"/>
            <family val="2"/>
          </rPr>
          <t xml:space="preserve">
درواقع رابطه این نبود nested بود ولی چون باید چایی حساب میشد من اینجا نوشتمش</t>
        </r>
      </text>
    </comment>
    <comment ref="AU27" authorId="0" shapeId="0" xr:uid="{5FCE05D6-F770-4F18-893B-A1912E69BCF8}">
      <text>
        <r>
          <rPr>
            <b/>
            <sz val="10"/>
            <color indexed="81"/>
            <rFont val="Tahoma"/>
            <family val="2"/>
          </rPr>
          <t>A hmy:</t>
        </r>
        <r>
          <rPr>
            <sz val="10"/>
            <color indexed="81"/>
            <rFont val="Tahoma"/>
            <family val="2"/>
          </rPr>
          <t xml:space="preserve">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AM3" authorId="0" shapeId="0" xr:uid="{688C2451-5DC2-48A3-85E5-404628337B9C}">
      <text>
        <r>
          <rPr>
            <b/>
            <sz val="10"/>
            <color indexed="81"/>
            <rFont val="Tahoma"/>
            <family val="2"/>
          </rPr>
          <t>A hmy:</t>
        </r>
        <r>
          <rPr>
            <sz val="10"/>
            <color indexed="81"/>
            <rFont val="Tahoma"/>
            <family val="2"/>
          </rPr>
          <t xml:space="preserve">
در اینجا برای کلاس اول سوپر کلاس گرفته که هیچی ولی در واقع رابطه آخر کار هم که تشخیص داده جهتش اشتبا است و همچنین اضافه هم هست.</t>
        </r>
      </text>
    </comment>
    <comment ref="AM5" authorId="0" shapeId="0" xr:uid="{B342BC9D-D106-4E15-B25A-5665E7AC92E1}">
      <text>
        <r>
          <rPr>
            <b/>
            <sz val="10"/>
            <color indexed="81"/>
            <rFont val="Tahoma"/>
            <family val="2"/>
          </rPr>
          <t>A hmy:</t>
        </r>
        <r>
          <rPr>
            <sz val="10"/>
            <color indexed="81"/>
            <rFont val="Tahoma"/>
            <family val="2"/>
          </rPr>
          <t xml:space="preserve">
اینجا هم باز یه رابطه ارث بری از object داشت
</t>
        </r>
      </text>
    </comment>
    <comment ref="S9" authorId="0" shapeId="0" xr:uid="{AAB4853B-D0A0-419D-8F52-1274AB8DD2BA}">
      <text>
        <r>
          <rPr>
            <b/>
            <sz val="10"/>
            <color indexed="81"/>
            <rFont val="Tahoma"/>
            <family val="2"/>
          </rPr>
          <t>A hmy:</t>
        </r>
        <r>
          <rPr>
            <sz val="10"/>
            <color indexed="81"/>
            <rFont val="Tahoma"/>
            <family val="2"/>
          </rPr>
          <t xml:space="preserve">
اینجا اتریبیوت اضافه نبوده درواقع یک رابطه بود که به صورت اتریبیوت است و خب این خودش اومده بود گرفته بودش</t>
        </r>
      </text>
    </comment>
    <comment ref="AY9" authorId="0" shapeId="0" xr:uid="{CB441F09-CA0F-48BD-8A3B-AEB0F2596E8C}">
      <text>
        <r>
          <rPr>
            <b/>
            <sz val="10"/>
            <color indexed="81"/>
            <rFont val="Tahoma"/>
            <family val="2"/>
          </rPr>
          <t>*</t>
        </r>
      </text>
    </comment>
    <comment ref="S11" authorId="0" shapeId="0" xr:uid="{0ACBDDD6-8B1F-4312-9FC3-6E5EC67E70DC}">
      <text>
        <r>
          <rPr>
            <b/>
            <sz val="10"/>
            <color indexed="81"/>
            <rFont val="Tahoma"/>
            <family val="2"/>
          </rPr>
          <t>A hmy:</t>
        </r>
        <r>
          <rPr>
            <sz val="10"/>
            <color indexed="81"/>
            <rFont val="Tahoma"/>
            <family val="2"/>
          </rPr>
          <t xml:space="preserve">
اینم مثل قبلی رابطه بوده که به صورت اتریبیوت است</t>
        </r>
      </text>
    </comment>
    <comment ref="S13" authorId="0" shapeId="0" xr:uid="{3FB54340-D0AD-4857-ADCB-B963D80211C0}">
      <text>
        <r>
          <rPr>
            <b/>
            <sz val="10"/>
            <color indexed="81"/>
            <rFont val="Tahoma"/>
            <family val="2"/>
          </rPr>
          <t>A hmy:</t>
        </r>
        <r>
          <rPr>
            <sz val="10"/>
            <color indexed="81"/>
            <rFont val="Tahoma"/>
            <family val="2"/>
          </rPr>
          <t xml:space="preserve">
اینم مثل بالایی</t>
        </r>
      </text>
    </comment>
    <comment ref="S15" authorId="0" shapeId="0" xr:uid="{4B90D0FC-2F21-45E9-933C-C1598480E6B6}">
      <text>
        <r>
          <rPr>
            <b/>
            <sz val="10"/>
            <color indexed="81"/>
            <rFont val="Tahoma"/>
            <family val="2"/>
          </rPr>
          <t>A hmy:</t>
        </r>
        <r>
          <rPr>
            <sz val="10"/>
            <color indexed="81"/>
            <rFont val="Tahoma"/>
            <family val="2"/>
          </rPr>
          <t xml:space="preserve">
اتریبوت رابطه بوده
</t>
        </r>
      </text>
    </comment>
    <comment ref="AY15" authorId="0" shapeId="0" xr:uid="{0AFBAEE0-A416-42C3-8870-88D51B37BB75}">
      <text>
        <r>
          <rPr>
            <b/>
            <sz val="10"/>
            <color indexed="81"/>
            <rFont val="Tahoma"/>
            <family val="2"/>
          </rPr>
          <t>A hmy:</t>
        </r>
        <r>
          <rPr>
            <sz val="10"/>
            <color indexed="81"/>
            <rFont val="Tahoma"/>
            <family val="2"/>
          </rPr>
          <t xml:space="preserve">
*
</t>
        </r>
      </text>
    </comment>
    <comment ref="BJ23" authorId="0" shapeId="0" xr:uid="{D286E416-24BA-4C22-AF78-D076471BF6D6}">
      <text>
        <r>
          <rPr>
            <b/>
            <sz val="10"/>
            <color indexed="81"/>
            <rFont val="Tahoma"/>
            <family val="2"/>
          </rPr>
          <t>A hmy:</t>
        </r>
        <r>
          <rPr>
            <sz val="10"/>
            <color indexed="81"/>
            <rFont val="Tahoma"/>
            <family val="2"/>
          </rPr>
          <t xml:space="preserve">
باز مربوط به همون چیزی است که کلا کلاسش نبود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9" authorId="0" shapeId="0" xr:uid="{261C47C9-1081-4F77-9496-593E8C484F35}">
      <text>
        <r>
          <rPr>
            <b/>
            <sz val="10"/>
            <color indexed="81"/>
            <rFont val="Tahoma"/>
            <family val="2"/>
          </rPr>
          <t>A hmy:</t>
        </r>
        <r>
          <rPr>
            <sz val="10"/>
            <color indexed="81"/>
            <rFont val="Tahoma"/>
            <family val="2"/>
          </rPr>
          <t xml:space="preserve">
اینجا اتریبیوت اضافه نبوده درواقع یک رابطه بود که به صورت اتریبیوت است و خب این خودش اومده بود گرفته بودش</t>
        </r>
      </text>
    </comment>
    <comment ref="AY9" authorId="0" shapeId="0" xr:uid="{284E07FE-5041-4450-8369-29E8D197B847}">
      <text>
        <r>
          <rPr>
            <b/>
            <sz val="10"/>
            <color indexed="81"/>
            <rFont val="Tahoma"/>
            <family val="2"/>
          </rPr>
          <t>*</t>
        </r>
      </text>
    </comment>
    <comment ref="S11" authorId="0" shapeId="0" xr:uid="{E59942E3-DDE1-4B4E-A37B-5622D9392FDA}">
      <text>
        <r>
          <rPr>
            <b/>
            <sz val="10"/>
            <color indexed="81"/>
            <rFont val="Tahoma"/>
            <family val="2"/>
          </rPr>
          <t>A hmy:</t>
        </r>
        <r>
          <rPr>
            <sz val="10"/>
            <color indexed="81"/>
            <rFont val="Tahoma"/>
            <family val="2"/>
          </rPr>
          <t xml:space="preserve">
اینم مثل قبلی رابطه بوده که به صورت اتریبیوت است</t>
        </r>
      </text>
    </comment>
    <comment ref="S15" authorId="0" shapeId="0" xr:uid="{A6F41621-2E90-4757-8306-E0A1BB865AAF}">
      <text>
        <r>
          <rPr>
            <b/>
            <sz val="10"/>
            <color indexed="81"/>
            <rFont val="Tahoma"/>
            <family val="2"/>
          </rPr>
          <t>A hmy:</t>
        </r>
        <r>
          <rPr>
            <sz val="10"/>
            <color indexed="81"/>
            <rFont val="Tahoma"/>
            <family val="2"/>
          </rPr>
          <t xml:space="preserve">
اتریبوت رابطه بوده
</t>
        </r>
      </text>
    </comment>
    <comment ref="AY15" authorId="0" shapeId="0" xr:uid="{AB7A14C5-530A-4A5D-B302-08EB7DCFC44A}">
      <text>
        <r>
          <rPr>
            <b/>
            <sz val="10"/>
            <color indexed="81"/>
            <rFont val="Tahoma"/>
            <family val="2"/>
          </rPr>
          <t>A hmy:</t>
        </r>
        <r>
          <rPr>
            <sz val="10"/>
            <color indexed="81"/>
            <rFont val="Tahoma"/>
            <family val="2"/>
          </rPr>
          <t xml:space="preserve">
*
</t>
        </r>
      </text>
    </comment>
    <comment ref="AQ18" authorId="0" shapeId="0" xr:uid="{2F84620D-FD99-4AEE-A6CF-A82EC6CADB85}">
      <text>
        <r>
          <rPr>
            <b/>
            <sz val="10"/>
            <color indexed="81"/>
            <rFont val="Tahoma"/>
          </rPr>
          <t>A hmy:</t>
        </r>
        <r>
          <rPr>
            <sz val="10"/>
            <color indexed="81"/>
            <rFont val="Tahoma"/>
          </rPr>
          <t xml:space="preserve">
دوبار هم تکرار شده</t>
        </r>
      </text>
    </comment>
    <comment ref="AQ27" authorId="0" shapeId="0" xr:uid="{F367F367-6203-4796-BE27-F10613D2EC9C}">
      <text>
        <r>
          <rPr>
            <b/>
            <sz val="10"/>
            <color indexed="81"/>
            <rFont val="Tahoma"/>
            <family val="2"/>
          </rPr>
          <t>A hmy:</t>
        </r>
        <r>
          <rPr>
            <sz val="10"/>
            <color indexed="81"/>
            <rFont val="Tahoma"/>
            <family val="2"/>
          </rPr>
          <t xml:space="preserve">
درواقع رابطه این نبود nested بود ولی چون باید چایی حساب میشد من اینجا نوشتمش</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AM5" authorId="0" shapeId="0" xr:uid="{70F03ED6-651B-4F2E-AFA7-BC7BF381DB34}">
      <text>
        <r>
          <rPr>
            <b/>
            <sz val="10"/>
            <color indexed="81"/>
            <rFont val="Tahoma"/>
            <family val="2"/>
          </rPr>
          <t>A hmy:</t>
        </r>
        <r>
          <rPr>
            <sz val="10"/>
            <color indexed="81"/>
            <rFont val="Tahoma"/>
            <family val="2"/>
          </rPr>
          <t xml:space="preserve">
اینجا هم باز یه رابطه ارث بری از object داشت
</t>
        </r>
      </text>
    </comment>
    <comment ref="AY9" authorId="0" shapeId="0" xr:uid="{C3E24A25-CEB5-473F-AD8A-CCED146BE29C}">
      <text>
        <r>
          <rPr>
            <b/>
            <sz val="10"/>
            <color indexed="81"/>
            <rFont val="Tahoma"/>
            <family val="2"/>
          </rPr>
          <t>*</t>
        </r>
      </text>
    </comment>
    <comment ref="S11" authorId="0" shapeId="0" xr:uid="{4B24955B-DA4C-40E5-B055-6A326C588D1B}">
      <text>
        <r>
          <rPr>
            <b/>
            <sz val="10"/>
            <color indexed="81"/>
            <rFont val="Tahoma"/>
            <family val="2"/>
          </rPr>
          <t>A hmy:</t>
        </r>
        <r>
          <rPr>
            <sz val="10"/>
            <color indexed="81"/>
            <rFont val="Tahoma"/>
            <family val="2"/>
          </rPr>
          <t xml:space="preserve">
اینم مثل قبلی رابطه بوده که به صورت اتریبیوت است</t>
        </r>
      </text>
    </comment>
    <comment ref="S13" authorId="0" shapeId="0" xr:uid="{A5A14684-B5F9-41D6-ADD7-A29B71E218FE}">
      <text>
        <r>
          <rPr>
            <b/>
            <sz val="10"/>
            <color indexed="81"/>
            <rFont val="Tahoma"/>
            <family val="2"/>
          </rPr>
          <t>A hmy:</t>
        </r>
        <r>
          <rPr>
            <sz val="10"/>
            <color indexed="81"/>
            <rFont val="Tahoma"/>
            <family val="2"/>
          </rPr>
          <t xml:space="preserve">
اینم مثل بالایی</t>
        </r>
      </text>
    </comment>
    <comment ref="S15" authorId="0" shapeId="0" xr:uid="{A7323A8E-9D6D-4E5C-B1B0-C4EE2C704C75}">
      <text>
        <r>
          <rPr>
            <b/>
            <sz val="10"/>
            <color indexed="81"/>
            <rFont val="Tahoma"/>
            <family val="2"/>
          </rPr>
          <t>A hmy:</t>
        </r>
        <r>
          <rPr>
            <sz val="10"/>
            <color indexed="81"/>
            <rFont val="Tahoma"/>
            <family val="2"/>
          </rPr>
          <t xml:space="preserve">
اتریبوت رابطه بوده
</t>
        </r>
      </text>
    </comment>
    <comment ref="AY15" authorId="0" shapeId="0" xr:uid="{32F78D6F-E921-48EC-9AEB-5549316040C8}">
      <text>
        <r>
          <rPr>
            <b/>
            <sz val="10"/>
            <color indexed="81"/>
            <rFont val="Tahoma"/>
            <family val="2"/>
          </rPr>
          <t>A hmy:</t>
        </r>
        <r>
          <rPr>
            <sz val="10"/>
            <color indexed="81"/>
            <rFont val="Tahoma"/>
            <family val="2"/>
          </rPr>
          <t xml:space="preserve">
*
</t>
        </r>
      </text>
    </comment>
    <comment ref="AQ27" authorId="0" shapeId="0" xr:uid="{960FBABA-A88D-48E1-B888-4C94D251BDBE}">
      <text>
        <r>
          <rPr>
            <b/>
            <sz val="10"/>
            <color indexed="81"/>
            <rFont val="Tahoma"/>
            <family val="2"/>
          </rPr>
          <t>A hmy:</t>
        </r>
        <r>
          <rPr>
            <sz val="10"/>
            <color indexed="81"/>
            <rFont val="Tahoma"/>
            <family val="2"/>
          </rPr>
          <t xml:space="preserve">
درواقع رابطه این نبود nested بود ولی چون باید چایی حساب میشد من اینجا نوشتمش</t>
        </r>
      </text>
    </comment>
    <comment ref="AU27" authorId="0" shapeId="0" xr:uid="{C715A64A-29B3-4889-A201-17F5D0363BD8}">
      <text>
        <r>
          <rPr>
            <b/>
            <sz val="10"/>
            <color indexed="81"/>
            <rFont val="Tahoma"/>
            <family val="2"/>
          </rPr>
          <t>A hmy:</t>
        </r>
        <r>
          <rPr>
            <sz val="10"/>
            <color indexed="81"/>
            <rFont val="Tahoma"/>
            <family val="2"/>
          </rPr>
          <t xml:space="preserve">
*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9" authorId="0" shapeId="0" xr:uid="{99089CA7-C049-430A-A444-F40C95075D4D}">
      <text>
        <r>
          <rPr>
            <b/>
            <sz val="10"/>
            <color indexed="81"/>
            <rFont val="Tahoma"/>
            <family val="2"/>
          </rPr>
          <t>A hmy:</t>
        </r>
        <r>
          <rPr>
            <sz val="10"/>
            <color indexed="81"/>
            <rFont val="Tahoma"/>
            <family val="2"/>
          </rPr>
          <t xml:space="preserve">
اینجا اتریبیوت اضافه نبوده درواقع یک رابطه بود که به صورت اتریبیوت است و خب این خودش اومده بود گرفته بودش</t>
        </r>
      </text>
    </comment>
    <comment ref="S11" authorId="0" shapeId="0" xr:uid="{84E3BDC9-75C2-4AE6-8785-CE95F9B902C9}">
      <text>
        <r>
          <rPr>
            <b/>
            <sz val="10"/>
            <color indexed="81"/>
            <rFont val="Tahoma"/>
            <family val="2"/>
          </rPr>
          <t>A hmy:</t>
        </r>
        <r>
          <rPr>
            <sz val="10"/>
            <color indexed="81"/>
            <rFont val="Tahoma"/>
            <family val="2"/>
          </rPr>
          <t xml:space="preserve">
اینم مثل قبلی رابطه بوده که به صورت اتریبیوت است</t>
        </r>
      </text>
    </comment>
    <comment ref="AY15" authorId="0" shapeId="0" xr:uid="{9AB5C9A5-3639-462C-BE4F-4DED9831386C}">
      <text>
        <r>
          <rPr>
            <b/>
            <sz val="10"/>
            <color indexed="81"/>
            <rFont val="Tahoma"/>
            <family val="2"/>
          </rPr>
          <t>A hmy:</t>
        </r>
        <r>
          <rPr>
            <sz val="10"/>
            <color indexed="81"/>
            <rFont val="Tahoma"/>
            <family val="2"/>
          </rPr>
          <t xml:space="preserve">
*
</t>
        </r>
      </text>
    </comment>
    <comment ref="BJ23" authorId="0" shapeId="0" xr:uid="{9316D91A-8D89-4316-BD9A-51FF03F03522}">
      <text>
        <r>
          <rPr>
            <b/>
            <sz val="10"/>
            <color indexed="81"/>
            <rFont val="Tahoma"/>
            <family val="2"/>
          </rPr>
          <t>A hmy:</t>
        </r>
        <r>
          <rPr>
            <sz val="10"/>
            <color indexed="81"/>
            <rFont val="Tahoma"/>
            <family val="2"/>
          </rPr>
          <t xml:space="preserve">
باز مربوط به همون چیزی است که کلا کلاسش نبود</t>
        </r>
      </text>
    </comment>
    <comment ref="AQ27" authorId="0" shapeId="0" xr:uid="{1794F57B-5C0C-4126-85DB-8765FDCE181E}">
      <text>
        <r>
          <rPr>
            <b/>
            <sz val="10"/>
            <color indexed="81"/>
            <rFont val="Tahoma"/>
            <family val="2"/>
          </rPr>
          <t>A hmy:</t>
        </r>
        <r>
          <rPr>
            <sz val="10"/>
            <color indexed="81"/>
            <rFont val="Tahoma"/>
            <family val="2"/>
          </rPr>
          <t xml:space="preserve">
درواقع رابطه این نبود nested بود ولی چون باید چایی حساب میشد من اینجا نوشتمش</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K5" authorId="0" shapeId="0" xr:uid="{91A27F61-722F-4E56-86A3-D52691F4AF85}">
      <text>
        <r>
          <rPr>
            <b/>
            <sz val="10"/>
            <color indexed="81"/>
            <rFont val="Tahoma"/>
          </rPr>
          <t>A hmy:</t>
        </r>
        <r>
          <rPr>
            <sz val="10"/>
            <color indexed="81"/>
            <rFont val="Tahoma"/>
          </rPr>
          <t xml:space="preserve">
سازنده دیفالت و نوشته بود</t>
        </r>
      </text>
    </comment>
    <comment ref="K6" authorId="0" shapeId="0" xr:uid="{B0360F6C-62E3-4743-9BBE-319D3487E4C7}">
      <text>
        <r>
          <rPr>
            <b/>
            <sz val="10"/>
            <color indexed="81"/>
            <rFont val="Tahoma"/>
          </rPr>
          <t>A hmy:</t>
        </r>
        <r>
          <rPr>
            <sz val="10"/>
            <color indexed="81"/>
            <rFont val="Tahoma"/>
          </rPr>
          <t xml:space="preserve">
میتونه حساب بشه</t>
        </r>
      </text>
    </comment>
    <comment ref="S9" authorId="0" shapeId="0" xr:uid="{55771413-2C9C-4B11-B042-47B8D17CF7AD}">
      <text>
        <r>
          <rPr>
            <b/>
            <sz val="10"/>
            <color indexed="81"/>
            <rFont val="Tahoma"/>
            <family val="2"/>
          </rPr>
          <t>A hmy:</t>
        </r>
        <r>
          <rPr>
            <sz val="10"/>
            <color indexed="81"/>
            <rFont val="Tahoma"/>
            <family val="2"/>
          </rPr>
          <t xml:space="preserve">
اینجا اتریبیوت اضافه نبوده درواقع یک رابطه بود که به صورت اتریبیوت است و خب این خودش اومده بود گرفته بودش</t>
        </r>
      </text>
    </comment>
    <comment ref="S11" authorId="0" shapeId="0" xr:uid="{FB786EE9-863E-48D0-95D5-A46BC4A54969}">
      <text>
        <r>
          <rPr>
            <b/>
            <sz val="10"/>
            <color indexed="81"/>
            <rFont val="Tahoma"/>
            <family val="2"/>
          </rPr>
          <t>A hmy:</t>
        </r>
        <r>
          <rPr>
            <sz val="10"/>
            <color indexed="81"/>
            <rFont val="Tahoma"/>
            <family val="2"/>
          </rPr>
          <t xml:space="preserve">
اینم مثل قبلی رابطه بوده که به صورت اتریبیوت است</t>
        </r>
      </text>
    </comment>
    <comment ref="S13" authorId="0" shapeId="0" xr:uid="{6E6B360C-6F8E-46BC-82AC-C7E3C1848824}">
      <text>
        <r>
          <rPr>
            <b/>
            <sz val="10"/>
            <color indexed="81"/>
            <rFont val="Tahoma"/>
            <family val="2"/>
          </rPr>
          <t>A hmy:</t>
        </r>
        <r>
          <rPr>
            <sz val="10"/>
            <color indexed="81"/>
            <rFont val="Tahoma"/>
            <family val="2"/>
          </rPr>
          <t xml:space="preserve">
اینم مثل بالایی</t>
        </r>
      </text>
    </comment>
    <comment ref="S15" authorId="0" shapeId="0" xr:uid="{7533F49E-D65C-437D-9EB2-87A4225DC0CA}">
      <text>
        <r>
          <rPr>
            <b/>
            <sz val="10"/>
            <color indexed="81"/>
            <rFont val="Tahoma"/>
            <family val="2"/>
          </rPr>
          <t>A hmy:</t>
        </r>
        <r>
          <rPr>
            <sz val="10"/>
            <color indexed="81"/>
            <rFont val="Tahoma"/>
            <family val="2"/>
          </rPr>
          <t xml:space="preserve">
اتریبوت رابطه بوده
</t>
        </r>
      </text>
    </comment>
    <comment ref="AY15" authorId="0" shapeId="0" xr:uid="{FA6EDF57-AFD0-4744-AA86-4FE0C46B491D}">
      <text>
        <r>
          <rPr>
            <b/>
            <sz val="10"/>
            <color indexed="81"/>
            <rFont val="Tahoma"/>
            <family val="2"/>
          </rPr>
          <t>A hmy:</t>
        </r>
        <r>
          <rPr>
            <sz val="10"/>
            <color indexed="81"/>
            <rFont val="Tahoma"/>
            <family val="2"/>
          </rPr>
          <t xml:space="preserve">
*
</t>
        </r>
      </text>
    </comment>
    <comment ref="K20" authorId="0" shapeId="0" xr:uid="{081C0DA9-ECEE-4AC3-9514-62E2C1415B7F}">
      <text>
        <r>
          <rPr>
            <b/>
            <sz val="10"/>
            <color indexed="81"/>
            <rFont val="Tahoma"/>
          </rPr>
          <t>A hmy:</t>
        </r>
        <r>
          <rPr>
            <sz val="10"/>
            <color indexed="81"/>
            <rFont val="Tahoma"/>
          </rPr>
          <t xml:space="preserve">
میتونه ۳ تا حساب بشه</t>
        </r>
      </text>
    </comment>
    <comment ref="BJ23" authorId="0" shapeId="0" xr:uid="{851196A7-17E1-4134-B4AD-F67827640F54}">
      <text>
        <r>
          <rPr>
            <b/>
            <sz val="10"/>
            <color indexed="81"/>
            <rFont val="Tahoma"/>
            <family val="2"/>
          </rPr>
          <t>A hmy:</t>
        </r>
        <r>
          <rPr>
            <sz val="10"/>
            <color indexed="81"/>
            <rFont val="Tahoma"/>
            <family val="2"/>
          </rPr>
          <t xml:space="preserve">
باز مربوط به همون چیزی است که کلا کلاسش نبود</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9" authorId="0" shapeId="0" xr:uid="{E381DEB5-763F-4C44-BDA0-95D5269575E7}">
      <text>
        <r>
          <rPr>
            <b/>
            <sz val="10"/>
            <color indexed="81"/>
            <rFont val="Tahoma"/>
            <family val="2"/>
          </rPr>
          <t>A hmy:</t>
        </r>
        <r>
          <rPr>
            <sz val="10"/>
            <color indexed="81"/>
            <rFont val="Tahoma"/>
            <family val="2"/>
          </rPr>
          <t xml:space="preserve">
اینجا اتریبیوت اضافه نبوده درواقع یک رابطه بود که به صورت اتریبیوت است و خب این خودش اومده بود گرفته بودش</t>
        </r>
      </text>
    </comment>
    <comment ref="AY9" authorId="0" shapeId="0" xr:uid="{4745A984-2F02-4F26-9958-4A662ECEE547}">
      <text>
        <r>
          <rPr>
            <b/>
            <sz val="10"/>
            <color indexed="81"/>
            <rFont val="Tahoma"/>
            <family val="2"/>
          </rPr>
          <t>*</t>
        </r>
      </text>
    </comment>
    <comment ref="S11" authorId="0" shapeId="0" xr:uid="{2F5CFF2C-0477-4B97-8F79-DDFFB0EB2FE5}">
      <text>
        <r>
          <rPr>
            <b/>
            <sz val="10"/>
            <color indexed="81"/>
            <rFont val="Tahoma"/>
            <family val="2"/>
          </rPr>
          <t>A hmy:</t>
        </r>
        <r>
          <rPr>
            <sz val="10"/>
            <color indexed="81"/>
            <rFont val="Tahoma"/>
            <family val="2"/>
          </rPr>
          <t xml:space="preserve">
اینم مثل قبلی رابطه بوده که به صورت اتریبیوت است</t>
        </r>
      </text>
    </comment>
    <comment ref="S13" authorId="0" shapeId="0" xr:uid="{A6EEF316-A205-4796-B925-972DBC87154D}">
      <text>
        <r>
          <rPr>
            <b/>
            <sz val="10"/>
            <color indexed="81"/>
            <rFont val="Tahoma"/>
            <family val="2"/>
          </rPr>
          <t>A hmy:</t>
        </r>
        <r>
          <rPr>
            <sz val="10"/>
            <color indexed="81"/>
            <rFont val="Tahoma"/>
            <family val="2"/>
          </rPr>
          <t xml:space="preserve">
اینم مثل بالایی</t>
        </r>
      </text>
    </comment>
    <comment ref="S15" authorId="0" shapeId="0" xr:uid="{964E4205-E192-49CE-899F-8ED6F0D96081}">
      <text>
        <r>
          <rPr>
            <b/>
            <sz val="10"/>
            <color indexed="81"/>
            <rFont val="Tahoma"/>
            <family val="2"/>
          </rPr>
          <t>A hmy:</t>
        </r>
        <r>
          <rPr>
            <sz val="10"/>
            <color indexed="81"/>
            <rFont val="Tahoma"/>
            <family val="2"/>
          </rPr>
          <t xml:space="preserve">
اتریبوت رابطه بوده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S9" authorId="0" shapeId="0" xr:uid="{AFEC2976-4940-4839-AB35-12112207675E}">
      <text>
        <r>
          <rPr>
            <b/>
            <sz val="10"/>
            <color indexed="81"/>
            <rFont val="Tahoma"/>
            <family val="2"/>
          </rPr>
          <t>A hmy:</t>
        </r>
        <r>
          <rPr>
            <sz val="10"/>
            <color indexed="81"/>
            <rFont val="Tahoma"/>
            <family val="2"/>
          </rPr>
          <t xml:space="preserve">
اینجا اتریبیوت اضافه نبوده درواقع یک رابطه بود که به صورت اتریبیوت است و خب این خودش اومده بود گرفته بودش</t>
        </r>
      </text>
    </comment>
    <comment ref="AY9" authorId="0" shapeId="0" xr:uid="{2E145310-7F1D-45EA-B56F-AB439BEEE9FB}">
      <text>
        <r>
          <rPr>
            <b/>
            <sz val="10"/>
            <color indexed="81"/>
            <rFont val="Tahoma"/>
            <family val="2"/>
          </rPr>
          <t>*</t>
        </r>
      </text>
    </comment>
    <comment ref="S11" authorId="0" shapeId="0" xr:uid="{71A5FF3B-3643-45A2-BCCB-CA91AE1526C1}">
      <text>
        <r>
          <rPr>
            <b/>
            <sz val="10"/>
            <color indexed="81"/>
            <rFont val="Tahoma"/>
            <family val="2"/>
          </rPr>
          <t>A hmy:</t>
        </r>
        <r>
          <rPr>
            <sz val="10"/>
            <color indexed="81"/>
            <rFont val="Tahoma"/>
            <family val="2"/>
          </rPr>
          <t xml:space="preserve">
اینم مثل قبلی رابطه بوده که به صورت اتریبیوت است</t>
        </r>
      </text>
    </comment>
    <comment ref="C12" authorId="0" shapeId="0" xr:uid="{5EAAD0AE-87B1-4F8D-9DAB-74AE0F9549D1}">
      <text>
        <r>
          <rPr>
            <b/>
            <sz val="10"/>
            <color indexed="81"/>
            <rFont val="Tahoma"/>
          </rPr>
          <t>A hmy:</t>
        </r>
        <r>
          <rPr>
            <sz val="10"/>
            <color indexed="81"/>
            <rFont val="Tahoma"/>
          </rPr>
          <t xml:space="preserve">
مالکیت‌ها در هیچ کدام مشخص نبود برای همین در هر مورد نصف نمره را گرفت</t>
        </r>
      </text>
    </comment>
    <comment ref="S13" authorId="0" shapeId="0" xr:uid="{A57BBF8A-6406-46D3-9D56-C11B63B7770F}">
      <text>
        <r>
          <rPr>
            <b/>
            <sz val="10"/>
            <color indexed="81"/>
            <rFont val="Tahoma"/>
            <family val="2"/>
          </rPr>
          <t>A hmy:</t>
        </r>
        <r>
          <rPr>
            <sz val="10"/>
            <color indexed="81"/>
            <rFont val="Tahoma"/>
            <family val="2"/>
          </rPr>
          <t xml:space="preserve">
اینم مثل بالایی</t>
        </r>
      </text>
    </comment>
    <comment ref="S15" authorId="0" shapeId="0" xr:uid="{E6789878-4DDA-4E2E-8E3B-4211352AF8DF}">
      <text>
        <r>
          <rPr>
            <b/>
            <sz val="10"/>
            <color indexed="81"/>
            <rFont val="Tahoma"/>
            <family val="2"/>
          </rPr>
          <t>A hmy:</t>
        </r>
        <r>
          <rPr>
            <sz val="10"/>
            <color indexed="81"/>
            <rFont val="Tahoma"/>
            <family val="2"/>
          </rPr>
          <t xml:space="preserve">
اتریبوت رابطه بوده
</t>
        </r>
      </text>
    </comment>
    <comment ref="AY15" authorId="0" shapeId="0" xr:uid="{25274BA3-E42A-4230-89AB-B49F535988E0}">
      <text>
        <r>
          <rPr>
            <b/>
            <sz val="10"/>
            <color indexed="81"/>
            <rFont val="Tahoma"/>
            <family val="2"/>
          </rPr>
          <t>A hmy:</t>
        </r>
        <r>
          <rPr>
            <sz val="10"/>
            <color indexed="81"/>
            <rFont val="Tahoma"/>
            <family val="2"/>
          </rPr>
          <t xml:space="preserve">
*
</t>
        </r>
      </text>
    </comment>
    <comment ref="BJ23" authorId="0" shapeId="0" xr:uid="{500766C9-881C-40A7-931D-D23819E2B799}">
      <text>
        <r>
          <rPr>
            <b/>
            <sz val="10"/>
            <color indexed="81"/>
            <rFont val="Tahoma"/>
            <family val="2"/>
          </rPr>
          <t>A hmy:</t>
        </r>
        <r>
          <rPr>
            <sz val="10"/>
            <color indexed="81"/>
            <rFont val="Tahoma"/>
            <family val="2"/>
          </rPr>
          <t xml:space="preserve">
باز مربوط به همون چیزی است که کلا کلاسش نبود</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AV11" authorId="0" shapeId="0" xr:uid="{E647502D-3258-4C6F-B114-12D1B4EAB07E}">
      <text>
        <r>
          <rPr>
            <b/>
            <sz val="10"/>
            <color indexed="81"/>
            <rFont val="Tahoma"/>
          </rPr>
          <t>A hmy:</t>
        </r>
        <r>
          <rPr>
            <sz val="10"/>
            <color indexed="81"/>
            <rFont val="Tahoma"/>
          </rPr>
          <t xml:space="preserve">
در واقع دو تا رابطه است ولی بین کلاس های یکسان ولی با جهت های مختلف</t>
        </r>
      </text>
    </comment>
    <comment ref="T13" authorId="0" shapeId="0" xr:uid="{1E45AEFA-C3B0-466C-BC31-1283761E2626}">
      <text>
        <r>
          <rPr>
            <b/>
            <sz val="10"/>
            <color indexed="81"/>
            <rFont val="Tahoma"/>
            <family val="2"/>
          </rPr>
          <t>A hmy:</t>
        </r>
        <r>
          <rPr>
            <sz val="10"/>
            <color indexed="81"/>
            <rFont val="Tahoma"/>
            <family val="2"/>
          </rPr>
          <t xml:space="preserve">
اینم مثل بالایی</t>
        </r>
      </text>
    </comment>
    <comment ref="T15" authorId="0" shapeId="0" xr:uid="{716F0453-9BE8-44C7-8ABF-9F126CA4D4FC}">
      <text>
        <r>
          <rPr>
            <b/>
            <sz val="10"/>
            <color indexed="81"/>
            <rFont val="Tahoma"/>
            <family val="2"/>
          </rPr>
          <t>A hmy:</t>
        </r>
        <r>
          <rPr>
            <sz val="10"/>
            <color indexed="81"/>
            <rFont val="Tahoma"/>
            <family val="2"/>
          </rPr>
          <t xml:space="preserve">
اتریبوت رابطه بوده
</t>
        </r>
      </text>
    </comment>
    <comment ref="AZ15" authorId="0" shapeId="0" xr:uid="{1CD512E5-5A4A-474F-B684-EA3911ADFDCD}">
      <text>
        <r>
          <rPr>
            <b/>
            <sz val="10"/>
            <color indexed="81"/>
            <rFont val="Tahoma"/>
            <family val="2"/>
          </rPr>
          <t>A hmy:</t>
        </r>
        <r>
          <rPr>
            <sz val="10"/>
            <color indexed="81"/>
            <rFont val="Tahoma"/>
            <family val="2"/>
          </rPr>
          <t xml:space="preserve">
*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 hmy</author>
  </authors>
  <commentList>
    <comment ref="AV11" authorId="0" shapeId="0" xr:uid="{F2ED9DB2-536E-4F81-8BAD-CE74884AD07B}">
      <text>
        <r>
          <rPr>
            <b/>
            <sz val="10"/>
            <color indexed="81"/>
            <rFont val="Tahoma"/>
          </rPr>
          <t>A hmy:</t>
        </r>
        <r>
          <rPr>
            <sz val="10"/>
            <color indexed="81"/>
            <rFont val="Tahoma"/>
          </rPr>
          <t xml:space="preserve">
در واقع دو تا رابطه است ولی بین کلاس های یکسان ولی با جهت های مختلف</t>
        </r>
      </text>
    </comment>
    <comment ref="T13" authorId="0" shapeId="0" xr:uid="{7B81DE72-17E2-4A85-A11F-175682E9213E}">
      <text>
        <r>
          <rPr>
            <b/>
            <sz val="10"/>
            <color indexed="81"/>
            <rFont val="Tahoma"/>
            <family val="2"/>
          </rPr>
          <t>A hmy:</t>
        </r>
        <r>
          <rPr>
            <sz val="10"/>
            <color indexed="81"/>
            <rFont val="Tahoma"/>
            <family val="2"/>
          </rPr>
          <t xml:space="preserve">
اینم مثل بالایی</t>
        </r>
      </text>
    </comment>
    <comment ref="T15" authorId="0" shapeId="0" xr:uid="{4FB75AC0-A723-4B6C-AD83-ECAA8E7972FD}">
      <text>
        <r>
          <rPr>
            <b/>
            <sz val="10"/>
            <color indexed="81"/>
            <rFont val="Tahoma"/>
            <family val="2"/>
          </rPr>
          <t>A hmy:</t>
        </r>
        <r>
          <rPr>
            <sz val="10"/>
            <color indexed="81"/>
            <rFont val="Tahoma"/>
            <family val="2"/>
          </rPr>
          <t xml:space="preserve">
اتریبوت رابطه بوده
</t>
        </r>
      </text>
    </comment>
    <comment ref="AZ15" authorId="0" shapeId="0" xr:uid="{B44DD456-2D03-46DB-A3E9-4113687805A1}">
      <text>
        <r>
          <rPr>
            <b/>
            <sz val="10"/>
            <color indexed="81"/>
            <rFont val="Tahoma"/>
            <family val="2"/>
          </rPr>
          <t>A hmy:</t>
        </r>
        <r>
          <rPr>
            <sz val="10"/>
            <color indexed="81"/>
            <rFont val="Tahoma"/>
            <family val="2"/>
          </rPr>
          <t xml:space="preserve">
*
</t>
        </r>
      </text>
    </comment>
    <comment ref="BT20" authorId="0" shapeId="0" xr:uid="{DC7B3E61-C724-41C7-90F4-493B1C0C7E73}">
      <text>
        <r>
          <rPr>
            <b/>
            <sz val="10"/>
            <color indexed="81"/>
            <rFont val="Tahoma"/>
          </rPr>
          <t>A hmy:</t>
        </r>
        <r>
          <rPr>
            <sz val="10"/>
            <color indexed="81"/>
            <rFont val="Tahoma"/>
          </rPr>
          <t xml:space="preserve">
نوشته usage
</t>
        </r>
      </text>
    </comment>
  </commentList>
</comments>
</file>

<file path=xl/sharedStrings.xml><?xml version="1.0" encoding="utf-8"?>
<sst xmlns="http://schemas.openxmlformats.org/spreadsheetml/2006/main" count="1754" uniqueCount="119">
  <si>
    <t xml:space="preserve">Language </t>
  </si>
  <si>
    <t>prompt</t>
  </si>
  <si>
    <t>Program Name</t>
  </si>
  <si>
    <t>C1 - Classes and Interfaces</t>
  </si>
  <si>
    <t>TP</t>
  </si>
  <si>
    <t>FN</t>
  </si>
  <si>
    <t>FP</t>
  </si>
  <si>
    <t>Recall</t>
  </si>
  <si>
    <t>F1</t>
  </si>
  <si>
    <t>GT</t>
  </si>
  <si>
    <t>java</t>
  </si>
  <si>
    <t>ex1_1</t>
  </si>
  <si>
    <t>ex1_2</t>
  </si>
  <si>
    <t>ex2_1</t>
  </si>
  <si>
    <t>ex2_2</t>
  </si>
  <si>
    <t>ex3_1</t>
  </si>
  <si>
    <t>ex3_2</t>
  </si>
  <si>
    <t>ex4_1</t>
  </si>
  <si>
    <t>ex4_2</t>
  </si>
  <si>
    <t>ex5_1</t>
  </si>
  <si>
    <t>ex5_2</t>
  </si>
  <si>
    <t>ex6_1</t>
  </si>
  <si>
    <t>ex6_2</t>
  </si>
  <si>
    <t>ex7_1</t>
  </si>
  <si>
    <t>ex7_2</t>
  </si>
  <si>
    <t>ex8_1</t>
  </si>
  <si>
    <t>ex8_2</t>
  </si>
  <si>
    <t>ex9_1</t>
  </si>
  <si>
    <t>ex9_2</t>
  </si>
  <si>
    <t>ex10_1</t>
  </si>
  <si>
    <t>ex10_2</t>
  </si>
  <si>
    <t>ex11_1</t>
  </si>
  <si>
    <t>ex11_2</t>
  </si>
  <si>
    <t>ex12_1</t>
  </si>
  <si>
    <t>ex12_2</t>
  </si>
  <si>
    <t>ex13_1</t>
  </si>
  <si>
    <t>ex13_2</t>
  </si>
  <si>
    <t>ex14_1</t>
  </si>
  <si>
    <t>ex14_2</t>
  </si>
  <si>
    <t>"""Below is an instruction that describes a task, paired with an input that provides further context. Write a response, which is in JSON format that appropriately solves the following Task: 
### Instruction:
Generate a concise UML class diagram for the provided Java code. The output should:
1. Define each class and interface only once, including its attributes, methods, and relationships.
2. Include all relationships (Inheritance, Realization, Dependency, Association, Composition, Aggregation) without duplication.
3. Avoid redundant or repeated operations, classes, or relationships.
### Input:
{code_content}
### Response:
"""</t>
  </si>
  <si>
    <t xml:space="preserve"> """ &lt;｜User｜&gt;You are a precise reverse-engineering expert who only extracts what is explicitly present in the source code.
Generate a concise UML class diagram from the following Java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Java code:
{code_content}
&lt;｜Assistant｜&gt;"""</t>
  </si>
  <si>
    <t>"""&lt;｜User｜&gt;Generate a concise UML class diagram from the following Java source code.
CRITICAL GENERAL RULE:
Never guess or assume anything. Only report a value if it is explicitly written in the code. 
Do not use Java naming conventions, common style, or typical patterns (for example, do not assume fields are private or methods are public). 
If a modifier or detail is not written in the code, leave it as default or empty — never invent it.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Java code:
{code_content}
&lt;｜Assistant｜&gt;"""</t>
  </si>
  <si>
    <t>AVG</t>
  </si>
  <si>
    <t xml:space="preserve"> """&lt;｜User｜&gt;Generate a concise UML class diagram from the following Java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Java code:
{code_content}
&lt;｜Assistant｜&gt;
"""</t>
  </si>
  <si>
    <t xml:space="preserve"> """&lt;｜User｜&gt;
Generate a concise UML class diagram from the following Java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Before returning the diagram, compare the generated diagram JSON with the source code and fix any missing, invented, or incorrectly stated details needed for a UML class diagram, based only on what is explicitly written in the code.
Java code:
{code_content}
&lt;｜Assistant｜&gt;"""    </t>
  </si>
  <si>
    <t>"""&lt;｜User｜&gt;Generate a precise UML class diagram from the following Java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Do not write any explanation, markdown, or extra text.
Return ONLY a valid JSON object with exactly this structure:
{
  "classes": [
    {
      "classOrInterface": "Class or Interface",
      "name": "",
      "visibility": "",
      "isStatic": false,
      "isAbstract": false,
      "constructors": [
        {
          "visibility": "",
          "parameters": []
        }
      ],
      "variables": [
        {
          "name": "",
          "type": "",
          "visibility": "",
          "isStatic": false
        }
      ],
      "methods": [
        {
          "name": "",
          "visibility": "",
          "isStatic": false,
          "isAbstract": false,
          "returnType": "",
          "parameters": []
        }
      ]
    }
  ],
  "relationships": [
    {
      "relationship": "",
      "source": "",
      "target": "",
      "multiplicity1": "",
      "role1": "",
      "multiplicity2": "",
      "role2": ""
    }
  ]
}
Java code:
{code_content}
&lt;｜Assistant｜&gt;"""</t>
  </si>
  <si>
    <t xml:space="preserve"> """&lt;｜User｜&gt;
Generate a concise UML class diagram from the following Java source code.
Requirements:
1. Define each class and interface only once.
2. Include all attributes (with types) and methods.
3. Include all relationships: Inheritance, Realization, Dependency, Association, Composition, Aggregation.
4. Do not duplicate any class, method, attribute, or relationship.
5. Do not invent any element that does not exist in the given code.
6. Return ONLY a valid JSON object. No explanation, no markdown, no extra text.
Before producing the final JSON, internally check this list:
- Every class and interface is included with correct type (Class / Interface)
- For classes, attributes, and methods: report visibility, abstract, and static only when explicitly written in the code
- Attributes and methods are grouped under the class they belong to
- Constructors are included only if explicitly written (no default constructors)
- Inheritance: child → parent when "extends" is present
- Realization: class → interface when "implements" is present
- Other relationships (Association, Aggregation, Composition, Dependency) are detected from field types and usage only when explicitly supported by the source code.
- Multiplicities and roles are added only if explicitly written
- Verify that every relationship has the correct direction (Source → Target) as explicitly supported by the source code.
- Verify that the output contains no additional elements. 
Java code:
{code_content}
&lt;｜Assistant｜&gt;
"""</t>
  </si>
  <si>
    <t>prompt1</t>
  </si>
  <si>
    <t>prompt2</t>
  </si>
  <si>
    <t xml:space="preserve"> """&lt;｜User｜&gt;Review the following UML class diagram, which was generated from the given Java source code, and find problems with it.
Java code:
{code_content}
Generated diagram JSON:
{previous_json}
Compare the generated diagram JSON with the source code and report a list of any missing, invented, or incorrectly stated details needed for a UML class diagram, based only on what is explicitly written in the code.
&lt;｜Assistant｜&gt;"""</t>
  </si>
  <si>
    <t xml:space="preserve"> """&lt;｜User｜&gt;Improve the following UML class diagram JSON based only on the critique below.
Fix only the issues mentioned in the critique, without adding or removing any elements unless the critique requires it, and keep everything else unchanged.
Critique:
{review_response}
Previous diagram JSON:
{previous_json}
Return ONLY the improved JSON object. No explanation or extra text.
&lt;｜Assistant｜&gt;"""</t>
  </si>
  <si>
    <t xml:space="preserve"> """&lt;｜User｜&gt;
Generate a concise UML class diagram from the following Java source code.
# Follow these steps in order to build your answer:
# Step 1: Identify every class and interface in the code, and determine its type (Class or Interface).
# Step 2: For each class/interface, extract its attributes (with types). Include visibility, abstract, and static ONLY if explicitly written in the code.
# Step 3: For each class/interface, extract its methods. Same rule: report modifiers only if explicit.
# Step 4: Identify constructors ONLY if explicitly written (do not assume default constructors).
# Step 5: Identify Inheritance relationships (child → parent) wherever "extends" appears.
# Step 6: Identify Realization relationships (class → interface) wherever "implements" appears.
# Step 7: Identify Association, Aggregation, Composition, and Dependency relationships based on field types and usage — only when explicitly supported by the code. Determine the correct direction (Source → Target) for each.
# Step 8: Add multiplicities and roles ONLY if explicitly written in the code.
# Step 9: Review your result — remove any class, method, attribute, or relationship that does not actually exist in the code.
# Step 10: Review your result — remove any duplicate entries.
# After completing all steps above, output the final result.
# Requirements for the output:
# - Return ONLY a valid JSON object.
# - No explanation, no markdown, no extra text, no mention of the steps.
# Java code:
# {code_content}&lt;｜Assistant｜&gt;
"""</t>
  </si>
  <si>
    <t xml:space="preserve"> """&lt;｜User｜&gt;Analyze the following Java source code to prepare a UML class diagram.
# Requirements:
# 1. Define each class and interface only once.
# 2. Include all attributes (with types) and methods.
# 3. Include all relationships: Inheritance, Realization, Dependency, Association, Composition, Aggregation.
# 4. Do not duplicate any class, method, attribute, or relationship.
# 5. Do not invent any element that does not exist in the given code.
# Java code:
# {code_content}
Think step by step and write only your step-by-step reasoning.
&lt;｜Assistant｜&gt;"""</t>
  </si>
  <si>
    <t xml:space="preserve"> """&lt;｜User｜&gt;Here is your step-by-step reasoning about the Java source code:
# {step1_response}
# Now, based on the above reasoning, generate the final UML class diagram.
# Requirements:
# 1. Define each class and interface only once.
# 2. Include all attributes (with types) and methods.
# 3. Include all relationships: Inheritance, Realization, Dependency, Association, Composition, Aggregation.
# 4. Do not duplicate any class, method, attribute, or relationship.
# 5. Do not invent any element that does not exist in the given code or in the reasoning above.
# 6. Return ONLY a valid JSON object. No explanation, no markdown, no extra text.
&lt;｜Assistant｜&gt;"""</t>
  </si>
  <si>
    <t>ex1</t>
  </si>
  <si>
    <t>ex2</t>
  </si>
  <si>
    <t>ex3</t>
  </si>
  <si>
    <t>ex4</t>
  </si>
  <si>
    <t>ex5</t>
  </si>
  <si>
    <t>ex6</t>
  </si>
  <si>
    <t>ex7</t>
  </si>
  <si>
    <t>ex8</t>
  </si>
  <si>
    <t>ex9</t>
  </si>
  <si>
    <t>ex10</t>
  </si>
  <si>
    <t>ex11</t>
  </si>
  <si>
    <t>ex12</t>
  </si>
  <si>
    <t>ex13</t>
  </si>
  <si>
    <t>ex14</t>
  </si>
  <si>
    <t>Prompt name</t>
  </si>
  <si>
    <t>Recall AVG</t>
  </si>
  <si>
    <t>F1 AVG</t>
  </si>
  <si>
    <t>C2_Constructor</t>
  </si>
  <si>
    <t>C2a_Constructor_Parameters</t>
  </si>
  <si>
    <t>C3 - Attributes and Types</t>
  </si>
  <si>
    <t>C3a-Visibility attributes</t>
  </si>
  <si>
    <t>C4- Methods</t>
  </si>
  <si>
    <t>C4a-Parameters</t>
  </si>
  <si>
    <t>C4b-Visibility methods_Constructors</t>
  </si>
  <si>
    <t>C5- Inheritance Relationship</t>
  </si>
  <si>
    <t>C6 - Realization Relationship</t>
  </si>
  <si>
    <t>C7 - Association Relationship</t>
  </si>
  <si>
    <t>C8 - Aggregation/Composition Relationship</t>
  </si>
  <si>
    <t>C9- Direction</t>
  </si>
  <si>
    <t>C10 - Abstract Classes and Methods</t>
  </si>
  <si>
    <t>C11 - Static Classes and Methods</t>
  </si>
  <si>
    <t>C12 - Association Multiplicity</t>
  </si>
  <si>
    <t>C13 - Dependency Relationship</t>
  </si>
  <si>
    <t>Self-review-postfix</t>
  </si>
  <si>
    <t>SUM</t>
  </si>
  <si>
    <t>C1</t>
  </si>
  <si>
    <t>C2</t>
  </si>
  <si>
    <t>C2a</t>
  </si>
  <si>
    <t>C3</t>
  </si>
  <si>
    <t>C3a</t>
  </si>
  <si>
    <t>C4</t>
  </si>
  <si>
    <t>C4a</t>
  </si>
  <si>
    <t>C4b</t>
  </si>
  <si>
    <t>C5</t>
  </si>
  <si>
    <t>C6</t>
  </si>
  <si>
    <t>C7</t>
  </si>
  <si>
    <t>C8</t>
  </si>
  <si>
    <t>C9</t>
  </si>
  <si>
    <t>C10</t>
  </si>
  <si>
    <t>C11</t>
  </si>
  <si>
    <t>C12</t>
  </si>
  <si>
    <t>C13</t>
  </si>
  <si>
    <t>Min</t>
  </si>
  <si>
    <t>Max</t>
  </si>
  <si>
    <t>Alpaca</t>
  </si>
  <si>
    <t>Baseline</t>
  </si>
  <si>
    <t>Persona</t>
  </si>
  <si>
    <t>Strict-no-guessing</t>
  </si>
  <si>
    <t>Schema-guided</t>
  </si>
  <si>
    <t>Checklist</t>
  </si>
  <si>
    <t>Step-by-step</t>
  </si>
  <si>
    <t>COT</t>
  </si>
  <si>
    <t>RCI</t>
  </si>
  <si>
    <t>Precision</t>
  </si>
  <si>
    <t>Precision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</si>
</sst>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indexed="81"/>
      <name val="Tahoma"/>
      <family val="2"/>
    </font>
    <font>
      <sz val="10"/>
      <color indexed="81"/>
      <name val="Tahoma"/>
      <family val="2"/>
    </font>
    <font>
      <sz val="8"/>
      <name val="Aptos Narrow"/>
      <family val="2"/>
      <scheme val="minor"/>
    </font>
    <font>
      <sz val="10"/>
      <color indexed="81"/>
      <name val="Tahoma"/>
    </font>
    <font>
      <b/>
      <sz val="10"/>
      <color indexed="81"/>
      <name val="Tahoma"/>
    </font>
    <font>
      <sz val="13"/>
      <color theme="1"/>
      <name val="Times New Roman"/>
      <family val="1"/>
    </font>
    <font>
      <sz val="12"/>
      <color theme="1"/>
      <name val="Times New Roman"/>
      <family val="1"/>
    </font>
  </fonts>
  <fills count="1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tint="0.39997558519241921"/>
        <bgColor indexed="64"/>
      </patternFill>
    </fill>
  </fills>
  <borders count="41">
    <border>
      <left/>
      <right/>
      <top/>
      <bottom/>
      <diagonal/>
    </border>
    <border>
      <left/>
      <right style="thin">
        <color indexed="64"/>
      </right>
      <top style="thick">
        <color indexed="64"/>
      </top>
      <bottom/>
      <diagonal/>
    </border>
    <border>
      <left/>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diagonal/>
    </border>
    <border>
      <left/>
      <right style="thin">
        <color indexed="64"/>
      </right>
      <top/>
      <bottom style="thin">
        <color indexed="64"/>
      </bottom>
      <diagonal/>
    </border>
    <border>
      <left style="thin">
        <color indexed="64"/>
      </left>
      <right style="thick">
        <color indexed="64"/>
      </right>
      <top/>
      <bottom/>
      <diagonal/>
    </border>
    <border>
      <left/>
      <right style="thin">
        <color indexed="64"/>
      </right>
      <top style="thick">
        <color indexed="64"/>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bottom style="thin">
        <color indexed="64"/>
      </bottom>
      <diagonal/>
    </border>
    <border>
      <left style="thin">
        <color indexed="64"/>
      </left>
      <right/>
      <top style="thick">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s>
  <cellStyleXfs count="1">
    <xf numFmtId="0" fontId="0" fillId="0" borderId="0"/>
  </cellStyleXfs>
  <cellXfs count="122">
    <xf numFmtId="0" fontId="0" fillId="0" borderId="0" xfId="0"/>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3" borderId="17" xfId="0" applyFill="1" applyBorder="1" applyAlignment="1">
      <alignment horizontal="center" vertical="center"/>
    </xf>
    <xf numFmtId="0" fontId="0" fillId="3" borderId="10" xfId="0" applyFill="1" applyBorder="1" applyAlignment="1">
      <alignment horizontal="center"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0" fillId="3" borderId="20" xfId="0" applyFill="1" applyBorder="1" applyAlignment="1">
      <alignment horizontal="center" vertical="center"/>
    </xf>
    <xf numFmtId="0" fontId="0" fillId="4" borderId="22" xfId="0" applyFill="1" applyBorder="1" applyAlignment="1">
      <alignment horizontal="center" vertical="center"/>
    </xf>
    <xf numFmtId="0" fontId="0" fillId="4" borderId="23" xfId="0" applyFill="1" applyBorder="1" applyAlignment="1">
      <alignment horizontal="center" vertical="center"/>
    </xf>
    <xf numFmtId="0" fontId="0" fillId="4" borderId="16" xfId="0" applyFill="1" applyBorder="1" applyAlignment="1">
      <alignment horizontal="center" vertical="center"/>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16" xfId="0" applyFill="1" applyBorder="1" applyAlignment="1">
      <alignment horizontal="center" vertical="center"/>
    </xf>
    <xf numFmtId="0" fontId="0" fillId="6" borderId="22" xfId="0" applyFill="1" applyBorder="1" applyAlignment="1">
      <alignment horizontal="center" vertical="center"/>
    </xf>
    <xf numFmtId="0" fontId="0" fillId="6" borderId="23" xfId="0" applyFill="1" applyBorder="1" applyAlignment="1">
      <alignment horizontal="center" vertical="center"/>
    </xf>
    <xf numFmtId="0" fontId="0" fillId="6" borderId="16" xfId="0" applyFill="1" applyBorder="1" applyAlignment="1">
      <alignment horizontal="center" vertical="center"/>
    </xf>
    <xf numFmtId="0" fontId="0" fillId="7" borderId="22" xfId="0" applyFill="1" applyBorder="1" applyAlignment="1">
      <alignment horizontal="center" vertical="center"/>
    </xf>
    <xf numFmtId="0" fontId="0" fillId="7" borderId="23" xfId="0" applyFill="1" applyBorder="1" applyAlignment="1">
      <alignment horizontal="center" vertical="center"/>
    </xf>
    <xf numFmtId="0" fontId="0" fillId="7" borderId="16" xfId="0" applyFill="1" applyBorder="1" applyAlignment="1">
      <alignment horizontal="center"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8" borderId="16" xfId="0" applyFill="1"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9" borderId="16" xfId="0" applyFill="1" applyBorder="1" applyAlignment="1">
      <alignment horizontal="center" vertical="center"/>
    </xf>
    <xf numFmtId="0" fontId="0" fillId="10" borderId="22" xfId="0" applyFill="1" applyBorder="1" applyAlignment="1">
      <alignment horizontal="center" vertical="center"/>
    </xf>
    <xf numFmtId="0" fontId="0" fillId="10" borderId="23" xfId="0" applyFill="1" applyBorder="1" applyAlignment="1">
      <alignment horizontal="center" vertical="center"/>
    </xf>
    <xf numFmtId="0" fontId="0" fillId="10" borderId="16" xfId="0" applyFill="1" applyBorder="1" applyAlignment="1">
      <alignment horizontal="center" vertical="center"/>
    </xf>
    <xf numFmtId="0" fontId="0" fillId="11" borderId="22" xfId="0" applyFill="1" applyBorder="1" applyAlignment="1">
      <alignment horizontal="center" vertical="center"/>
    </xf>
    <xf numFmtId="0" fontId="0" fillId="11" borderId="23" xfId="0" applyFill="1" applyBorder="1" applyAlignment="1">
      <alignment horizontal="center" vertical="center"/>
    </xf>
    <xf numFmtId="0" fontId="0" fillId="11" borderId="16" xfId="0" applyFill="1" applyBorder="1" applyAlignment="1">
      <alignment horizontal="center" vertical="center"/>
    </xf>
    <xf numFmtId="0" fontId="0" fillId="12" borderId="22" xfId="0" applyFill="1" applyBorder="1" applyAlignment="1">
      <alignment horizontal="center" vertical="center"/>
    </xf>
    <xf numFmtId="0" fontId="0" fillId="12" borderId="23" xfId="0" applyFill="1" applyBorder="1" applyAlignment="1">
      <alignment horizontal="center" vertical="center"/>
    </xf>
    <xf numFmtId="0" fontId="0" fillId="12" borderId="16" xfId="0" applyFill="1" applyBorder="1" applyAlignment="1">
      <alignment horizontal="center" vertical="center"/>
    </xf>
    <xf numFmtId="0" fontId="0" fillId="13" borderId="22" xfId="0" applyFill="1" applyBorder="1" applyAlignment="1">
      <alignment horizontal="center" vertical="center"/>
    </xf>
    <xf numFmtId="0" fontId="0" fillId="13" borderId="23" xfId="0" applyFill="1" applyBorder="1" applyAlignment="1">
      <alignment horizontal="center" vertical="center"/>
    </xf>
    <xf numFmtId="0" fontId="0" fillId="13" borderId="16" xfId="0" applyFill="1" applyBorder="1" applyAlignment="1">
      <alignment horizontal="center" vertical="center"/>
    </xf>
    <xf numFmtId="0" fontId="0" fillId="14" borderId="22" xfId="0" applyFill="1" applyBorder="1" applyAlignment="1">
      <alignment horizontal="center" vertical="center"/>
    </xf>
    <xf numFmtId="0" fontId="0" fillId="14" borderId="23" xfId="0" applyFill="1" applyBorder="1" applyAlignment="1">
      <alignment horizontal="center" vertical="center"/>
    </xf>
    <xf numFmtId="0" fontId="0" fillId="14" borderId="16" xfId="0" applyFill="1" applyBorder="1" applyAlignment="1">
      <alignment horizontal="center" vertical="center"/>
    </xf>
    <xf numFmtId="0" fontId="0" fillId="15" borderId="22" xfId="0" applyFill="1" applyBorder="1" applyAlignment="1">
      <alignment horizontal="center" vertical="center"/>
    </xf>
    <xf numFmtId="0" fontId="0" fillId="15" borderId="23" xfId="0" applyFill="1" applyBorder="1" applyAlignment="1">
      <alignment horizontal="center" vertical="center"/>
    </xf>
    <xf numFmtId="0" fontId="0" fillId="15" borderId="16" xfId="0" applyFill="1" applyBorder="1" applyAlignment="1">
      <alignment horizontal="center" vertical="center"/>
    </xf>
    <xf numFmtId="0" fontId="0" fillId="15" borderId="15" xfId="0" applyFill="1" applyBorder="1" applyAlignment="1">
      <alignment horizontal="center" vertical="center"/>
    </xf>
    <xf numFmtId="0" fontId="0" fillId="16" borderId="22" xfId="0" applyFill="1" applyBorder="1" applyAlignment="1">
      <alignment horizontal="center" vertical="center"/>
    </xf>
    <xf numFmtId="0" fontId="0" fillId="16" borderId="23" xfId="0" applyFill="1" applyBorder="1" applyAlignment="1">
      <alignment horizontal="center" vertical="center"/>
    </xf>
    <xf numFmtId="0" fontId="0" fillId="16" borderId="16" xfId="0" applyFill="1" applyBorder="1" applyAlignment="1">
      <alignment horizontal="center" vertical="center"/>
    </xf>
    <xf numFmtId="0" fontId="0" fillId="2" borderId="21" xfId="0" applyFill="1" applyBorder="1" applyAlignment="1">
      <alignment horizontal="center" vertical="center"/>
    </xf>
    <xf numFmtId="0" fontId="0" fillId="3" borderId="15" xfId="0" applyFill="1" applyBorder="1" applyAlignment="1">
      <alignment horizontal="center" vertical="center"/>
    </xf>
    <xf numFmtId="0" fontId="0" fillId="4" borderId="15" xfId="0" applyFill="1" applyBorder="1" applyAlignment="1">
      <alignment horizontal="center" vertical="center"/>
    </xf>
    <xf numFmtId="0" fontId="0" fillId="5" borderId="15" xfId="0" applyFill="1" applyBorder="1" applyAlignment="1">
      <alignment horizontal="center" vertical="center"/>
    </xf>
    <xf numFmtId="0" fontId="0" fillId="6" borderId="15" xfId="0" applyFill="1" applyBorder="1" applyAlignment="1">
      <alignment horizontal="center" vertical="center"/>
    </xf>
    <xf numFmtId="0" fontId="0" fillId="7" borderId="15" xfId="0" applyFill="1" applyBorder="1" applyAlignment="1">
      <alignment horizontal="center" vertical="center"/>
    </xf>
    <xf numFmtId="0" fontId="0" fillId="8" borderId="15" xfId="0" applyFill="1" applyBorder="1" applyAlignment="1">
      <alignment horizontal="center" vertical="center"/>
    </xf>
    <xf numFmtId="0" fontId="0" fillId="9" borderId="15" xfId="0" applyFill="1" applyBorder="1" applyAlignment="1">
      <alignment horizontal="center" vertical="center"/>
    </xf>
    <xf numFmtId="0" fontId="0" fillId="10" borderId="15" xfId="0" applyFill="1" applyBorder="1" applyAlignment="1">
      <alignment horizontal="center" vertical="center"/>
    </xf>
    <xf numFmtId="0" fontId="0" fillId="11" borderId="15" xfId="0" applyFill="1" applyBorder="1" applyAlignment="1">
      <alignment horizontal="center" vertical="center"/>
    </xf>
    <xf numFmtId="0" fontId="0" fillId="12" borderId="15" xfId="0" applyFill="1" applyBorder="1" applyAlignment="1">
      <alignment horizontal="center" vertical="center"/>
    </xf>
    <xf numFmtId="0" fontId="0" fillId="13" borderId="15" xfId="0" applyFill="1" applyBorder="1" applyAlignment="1">
      <alignment horizontal="center" vertical="center"/>
    </xf>
    <xf numFmtId="0" fontId="0" fillId="14" borderId="15" xfId="0" applyFill="1" applyBorder="1" applyAlignment="1">
      <alignment horizontal="center" vertical="center"/>
    </xf>
    <xf numFmtId="0" fontId="0" fillId="16" borderId="15" xfId="0" applyFill="1" applyBorder="1" applyAlignment="1">
      <alignment horizontal="center" vertical="center"/>
    </xf>
    <xf numFmtId="0" fontId="0" fillId="0" borderId="0" xfId="0" applyAlignment="1">
      <alignment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25" xfId="0" applyFill="1" applyBorder="1" applyAlignment="1">
      <alignment horizontal="center" vertical="center"/>
    </xf>
    <xf numFmtId="0" fontId="0" fillId="3" borderId="30" xfId="0" applyFill="1" applyBorder="1" applyAlignment="1">
      <alignment horizontal="center" vertical="center"/>
    </xf>
    <xf numFmtId="0" fontId="0" fillId="2" borderId="0" xfId="0" applyFill="1" applyAlignment="1">
      <alignment horizontal="center" vertical="center" wrapText="1"/>
    </xf>
    <xf numFmtId="0" fontId="0" fillId="16" borderId="32" xfId="0" applyFill="1" applyBorder="1" applyAlignment="1">
      <alignment horizontal="center" vertical="center"/>
    </xf>
    <xf numFmtId="0" fontId="0" fillId="16" borderId="33" xfId="0" applyFill="1" applyBorder="1" applyAlignment="1">
      <alignment horizontal="center" vertical="center"/>
    </xf>
    <xf numFmtId="0" fontId="0" fillId="16" borderId="29" xfId="0" applyFill="1" applyBorder="1" applyAlignment="1">
      <alignment horizontal="center" vertical="center"/>
    </xf>
    <xf numFmtId="0" fontId="0" fillId="0" borderId="0" xfId="0" applyAlignment="1">
      <alignment horizontal="center" vertical="center"/>
    </xf>
    <xf numFmtId="0" fontId="0" fillId="2" borderId="22" xfId="0" applyFill="1" applyBorder="1" applyAlignment="1">
      <alignment horizontal="center" vertical="center"/>
    </xf>
    <xf numFmtId="0" fontId="0" fillId="0" borderId="15" xfId="0" applyBorder="1"/>
    <xf numFmtId="0" fontId="6" fillId="0" borderId="15" xfId="0" applyFont="1" applyBorder="1" applyAlignment="1">
      <alignment horizontal="center" vertical="center" wrapText="1" readingOrder="2"/>
    </xf>
    <xf numFmtId="0" fontId="0" fillId="0" borderId="18" xfId="0" applyBorder="1" applyAlignment="1">
      <alignment vertical="center"/>
    </xf>
    <xf numFmtId="0" fontId="0" fillId="0" borderId="18" xfId="0" applyBorder="1"/>
    <xf numFmtId="0" fontId="0" fillId="0" borderId="17" xfId="0" applyBorder="1"/>
    <xf numFmtId="0" fontId="0" fillId="0" borderId="29" xfId="0" applyBorder="1" applyAlignment="1">
      <alignment vertical="center"/>
    </xf>
    <xf numFmtId="0" fontId="0" fillId="0" borderId="29" xfId="0" applyBorder="1"/>
    <xf numFmtId="0" fontId="0" fillId="0" borderId="32" xfId="0" applyBorder="1"/>
    <xf numFmtId="0" fontId="7" fillId="0" borderId="39" xfId="0" applyFont="1" applyBorder="1" applyAlignment="1">
      <alignment horizontal="center" vertical="center" wrapText="1" readingOrder="2"/>
    </xf>
    <xf numFmtId="0" fontId="7" fillId="0" borderId="40" xfId="0" applyFont="1" applyBorder="1" applyAlignment="1">
      <alignment horizontal="center" vertical="center" wrapText="1" readingOrder="2"/>
    </xf>
    <xf numFmtId="0" fontId="7" fillId="0" borderId="26" xfId="0" applyFont="1" applyBorder="1" applyAlignment="1">
      <alignment horizontal="center" vertical="center" wrapText="1" readingOrder="2"/>
    </xf>
    <xf numFmtId="0" fontId="7" fillId="0" borderId="27" xfId="0" applyFont="1" applyBorder="1" applyAlignment="1">
      <alignment horizontal="center" vertical="center" wrapText="1" readingOrder="2"/>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0" fillId="0" borderId="0" xfId="0" applyAlignment="1">
      <alignment horizontal="center" vertical="center"/>
    </xf>
    <xf numFmtId="0" fontId="0" fillId="2" borderId="1" xfId="0" applyFill="1" applyBorder="1" applyAlignment="1">
      <alignment horizontal="center" vertical="center"/>
    </xf>
    <xf numFmtId="0" fontId="0" fillId="2" borderId="10" xfId="0" applyFill="1" applyBorder="1" applyAlignment="1">
      <alignment horizontal="center"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1"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31"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28" xfId="0" applyFill="1" applyBorder="1" applyAlignment="1">
      <alignment horizontal="center" vertical="center"/>
    </xf>
    <xf numFmtId="0" fontId="0" fillId="2" borderId="36" xfId="0" applyFill="1" applyBorder="1" applyAlignment="1">
      <alignment horizontal="center" vertical="center"/>
    </xf>
    <xf numFmtId="0" fontId="0" fillId="2" borderId="37" xfId="0" applyFill="1" applyBorder="1" applyAlignment="1">
      <alignment horizontal="center" vertical="center"/>
    </xf>
    <xf numFmtId="0" fontId="0" fillId="2" borderId="38" xfId="0" applyFill="1" applyBorder="1" applyAlignment="1">
      <alignment horizontal="center" vertical="center"/>
    </xf>
    <xf numFmtId="0" fontId="0" fillId="2" borderId="24" xfId="0" applyFill="1" applyBorder="1" applyAlignment="1">
      <alignment horizontal="center" vertical="center"/>
    </xf>
    <xf numFmtId="0" fontId="0" fillId="2" borderId="12" xfId="0" applyFill="1" applyBorder="1" applyAlignment="1">
      <alignment horizontal="center" vertical="center"/>
    </xf>
    <xf numFmtId="0" fontId="0" fillId="2" borderId="20" xfId="0" applyFill="1" applyBorder="1" applyAlignment="1">
      <alignment horizontal="center" vertical="center"/>
    </xf>
    <xf numFmtId="0" fontId="0" fillId="2" borderId="20" xfId="0" applyFill="1" applyBorder="1" applyAlignment="1">
      <alignment horizontal="center" vertical="center" wrapText="1"/>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15"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Summery!$A$2</c:f>
              <c:strCache>
                <c:ptCount val="1"/>
                <c:pt idx="0">
                  <c:v>Alpaca</c:v>
                </c:pt>
              </c:strCache>
            </c:strRef>
          </c:tx>
          <c:spPr>
            <a:solidFill>
              <a:schemeClr val="accent1"/>
            </a:solidFill>
            <a:ln>
              <a:noFill/>
            </a:ln>
            <a:effectLst/>
          </c:spPr>
          <c:invertIfNegative val="0"/>
          <c:cat>
            <c:strRef>
              <c:f>Summery!$B$1:$D$1</c:f>
              <c:strCache>
                <c:ptCount val="3"/>
                <c:pt idx="0">
                  <c:v>Recall AVG</c:v>
                </c:pt>
                <c:pt idx="1">
                  <c:v>Precision AVG</c:v>
                </c:pt>
                <c:pt idx="2">
                  <c:v>F1 AVG</c:v>
                </c:pt>
              </c:strCache>
            </c:strRef>
          </c:cat>
          <c:val>
            <c:numRef>
              <c:f>Summery!$B$2:$D$2</c:f>
              <c:numCache>
                <c:formatCode>General</c:formatCode>
                <c:ptCount val="3"/>
                <c:pt idx="0">
                  <c:v>0.76690381280717423</c:v>
                </c:pt>
                <c:pt idx="1">
                  <c:v>0.80205819887496899</c:v>
                </c:pt>
                <c:pt idx="2">
                  <c:v>0.77101186938884603</c:v>
                </c:pt>
              </c:numCache>
            </c:numRef>
          </c:val>
          <c:extLst>
            <c:ext xmlns:c16="http://schemas.microsoft.com/office/drawing/2014/chart" uri="{C3380CC4-5D6E-409C-BE32-E72D297353CC}">
              <c16:uniqueId val="{00000000-07FB-47D6-BE47-0493CEE363BF}"/>
            </c:ext>
          </c:extLst>
        </c:ser>
        <c:ser>
          <c:idx val="1"/>
          <c:order val="1"/>
          <c:tx>
            <c:strRef>
              <c:f>Summery!$A$3</c:f>
              <c:strCache>
                <c:ptCount val="1"/>
                <c:pt idx="0">
                  <c:v>Baseline</c:v>
                </c:pt>
              </c:strCache>
            </c:strRef>
          </c:tx>
          <c:spPr>
            <a:solidFill>
              <a:schemeClr val="accent2"/>
            </a:solidFill>
            <a:ln>
              <a:noFill/>
            </a:ln>
            <a:effectLst/>
          </c:spPr>
          <c:invertIfNegative val="0"/>
          <c:cat>
            <c:strRef>
              <c:f>Summery!$B$1:$D$1</c:f>
              <c:strCache>
                <c:ptCount val="3"/>
                <c:pt idx="0">
                  <c:v>Recall AVG</c:v>
                </c:pt>
                <c:pt idx="1">
                  <c:v>Precision AVG</c:v>
                </c:pt>
                <c:pt idx="2">
                  <c:v>F1 AVG</c:v>
                </c:pt>
              </c:strCache>
            </c:strRef>
          </c:cat>
          <c:val>
            <c:numRef>
              <c:f>Summery!$B$3:$D$3</c:f>
              <c:numCache>
                <c:formatCode>General</c:formatCode>
                <c:ptCount val="3"/>
                <c:pt idx="0">
                  <c:v>0.80623482298902471</c:v>
                </c:pt>
                <c:pt idx="1">
                  <c:v>0.86805107824015393</c:v>
                </c:pt>
                <c:pt idx="2">
                  <c:v>0.82864129636178308</c:v>
                </c:pt>
              </c:numCache>
            </c:numRef>
          </c:val>
          <c:extLst>
            <c:ext xmlns:c16="http://schemas.microsoft.com/office/drawing/2014/chart" uri="{C3380CC4-5D6E-409C-BE32-E72D297353CC}">
              <c16:uniqueId val="{00000001-07FB-47D6-BE47-0493CEE363BF}"/>
            </c:ext>
          </c:extLst>
        </c:ser>
        <c:ser>
          <c:idx val="2"/>
          <c:order val="2"/>
          <c:tx>
            <c:strRef>
              <c:f>Summery!$A$4</c:f>
              <c:strCache>
                <c:ptCount val="1"/>
                <c:pt idx="0">
                  <c:v>Persona</c:v>
                </c:pt>
              </c:strCache>
            </c:strRef>
          </c:tx>
          <c:spPr>
            <a:solidFill>
              <a:schemeClr val="accent3"/>
            </a:solidFill>
            <a:ln>
              <a:noFill/>
            </a:ln>
            <a:effectLst/>
          </c:spPr>
          <c:invertIfNegative val="0"/>
          <c:cat>
            <c:strRef>
              <c:f>Summery!$B$1:$D$1</c:f>
              <c:strCache>
                <c:ptCount val="3"/>
                <c:pt idx="0">
                  <c:v>Recall AVG</c:v>
                </c:pt>
                <c:pt idx="1">
                  <c:v>Precision AVG</c:v>
                </c:pt>
                <c:pt idx="2">
                  <c:v>F1 AVG</c:v>
                </c:pt>
              </c:strCache>
            </c:strRef>
          </c:cat>
          <c:val>
            <c:numRef>
              <c:f>Summery!$B$4:$D$4</c:f>
              <c:numCache>
                <c:formatCode>General</c:formatCode>
                <c:ptCount val="3"/>
                <c:pt idx="0">
                  <c:v>0.85458999839251959</c:v>
                </c:pt>
                <c:pt idx="1">
                  <c:v>0.86555893627847424</c:v>
                </c:pt>
                <c:pt idx="2">
                  <c:v>0.85212604408416415</c:v>
                </c:pt>
              </c:numCache>
            </c:numRef>
          </c:val>
          <c:extLst>
            <c:ext xmlns:c16="http://schemas.microsoft.com/office/drawing/2014/chart" uri="{C3380CC4-5D6E-409C-BE32-E72D297353CC}">
              <c16:uniqueId val="{00000002-07FB-47D6-BE47-0493CEE363BF}"/>
            </c:ext>
          </c:extLst>
        </c:ser>
        <c:ser>
          <c:idx val="3"/>
          <c:order val="3"/>
          <c:tx>
            <c:strRef>
              <c:f>Summery!$A$5</c:f>
              <c:strCache>
                <c:ptCount val="1"/>
                <c:pt idx="0">
                  <c:v>Strict-no-guessing</c:v>
                </c:pt>
              </c:strCache>
            </c:strRef>
          </c:tx>
          <c:spPr>
            <a:solidFill>
              <a:schemeClr val="accent4"/>
            </a:solidFill>
            <a:ln>
              <a:noFill/>
            </a:ln>
            <a:effectLst/>
          </c:spPr>
          <c:invertIfNegative val="0"/>
          <c:cat>
            <c:strRef>
              <c:f>Summery!$B$1:$D$1</c:f>
              <c:strCache>
                <c:ptCount val="3"/>
                <c:pt idx="0">
                  <c:v>Recall AVG</c:v>
                </c:pt>
                <c:pt idx="1">
                  <c:v>Precision AVG</c:v>
                </c:pt>
                <c:pt idx="2">
                  <c:v>F1 AVG</c:v>
                </c:pt>
              </c:strCache>
            </c:strRef>
          </c:cat>
          <c:val>
            <c:numRef>
              <c:f>Summery!$B$5:$D$5</c:f>
              <c:numCache>
                <c:formatCode>General</c:formatCode>
                <c:ptCount val="3"/>
                <c:pt idx="0">
                  <c:v>0.8233595361221413</c:v>
                </c:pt>
                <c:pt idx="1">
                  <c:v>0.88051182982905696</c:v>
                </c:pt>
                <c:pt idx="2">
                  <c:v>0.84532083734498742</c:v>
                </c:pt>
              </c:numCache>
            </c:numRef>
          </c:val>
          <c:extLst>
            <c:ext xmlns:c16="http://schemas.microsoft.com/office/drawing/2014/chart" uri="{C3380CC4-5D6E-409C-BE32-E72D297353CC}">
              <c16:uniqueId val="{00000003-07FB-47D6-BE47-0493CEE363BF}"/>
            </c:ext>
          </c:extLst>
        </c:ser>
        <c:ser>
          <c:idx val="4"/>
          <c:order val="4"/>
          <c:tx>
            <c:strRef>
              <c:f>Summery!$A$6</c:f>
              <c:strCache>
                <c:ptCount val="1"/>
                <c:pt idx="0">
                  <c:v>Self-review-postfix</c:v>
                </c:pt>
              </c:strCache>
            </c:strRef>
          </c:tx>
          <c:spPr>
            <a:solidFill>
              <a:schemeClr val="accent5"/>
            </a:solidFill>
            <a:ln>
              <a:noFill/>
            </a:ln>
            <a:effectLst/>
          </c:spPr>
          <c:invertIfNegative val="0"/>
          <c:cat>
            <c:strRef>
              <c:f>Summery!$B$1:$D$1</c:f>
              <c:strCache>
                <c:ptCount val="3"/>
                <c:pt idx="0">
                  <c:v>Recall AVG</c:v>
                </c:pt>
                <c:pt idx="1">
                  <c:v>Precision AVG</c:v>
                </c:pt>
                <c:pt idx="2">
                  <c:v>F1 AVG</c:v>
                </c:pt>
              </c:strCache>
            </c:strRef>
          </c:cat>
          <c:val>
            <c:numRef>
              <c:f>Summery!$B$6:$D$6</c:f>
              <c:numCache>
                <c:formatCode>General</c:formatCode>
                <c:ptCount val="3"/>
                <c:pt idx="0">
                  <c:v>0.83123343354435797</c:v>
                </c:pt>
                <c:pt idx="1">
                  <c:v>0.89714475533803262</c:v>
                </c:pt>
                <c:pt idx="2">
                  <c:v>0.85724341584674146</c:v>
                </c:pt>
              </c:numCache>
            </c:numRef>
          </c:val>
          <c:extLst>
            <c:ext xmlns:c16="http://schemas.microsoft.com/office/drawing/2014/chart" uri="{C3380CC4-5D6E-409C-BE32-E72D297353CC}">
              <c16:uniqueId val="{00000004-07FB-47D6-BE47-0493CEE363BF}"/>
            </c:ext>
          </c:extLst>
        </c:ser>
        <c:ser>
          <c:idx val="5"/>
          <c:order val="5"/>
          <c:tx>
            <c:strRef>
              <c:f>Summery!$A$7</c:f>
              <c:strCache>
                <c:ptCount val="1"/>
                <c:pt idx="0">
                  <c:v>Schema-guided</c:v>
                </c:pt>
              </c:strCache>
            </c:strRef>
          </c:tx>
          <c:spPr>
            <a:solidFill>
              <a:schemeClr val="accent6"/>
            </a:solidFill>
            <a:ln>
              <a:noFill/>
            </a:ln>
            <a:effectLst/>
          </c:spPr>
          <c:invertIfNegative val="0"/>
          <c:cat>
            <c:strRef>
              <c:f>Summery!$B$1:$D$1</c:f>
              <c:strCache>
                <c:ptCount val="3"/>
                <c:pt idx="0">
                  <c:v>Recall AVG</c:v>
                </c:pt>
                <c:pt idx="1">
                  <c:v>Precision AVG</c:v>
                </c:pt>
                <c:pt idx="2">
                  <c:v>F1 AVG</c:v>
                </c:pt>
              </c:strCache>
            </c:strRef>
          </c:cat>
          <c:val>
            <c:numRef>
              <c:f>Summery!$B$7:$D$7</c:f>
              <c:numCache>
                <c:formatCode>General</c:formatCode>
                <c:ptCount val="3"/>
                <c:pt idx="0">
                  <c:v>0.91039653040703461</c:v>
                </c:pt>
                <c:pt idx="1">
                  <c:v>0.63972653073809871</c:v>
                </c:pt>
                <c:pt idx="2">
                  <c:v>0.74255374134179675</c:v>
                </c:pt>
              </c:numCache>
            </c:numRef>
          </c:val>
          <c:extLst>
            <c:ext xmlns:c16="http://schemas.microsoft.com/office/drawing/2014/chart" uri="{C3380CC4-5D6E-409C-BE32-E72D297353CC}">
              <c16:uniqueId val="{00000005-07FB-47D6-BE47-0493CEE363BF}"/>
            </c:ext>
          </c:extLst>
        </c:ser>
        <c:ser>
          <c:idx val="6"/>
          <c:order val="6"/>
          <c:tx>
            <c:strRef>
              <c:f>Summery!$A$8</c:f>
              <c:strCache>
                <c:ptCount val="1"/>
                <c:pt idx="0">
                  <c:v>Checklist</c:v>
                </c:pt>
              </c:strCache>
            </c:strRef>
          </c:tx>
          <c:spPr>
            <a:solidFill>
              <a:schemeClr val="accent1">
                <a:lumMod val="60000"/>
              </a:schemeClr>
            </a:solidFill>
            <a:ln>
              <a:noFill/>
            </a:ln>
            <a:effectLst/>
          </c:spPr>
          <c:invertIfNegative val="0"/>
          <c:cat>
            <c:strRef>
              <c:f>Summery!$B$1:$D$1</c:f>
              <c:strCache>
                <c:ptCount val="3"/>
                <c:pt idx="0">
                  <c:v>Recall AVG</c:v>
                </c:pt>
                <c:pt idx="1">
                  <c:v>Precision AVG</c:v>
                </c:pt>
                <c:pt idx="2">
                  <c:v>F1 AVG</c:v>
                </c:pt>
              </c:strCache>
            </c:strRef>
          </c:cat>
          <c:val>
            <c:numRef>
              <c:f>Summery!$B$8:$D$8</c:f>
              <c:numCache>
                <c:formatCode>General</c:formatCode>
                <c:ptCount val="3"/>
                <c:pt idx="0">
                  <c:v>0.91299224818132407</c:v>
                </c:pt>
                <c:pt idx="1">
                  <c:v>0.76958493462170785</c:v>
                </c:pt>
                <c:pt idx="2">
                  <c:v>0.82740669575152948</c:v>
                </c:pt>
              </c:numCache>
            </c:numRef>
          </c:val>
          <c:extLst>
            <c:ext xmlns:c16="http://schemas.microsoft.com/office/drawing/2014/chart" uri="{C3380CC4-5D6E-409C-BE32-E72D297353CC}">
              <c16:uniqueId val="{00000006-07FB-47D6-BE47-0493CEE363BF}"/>
            </c:ext>
          </c:extLst>
        </c:ser>
        <c:ser>
          <c:idx val="7"/>
          <c:order val="7"/>
          <c:tx>
            <c:strRef>
              <c:f>Summery!$A$9</c:f>
              <c:strCache>
                <c:ptCount val="1"/>
                <c:pt idx="0">
                  <c:v>Step-by-step</c:v>
                </c:pt>
              </c:strCache>
            </c:strRef>
          </c:tx>
          <c:spPr>
            <a:solidFill>
              <a:schemeClr val="accent2">
                <a:lumMod val="60000"/>
              </a:schemeClr>
            </a:solidFill>
            <a:ln>
              <a:noFill/>
            </a:ln>
            <a:effectLst/>
          </c:spPr>
          <c:invertIfNegative val="0"/>
          <c:cat>
            <c:strRef>
              <c:f>Summery!$B$1:$D$1</c:f>
              <c:strCache>
                <c:ptCount val="3"/>
                <c:pt idx="0">
                  <c:v>Recall AVG</c:v>
                </c:pt>
                <c:pt idx="1">
                  <c:v>Precision AVG</c:v>
                </c:pt>
                <c:pt idx="2">
                  <c:v>F1 AVG</c:v>
                </c:pt>
              </c:strCache>
            </c:strRef>
          </c:cat>
          <c:val>
            <c:numRef>
              <c:f>Summery!$B$9:$D$9</c:f>
              <c:numCache>
                <c:formatCode>General</c:formatCode>
                <c:ptCount val="3"/>
                <c:pt idx="0">
                  <c:v>0.88141109007705654</c:v>
                </c:pt>
                <c:pt idx="1">
                  <c:v>0.82564663152770346</c:v>
                </c:pt>
                <c:pt idx="2">
                  <c:v>0.84379027682090524</c:v>
                </c:pt>
              </c:numCache>
            </c:numRef>
          </c:val>
          <c:extLst>
            <c:ext xmlns:c16="http://schemas.microsoft.com/office/drawing/2014/chart" uri="{C3380CC4-5D6E-409C-BE32-E72D297353CC}">
              <c16:uniqueId val="{00000007-07FB-47D6-BE47-0493CEE363BF}"/>
            </c:ext>
          </c:extLst>
        </c:ser>
        <c:ser>
          <c:idx val="8"/>
          <c:order val="8"/>
          <c:tx>
            <c:strRef>
              <c:f>Summery!$A$10</c:f>
              <c:strCache>
                <c:ptCount val="1"/>
                <c:pt idx="0">
                  <c:v>COT</c:v>
                </c:pt>
              </c:strCache>
            </c:strRef>
          </c:tx>
          <c:spPr>
            <a:solidFill>
              <a:schemeClr val="accent3">
                <a:lumMod val="60000"/>
              </a:schemeClr>
            </a:solidFill>
            <a:ln>
              <a:noFill/>
            </a:ln>
            <a:effectLst/>
          </c:spPr>
          <c:invertIfNegative val="0"/>
          <c:cat>
            <c:strRef>
              <c:f>Summery!$B$1:$D$1</c:f>
              <c:strCache>
                <c:ptCount val="3"/>
                <c:pt idx="0">
                  <c:v>Recall AVG</c:v>
                </c:pt>
                <c:pt idx="1">
                  <c:v>Precision AVG</c:v>
                </c:pt>
                <c:pt idx="2">
                  <c:v>F1 AVG</c:v>
                </c:pt>
              </c:strCache>
            </c:strRef>
          </c:cat>
          <c:val>
            <c:numRef>
              <c:f>Summery!$B$10:$D$10</c:f>
              <c:numCache>
                <c:formatCode>General</c:formatCode>
                <c:ptCount val="3"/>
                <c:pt idx="0">
                  <c:v>0.82139449797012831</c:v>
                </c:pt>
                <c:pt idx="1">
                  <c:v>0.87206300076158538</c:v>
                </c:pt>
                <c:pt idx="2">
                  <c:v>0.83625348025372648</c:v>
                </c:pt>
              </c:numCache>
            </c:numRef>
          </c:val>
          <c:extLst>
            <c:ext xmlns:c16="http://schemas.microsoft.com/office/drawing/2014/chart" uri="{C3380CC4-5D6E-409C-BE32-E72D297353CC}">
              <c16:uniqueId val="{00000008-07FB-47D6-BE47-0493CEE363BF}"/>
            </c:ext>
          </c:extLst>
        </c:ser>
        <c:ser>
          <c:idx val="9"/>
          <c:order val="9"/>
          <c:tx>
            <c:strRef>
              <c:f>Summery!$A$11</c:f>
              <c:strCache>
                <c:ptCount val="1"/>
                <c:pt idx="0">
                  <c:v>RCI</c:v>
                </c:pt>
              </c:strCache>
            </c:strRef>
          </c:tx>
          <c:spPr>
            <a:solidFill>
              <a:schemeClr val="accent4">
                <a:lumMod val="60000"/>
              </a:schemeClr>
            </a:solidFill>
            <a:ln>
              <a:noFill/>
            </a:ln>
            <a:effectLst/>
          </c:spPr>
          <c:invertIfNegative val="0"/>
          <c:cat>
            <c:strRef>
              <c:f>Summery!$B$1:$D$1</c:f>
              <c:strCache>
                <c:ptCount val="3"/>
                <c:pt idx="0">
                  <c:v>Recall AVG</c:v>
                </c:pt>
                <c:pt idx="1">
                  <c:v>Precision AVG</c:v>
                </c:pt>
                <c:pt idx="2">
                  <c:v>F1 AVG</c:v>
                </c:pt>
              </c:strCache>
            </c:strRef>
          </c:cat>
          <c:val>
            <c:numRef>
              <c:f>Summery!$B$11:$D$11</c:f>
              <c:numCache>
                <c:formatCode>General</c:formatCode>
                <c:ptCount val="3"/>
                <c:pt idx="0">
                  <c:v>0.81896769391517299</c:v>
                </c:pt>
                <c:pt idx="1">
                  <c:v>0.87283724919917305</c:v>
                </c:pt>
                <c:pt idx="2">
                  <c:v>0.83747892338856089</c:v>
                </c:pt>
              </c:numCache>
            </c:numRef>
          </c:val>
          <c:extLst>
            <c:ext xmlns:c16="http://schemas.microsoft.com/office/drawing/2014/chart" uri="{C3380CC4-5D6E-409C-BE32-E72D297353CC}">
              <c16:uniqueId val="{00000009-07FB-47D6-BE47-0493CEE363BF}"/>
            </c:ext>
          </c:extLst>
        </c:ser>
        <c:dLbls>
          <c:showLegendKey val="0"/>
          <c:showVal val="0"/>
          <c:showCatName val="0"/>
          <c:showSerName val="0"/>
          <c:showPercent val="0"/>
          <c:showBubbleSize val="0"/>
        </c:dLbls>
        <c:gapWidth val="219"/>
        <c:axId val="352875728"/>
        <c:axId val="2116579088"/>
      </c:barChart>
      <c:catAx>
        <c:axId val="35287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79088"/>
        <c:crosses val="autoZero"/>
        <c:auto val="1"/>
        <c:lblAlgn val="ctr"/>
        <c:lblOffset val="100"/>
        <c:noMultiLvlLbl val="0"/>
      </c:catAx>
      <c:valAx>
        <c:axId val="211657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875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9203</xdr:colOff>
      <xdr:row>0</xdr:row>
      <xdr:rowOff>96630</xdr:rowOff>
    </xdr:from>
    <xdr:to>
      <xdr:col>12</xdr:col>
      <xdr:colOff>782246</xdr:colOff>
      <xdr:row>23</xdr:row>
      <xdr:rowOff>165652</xdr:rowOff>
    </xdr:to>
    <xdr:graphicFrame macro="">
      <xdr:nvGraphicFramePr>
        <xdr:cNvPr id="2" name="Chart 1">
          <a:extLst>
            <a:ext uri="{FF2B5EF4-FFF2-40B4-BE49-F238E27FC236}">
              <a16:creationId xmlns:a16="http://schemas.microsoft.com/office/drawing/2014/main" id="{960EA878-6A00-F30E-B02D-E3B2FA3C4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6B18E-1AF0-406E-8167-FA8E228FB809}">
  <dimension ref="A1:CF35"/>
  <sheetViews>
    <sheetView topLeftCell="BE1" zoomScale="75" zoomScaleNormal="89" workbookViewId="0">
      <pane ySplit="2" topLeftCell="A3" activePane="bottomLeft" state="frozen"/>
      <selection activeCell="BH42" sqref="BH42"/>
      <selection pane="bottomLeft" activeCell="BX1" sqref="BX1:BX2"/>
    </sheetView>
  </sheetViews>
  <sheetFormatPr defaultRowHeight="14.5" x14ac:dyDescent="0.35"/>
  <cols>
    <col min="1" max="1" width="11.1796875" customWidth="1"/>
    <col min="2" max="2" width="35.26953125" customWidth="1"/>
    <col min="3" max="3" width="13.7265625"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8.7265625" customWidth="1"/>
    <col min="53" max="53" width="8.453125" customWidth="1"/>
    <col min="54" max="54" width="7.453125" customWidth="1"/>
    <col min="55" max="55" width="8" customWidth="1"/>
    <col min="56" max="56" width="7.26953125" customWidth="1"/>
    <col min="57" max="57" width="7.36328125" customWidth="1"/>
    <col min="58" max="58" width="8" customWidth="1"/>
    <col min="59" max="59" width="7.81640625" customWidth="1"/>
    <col min="60" max="60" width="6.26953125" customWidth="1"/>
    <col min="61" max="61" width="7.90625" customWidth="1"/>
    <col min="62" max="62" width="7.1796875" customWidth="1"/>
    <col min="63" max="63" width="7.453125" customWidth="1"/>
    <col min="64" max="64" width="7.36328125" customWidth="1"/>
    <col min="65" max="65" width="6.90625" customWidth="1"/>
    <col min="66" max="66" width="7.36328125" customWidth="1"/>
    <col min="67" max="67" width="7.90625" customWidth="1"/>
    <col min="68" max="68" width="6.54296875" customWidth="1"/>
    <col min="69" max="69" width="7.26953125" customWidth="1"/>
    <col min="70" max="70" width="6.90625" customWidth="1"/>
    <col min="71" max="71" width="7.7265625" customWidth="1"/>
    <col min="72" max="72" width="9" customWidth="1"/>
    <col min="76" max="76" width="10.453125" customWidth="1"/>
    <col min="81" max="81" width="12.90625" bestFit="1" customWidth="1"/>
    <col min="83" max="83" width="12.54296875" bestFit="1" customWidth="1"/>
  </cols>
  <sheetData>
    <row r="1" spans="1:84" ht="15.5" thickTop="1" thickBot="1" x14ac:dyDescent="0.4">
      <c r="A1" s="92" t="s">
        <v>0</v>
      </c>
      <c r="B1" s="94" t="s">
        <v>1</v>
      </c>
      <c r="C1" s="96" t="s">
        <v>2</v>
      </c>
      <c r="D1" s="98" t="s">
        <v>3</v>
      </c>
      <c r="E1" s="99"/>
      <c r="F1" s="99"/>
      <c r="G1" s="100"/>
      <c r="H1" s="101" t="s">
        <v>71</v>
      </c>
      <c r="I1" s="101"/>
      <c r="J1" s="101"/>
      <c r="K1" s="102"/>
      <c r="L1" s="92" t="s">
        <v>72</v>
      </c>
      <c r="M1" s="103"/>
      <c r="N1" s="103"/>
      <c r="O1" s="96"/>
      <c r="P1" s="92" t="s">
        <v>73</v>
      </c>
      <c r="Q1" s="103"/>
      <c r="R1" s="103"/>
      <c r="S1" s="96"/>
      <c r="T1" s="92" t="s">
        <v>74</v>
      </c>
      <c r="U1" s="103"/>
      <c r="V1" s="103"/>
      <c r="W1" s="96"/>
      <c r="X1" s="92" t="s">
        <v>75</v>
      </c>
      <c r="Y1" s="103"/>
      <c r="Z1" s="103"/>
      <c r="AA1" s="96"/>
      <c r="AB1" s="92" t="s">
        <v>76</v>
      </c>
      <c r="AC1" s="103"/>
      <c r="AD1" s="103"/>
      <c r="AE1" s="96"/>
      <c r="AF1" s="92" t="s">
        <v>77</v>
      </c>
      <c r="AG1" s="103"/>
      <c r="AH1" s="103"/>
      <c r="AI1" s="96"/>
      <c r="AJ1" s="92" t="s">
        <v>78</v>
      </c>
      <c r="AK1" s="103"/>
      <c r="AL1" s="103"/>
      <c r="AM1" s="96"/>
      <c r="AN1" s="92" t="s">
        <v>79</v>
      </c>
      <c r="AO1" s="103"/>
      <c r="AP1" s="103"/>
      <c r="AQ1" s="96"/>
      <c r="AR1" s="92" t="s">
        <v>80</v>
      </c>
      <c r="AS1" s="103"/>
      <c r="AT1" s="103"/>
      <c r="AU1" s="96"/>
      <c r="AV1" s="92" t="s">
        <v>81</v>
      </c>
      <c r="AW1" s="103"/>
      <c r="AX1" s="103"/>
      <c r="AY1" s="111"/>
      <c r="AZ1" s="104" t="s">
        <v>82</v>
      </c>
      <c r="BA1" s="101"/>
      <c r="BB1" s="101"/>
      <c r="BC1" s="102"/>
      <c r="BD1" s="92" t="s">
        <v>83</v>
      </c>
      <c r="BE1" s="103"/>
      <c r="BF1" s="103"/>
      <c r="BG1" s="96"/>
      <c r="BH1" s="92" t="s">
        <v>84</v>
      </c>
      <c r="BI1" s="103"/>
      <c r="BJ1" s="103"/>
      <c r="BK1" s="96"/>
      <c r="BL1" s="92" t="s">
        <v>85</v>
      </c>
      <c r="BM1" s="103"/>
      <c r="BN1" s="103"/>
      <c r="BO1" s="96"/>
      <c r="BP1" s="92" t="s">
        <v>86</v>
      </c>
      <c r="BQ1" s="103"/>
      <c r="BR1" s="103"/>
      <c r="BS1" s="96"/>
      <c r="BT1" s="109" t="s">
        <v>4</v>
      </c>
      <c r="BU1" s="103" t="s">
        <v>5</v>
      </c>
      <c r="BV1" s="103" t="s">
        <v>6</v>
      </c>
      <c r="BW1" s="103" t="s">
        <v>7</v>
      </c>
      <c r="BX1" s="103" t="s">
        <v>117</v>
      </c>
      <c r="BY1" s="96" t="s">
        <v>8</v>
      </c>
      <c r="CC1" s="91" t="s">
        <v>2</v>
      </c>
      <c r="CD1" s="91" t="str">
        <f>BW1</f>
        <v>Recall</v>
      </c>
      <c r="CE1" s="91" t="str">
        <f>BX1</f>
        <v>Precision</v>
      </c>
      <c r="CF1" s="91" t="str">
        <f>BY1</f>
        <v>F1</v>
      </c>
    </row>
    <row r="2" spans="1:84" ht="15.5" thickTop="1" thickBot="1" x14ac:dyDescent="0.4">
      <c r="A2" s="93"/>
      <c r="B2" s="95"/>
      <c r="C2" s="97"/>
      <c r="D2" s="5" t="s">
        <v>9</v>
      </c>
      <c r="E2" s="1" t="s">
        <v>4</v>
      </c>
      <c r="F2" s="1" t="s">
        <v>5</v>
      </c>
      <c r="G2" s="2" t="s">
        <v>6</v>
      </c>
      <c r="H2" s="1" t="s">
        <v>9</v>
      </c>
      <c r="I2" s="3" t="s">
        <v>4</v>
      </c>
      <c r="J2" s="3" t="s">
        <v>5</v>
      </c>
      <c r="K2" s="2" t="s">
        <v>6</v>
      </c>
      <c r="L2" s="1" t="s">
        <v>9</v>
      </c>
      <c r="M2" s="3" t="s">
        <v>4</v>
      </c>
      <c r="N2" s="3" t="s">
        <v>5</v>
      </c>
      <c r="O2" s="2" t="s">
        <v>6</v>
      </c>
      <c r="P2" s="1" t="s">
        <v>9</v>
      </c>
      <c r="Q2" s="3" t="s">
        <v>4</v>
      </c>
      <c r="R2" s="3" t="s">
        <v>5</v>
      </c>
      <c r="S2" s="2" t="s">
        <v>6</v>
      </c>
      <c r="T2" s="1" t="s">
        <v>9</v>
      </c>
      <c r="U2" s="3" t="s">
        <v>4</v>
      </c>
      <c r="V2" s="3" t="s">
        <v>5</v>
      </c>
      <c r="W2" s="2" t="s">
        <v>6</v>
      </c>
      <c r="X2" s="1" t="s">
        <v>9</v>
      </c>
      <c r="Y2" s="3" t="s">
        <v>4</v>
      </c>
      <c r="Z2" s="3" t="s">
        <v>5</v>
      </c>
      <c r="AA2" s="2" t="s">
        <v>6</v>
      </c>
      <c r="AB2" s="1" t="s">
        <v>9</v>
      </c>
      <c r="AC2" s="3" t="s">
        <v>4</v>
      </c>
      <c r="AD2" s="3" t="s">
        <v>5</v>
      </c>
      <c r="AE2" s="2" t="s">
        <v>6</v>
      </c>
      <c r="AF2" s="1" t="s">
        <v>9</v>
      </c>
      <c r="AG2" s="3" t="s">
        <v>4</v>
      </c>
      <c r="AH2" s="3" t="s">
        <v>5</v>
      </c>
      <c r="AI2" s="2" t="s">
        <v>6</v>
      </c>
      <c r="AJ2" s="1" t="s">
        <v>9</v>
      </c>
      <c r="AK2" s="3" t="s">
        <v>4</v>
      </c>
      <c r="AL2" s="3" t="s">
        <v>5</v>
      </c>
      <c r="AM2" s="2" t="s">
        <v>6</v>
      </c>
      <c r="AN2" s="1" t="s">
        <v>9</v>
      </c>
      <c r="AO2" s="3" t="s">
        <v>4</v>
      </c>
      <c r="AP2" s="3" t="s">
        <v>5</v>
      </c>
      <c r="AQ2" s="2" t="s">
        <v>6</v>
      </c>
      <c r="AR2" s="1" t="s">
        <v>9</v>
      </c>
      <c r="AS2" s="3" t="s">
        <v>4</v>
      </c>
      <c r="AT2" s="3" t="s">
        <v>5</v>
      </c>
      <c r="AU2" s="2" t="s">
        <v>6</v>
      </c>
      <c r="AV2" s="1" t="s">
        <v>9</v>
      </c>
      <c r="AW2" s="3" t="s">
        <v>4</v>
      </c>
      <c r="AX2" s="3" t="s">
        <v>5</v>
      </c>
      <c r="AY2" s="68" t="s">
        <v>6</v>
      </c>
      <c r="AZ2" s="66" t="s">
        <v>9</v>
      </c>
      <c r="BA2" s="67" t="s">
        <v>4</v>
      </c>
      <c r="BB2" s="67" t="s">
        <v>5</v>
      </c>
      <c r="BC2" s="68" t="s">
        <v>6</v>
      </c>
      <c r="BD2" s="5" t="s">
        <v>9</v>
      </c>
      <c r="BE2" s="3" t="s">
        <v>4</v>
      </c>
      <c r="BF2" s="3" t="s">
        <v>5</v>
      </c>
      <c r="BG2" s="2" t="s">
        <v>6</v>
      </c>
      <c r="BH2" s="1" t="s">
        <v>9</v>
      </c>
      <c r="BI2" s="3" t="s">
        <v>4</v>
      </c>
      <c r="BJ2" s="3" t="s">
        <v>5</v>
      </c>
      <c r="BK2" s="2" t="s">
        <v>6</v>
      </c>
      <c r="BL2" s="1" t="s">
        <v>9</v>
      </c>
      <c r="BM2" s="3" t="s">
        <v>4</v>
      </c>
      <c r="BN2" s="3" t="s">
        <v>5</v>
      </c>
      <c r="BO2" s="2" t="s">
        <v>6</v>
      </c>
      <c r="BP2" s="1" t="s">
        <v>9</v>
      </c>
      <c r="BQ2" s="3" t="s">
        <v>4</v>
      </c>
      <c r="BR2" s="3" t="s">
        <v>5</v>
      </c>
      <c r="BS2" s="2" t="s">
        <v>6</v>
      </c>
      <c r="BT2" s="110"/>
      <c r="BU2" s="105"/>
      <c r="BV2" s="105"/>
      <c r="BW2" s="105"/>
      <c r="BX2" s="105"/>
      <c r="BY2" s="106"/>
      <c r="CC2" s="91"/>
      <c r="CD2" s="91"/>
      <c r="CE2" s="91"/>
      <c r="CF2" s="91"/>
    </row>
    <row r="3" spans="1:84" ht="15" customHeight="1" thickTop="1" x14ac:dyDescent="0.35">
      <c r="A3" s="52" t="s">
        <v>10</v>
      </c>
      <c r="B3" s="107" t="s">
        <v>39</v>
      </c>
      <c r="C3" s="6" t="s">
        <v>11</v>
      </c>
      <c r="D3" s="7">
        <v>2</v>
      </c>
      <c r="E3" s="8">
        <v>2</v>
      </c>
      <c r="F3" s="8">
        <f>D3-E3</f>
        <v>0</v>
      </c>
      <c r="G3" s="6">
        <v>0</v>
      </c>
      <c r="H3" s="9">
        <v>0</v>
      </c>
      <c r="I3" s="8">
        <v>0</v>
      </c>
      <c r="J3" s="8">
        <f>H3-I3</f>
        <v>0</v>
      </c>
      <c r="K3" s="6">
        <v>0</v>
      </c>
      <c r="L3" s="9">
        <v>0</v>
      </c>
      <c r="M3" s="8">
        <v>0</v>
      </c>
      <c r="N3" s="8">
        <f>L3-M3</f>
        <v>0</v>
      </c>
      <c r="O3" s="6">
        <v>0</v>
      </c>
      <c r="P3" s="9">
        <v>2</v>
      </c>
      <c r="Q3" s="8">
        <v>2</v>
      </c>
      <c r="R3" s="8">
        <f>P3-Q3</f>
        <v>0</v>
      </c>
      <c r="S3" s="6">
        <v>0</v>
      </c>
      <c r="T3" s="9">
        <v>2</v>
      </c>
      <c r="U3" s="8">
        <v>0</v>
      </c>
      <c r="V3" s="8">
        <f>T3-U3</f>
        <v>2</v>
      </c>
      <c r="W3" s="6">
        <v>0</v>
      </c>
      <c r="X3" s="9">
        <v>3</v>
      </c>
      <c r="Y3" s="8">
        <v>3</v>
      </c>
      <c r="Z3" s="8">
        <f>X3-Y3</f>
        <v>0</v>
      </c>
      <c r="AA3" s="6">
        <v>0</v>
      </c>
      <c r="AB3" s="9">
        <v>2</v>
      </c>
      <c r="AC3" s="8">
        <v>2</v>
      </c>
      <c r="AD3" s="8">
        <f>AB3-AC3</f>
        <v>0</v>
      </c>
      <c r="AE3" s="6">
        <v>0</v>
      </c>
      <c r="AF3" s="9">
        <v>3</v>
      </c>
      <c r="AG3" s="8">
        <v>0</v>
      </c>
      <c r="AH3" s="8">
        <f>AF3-AG3</f>
        <v>3</v>
      </c>
      <c r="AI3" s="6">
        <v>0</v>
      </c>
      <c r="AJ3" s="9">
        <v>1</v>
      </c>
      <c r="AK3" s="8">
        <v>1</v>
      </c>
      <c r="AL3" s="8">
        <f>AJ3-AK3</f>
        <v>0</v>
      </c>
      <c r="AM3" s="6">
        <v>1</v>
      </c>
      <c r="AN3" s="9">
        <v>0</v>
      </c>
      <c r="AO3" s="8">
        <v>0</v>
      </c>
      <c r="AP3" s="8">
        <f>AN3-AO3</f>
        <v>0</v>
      </c>
      <c r="AQ3" s="6">
        <v>0</v>
      </c>
      <c r="AR3" s="9">
        <v>0</v>
      </c>
      <c r="AS3" s="8">
        <v>0</v>
      </c>
      <c r="AT3" s="8">
        <f>AR3-AS3</f>
        <v>0</v>
      </c>
      <c r="AU3" s="6">
        <v>0</v>
      </c>
      <c r="AV3" s="9">
        <v>0</v>
      </c>
      <c r="AW3" s="8">
        <v>0</v>
      </c>
      <c r="AX3" s="8">
        <f>AV3-AW3</f>
        <v>0</v>
      </c>
      <c r="AY3" s="6">
        <v>0</v>
      </c>
      <c r="AZ3" s="7">
        <v>1</v>
      </c>
      <c r="BA3" s="10">
        <v>1</v>
      </c>
      <c r="BB3" s="10">
        <f>AZ3-BA3</f>
        <v>0</v>
      </c>
      <c r="BC3" s="70">
        <v>1</v>
      </c>
      <c r="BD3" s="7">
        <v>1</v>
      </c>
      <c r="BE3" s="8">
        <v>0</v>
      </c>
      <c r="BF3" s="8">
        <f>BD3-BE3</f>
        <v>1</v>
      </c>
      <c r="BG3" s="6">
        <v>0</v>
      </c>
      <c r="BH3" s="9">
        <v>0</v>
      </c>
      <c r="BI3" s="8">
        <v>0</v>
      </c>
      <c r="BJ3" s="8">
        <f>BH3-BI3</f>
        <v>0</v>
      </c>
      <c r="BK3" s="6">
        <v>0</v>
      </c>
      <c r="BL3" s="9">
        <v>0</v>
      </c>
      <c r="BM3" s="8">
        <v>0</v>
      </c>
      <c r="BN3" s="8">
        <f>BL3-BM3</f>
        <v>0</v>
      </c>
      <c r="BO3" s="6">
        <v>0</v>
      </c>
      <c r="BP3" s="9">
        <v>0</v>
      </c>
      <c r="BQ3" s="8">
        <v>0</v>
      </c>
      <c r="BR3" s="8">
        <f>BP3-BQ3</f>
        <v>0</v>
      </c>
      <c r="BS3" s="6">
        <v>0</v>
      </c>
      <c r="BT3" s="9">
        <f t="shared" ref="BT3:BT30" si="0">SUM(E3,I3,M3,Q3,U3,Y3,AC3,AG3,AK3,AO3,AS3,AW3,BE3,BI3,BM3,BQ3,BA3)</f>
        <v>11</v>
      </c>
      <c r="BU3" s="8">
        <f t="shared" ref="BU3:BU30" si="1">SUM(BR3,BN3,BJ3,BF3,AX3,AT3,AP3,AL3,AH3,AD3,Z3,V3,R3,N3,J3,F3,BB3)</f>
        <v>6</v>
      </c>
      <c r="BV3" s="10">
        <f t="shared" ref="BV3:BV30" si="2">SUM(BS3,BO3,BK3,BG3,AY3,AU3,AQ3,AM3,AI3,AE3,AA3,W3,S3,O3,K3,G3, BC3)</f>
        <v>2</v>
      </c>
      <c r="BW3" s="8">
        <f t="shared" ref="BW3:BW30" si="3">BT3/(BT3+BU3)</f>
        <v>0.6470588235294118</v>
      </c>
      <c r="BX3" s="8">
        <f t="shared" ref="BX3:BX30" si="4">BT3/(BT3+BV3)</f>
        <v>0.84615384615384615</v>
      </c>
      <c r="BY3" s="6">
        <f>2*(BX3*BW3)/(BX3+BW3)</f>
        <v>0.73333333333333339</v>
      </c>
      <c r="CC3" s="75" t="s">
        <v>54</v>
      </c>
      <c r="CD3">
        <f>AVERAGE(BW3:BW4)</f>
        <v>0.6470588235294118</v>
      </c>
      <c r="CE3">
        <f>AVERAGE(BX3:BX4)</f>
        <v>0.88141025641025639</v>
      </c>
      <c r="CF3">
        <f t="shared" ref="CF3" si="5">AVERAGE(BY3:BY4)</f>
        <v>0.74597701149425288</v>
      </c>
    </row>
    <row r="4" spans="1:84" ht="15" customHeight="1" x14ac:dyDescent="0.35">
      <c r="A4" s="52" t="s">
        <v>10</v>
      </c>
      <c r="B4" s="108"/>
      <c r="C4" s="70" t="s">
        <v>12</v>
      </c>
      <c r="D4" s="7">
        <v>2</v>
      </c>
      <c r="E4" s="10">
        <v>2</v>
      </c>
      <c r="F4" s="10">
        <f t="shared" ref="F4:F30" si="6">D4-E4</f>
        <v>0</v>
      </c>
      <c r="G4" s="70">
        <v>0</v>
      </c>
      <c r="H4" s="7">
        <v>0</v>
      </c>
      <c r="I4" s="10">
        <v>0</v>
      </c>
      <c r="J4" s="10">
        <f t="shared" ref="J4:J30" si="7">H4-I4</f>
        <v>0</v>
      </c>
      <c r="K4" s="70">
        <v>0</v>
      </c>
      <c r="L4" s="7">
        <v>0</v>
      </c>
      <c r="M4" s="10">
        <v>0</v>
      </c>
      <c r="N4" s="10">
        <f t="shared" ref="N4:N30" si="8">L4-M4</f>
        <v>0</v>
      </c>
      <c r="O4" s="70">
        <v>0</v>
      </c>
      <c r="P4" s="7">
        <v>2</v>
      </c>
      <c r="Q4" s="10">
        <v>2</v>
      </c>
      <c r="R4" s="10">
        <f t="shared" ref="R4:R30" si="9">P4-Q4</f>
        <v>0</v>
      </c>
      <c r="S4" s="70">
        <v>0</v>
      </c>
      <c r="T4" s="7">
        <v>2</v>
      </c>
      <c r="U4" s="10">
        <v>0</v>
      </c>
      <c r="V4" s="10">
        <f t="shared" ref="V4:V30" si="10">T4-U4</f>
        <v>2</v>
      </c>
      <c r="W4" s="70">
        <v>0</v>
      </c>
      <c r="X4" s="7">
        <v>3</v>
      </c>
      <c r="Y4" s="10">
        <v>3</v>
      </c>
      <c r="Z4" s="10">
        <f t="shared" ref="Z4:Z30" si="11">X4-Y4</f>
        <v>0</v>
      </c>
      <c r="AA4" s="70">
        <v>0</v>
      </c>
      <c r="AB4" s="7">
        <v>2</v>
      </c>
      <c r="AC4" s="10">
        <v>2</v>
      </c>
      <c r="AD4" s="10">
        <f t="shared" ref="AD4:AD29" si="12">AB4-AC4</f>
        <v>0</v>
      </c>
      <c r="AE4" s="70">
        <v>0</v>
      </c>
      <c r="AF4" s="7">
        <v>3</v>
      </c>
      <c r="AG4" s="10">
        <v>0</v>
      </c>
      <c r="AH4" s="10">
        <f t="shared" ref="AH4:AH30" si="13">AF4-AG4</f>
        <v>3</v>
      </c>
      <c r="AI4" s="70">
        <v>0</v>
      </c>
      <c r="AJ4" s="7">
        <v>1</v>
      </c>
      <c r="AK4" s="10">
        <v>1</v>
      </c>
      <c r="AL4" s="10">
        <f t="shared" ref="AL4:AL30" si="14">AJ4-AK4</f>
        <v>0</v>
      </c>
      <c r="AM4" s="70">
        <v>0</v>
      </c>
      <c r="AN4" s="7">
        <v>0</v>
      </c>
      <c r="AO4" s="10">
        <v>0</v>
      </c>
      <c r="AP4" s="10">
        <f t="shared" ref="AP4:AP30" si="15">AN4-AO4</f>
        <v>0</v>
      </c>
      <c r="AQ4" s="70">
        <v>0</v>
      </c>
      <c r="AR4" s="7">
        <v>0</v>
      </c>
      <c r="AS4" s="10">
        <v>0</v>
      </c>
      <c r="AT4" s="10">
        <f t="shared" ref="AT4:AT30" si="16">AR4-AS4</f>
        <v>0</v>
      </c>
      <c r="AU4" s="70">
        <v>0</v>
      </c>
      <c r="AV4" s="7">
        <v>0</v>
      </c>
      <c r="AW4" s="10">
        <v>0</v>
      </c>
      <c r="AX4" s="10">
        <f t="shared" ref="AX4:AX30" si="17">AV4-AW4</f>
        <v>0</v>
      </c>
      <c r="AY4" s="70">
        <v>0</v>
      </c>
      <c r="AZ4" s="7">
        <v>1</v>
      </c>
      <c r="BA4" s="10">
        <v>1</v>
      </c>
      <c r="BB4" s="10">
        <f t="shared" ref="BB4:BB30" si="18">AZ4-BA4</f>
        <v>0</v>
      </c>
      <c r="BC4" s="70">
        <v>1</v>
      </c>
      <c r="BD4" s="7">
        <v>1</v>
      </c>
      <c r="BE4" s="10">
        <v>0</v>
      </c>
      <c r="BF4" s="10">
        <f t="shared" ref="BF4:BF30" si="19">BD4-BE4</f>
        <v>1</v>
      </c>
      <c r="BG4" s="70">
        <v>0</v>
      </c>
      <c r="BH4" s="7">
        <v>0</v>
      </c>
      <c r="BI4" s="10">
        <v>0</v>
      </c>
      <c r="BJ4" s="10">
        <f t="shared" ref="BJ4:BJ30" si="20">BH4-BI4</f>
        <v>0</v>
      </c>
      <c r="BK4" s="70">
        <v>0</v>
      </c>
      <c r="BL4" s="7">
        <v>0</v>
      </c>
      <c r="BM4" s="10">
        <v>0</v>
      </c>
      <c r="BN4" s="10">
        <f t="shared" ref="BN4:BN30" si="21">BL4-BM4</f>
        <v>0</v>
      </c>
      <c r="BO4" s="70">
        <v>0</v>
      </c>
      <c r="BP4" s="7">
        <v>0</v>
      </c>
      <c r="BQ4" s="10">
        <v>0</v>
      </c>
      <c r="BR4" s="10">
        <f t="shared" ref="BR4:BR30" si="22">BP4-BQ4</f>
        <v>0</v>
      </c>
      <c r="BS4" s="70">
        <v>0</v>
      </c>
      <c r="BT4" s="7">
        <f t="shared" si="0"/>
        <v>11</v>
      </c>
      <c r="BU4" s="10">
        <f t="shared" si="1"/>
        <v>6</v>
      </c>
      <c r="BV4" s="10">
        <f t="shared" si="2"/>
        <v>1</v>
      </c>
      <c r="BW4" s="10">
        <f t="shared" si="3"/>
        <v>0.6470588235294118</v>
      </c>
      <c r="BX4" s="10">
        <f t="shared" si="4"/>
        <v>0.91666666666666663</v>
      </c>
      <c r="BY4" s="70">
        <f t="shared" ref="BY4:BY30" si="23">2*(BX4*BW4)/(BX4+BW4)</f>
        <v>0.75862068965517238</v>
      </c>
      <c r="CC4" s="75" t="s">
        <v>55</v>
      </c>
      <c r="CD4">
        <f>AVERAGE(BW5:BW6)</f>
        <v>1</v>
      </c>
      <c r="CE4">
        <f t="shared" ref="CE4" si="24">AVERAGE(BX5:BX6)</f>
        <v>0.68322981366459623</v>
      </c>
      <c r="CF4">
        <f>AVERAGE(BY5:BY6)</f>
        <v>0.81140350877192979</v>
      </c>
    </row>
    <row r="5" spans="1:84" x14ac:dyDescent="0.35">
      <c r="A5" s="53" t="s">
        <v>10</v>
      </c>
      <c r="B5" s="108"/>
      <c r="C5" s="11" t="s">
        <v>13</v>
      </c>
      <c r="D5" s="12">
        <v>4</v>
      </c>
      <c r="E5" s="13">
        <v>4</v>
      </c>
      <c r="F5" s="13">
        <f t="shared" si="6"/>
        <v>0</v>
      </c>
      <c r="G5" s="11">
        <v>0</v>
      </c>
      <c r="H5" s="12">
        <v>0</v>
      </c>
      <c r="I5" s="13">
        <v>0</v>
      </c>
      <c r="J5" s="13">
        <f t="shared" si="7"/>
        <v>0</v>
      </c>
      <c r="K5" s="11">
        <v>0</v>
      </c>
      <c r="L5" s="12">
        <v>0</v>
      </c>
      <c r="M5" s="13">
        <v>0</v>
      </c>
      <c r="N5" s="13">
        <f t="shared" si="8"/>
        <v>0</v>
      </c>
      <c r="O5" s="11">
        <v>0</v>
      </c>
      <c r="P5" s="12">
        <v>4</v>
      </c>
      <c r="Q5" s="13">
        <v>4</v>
      </c>
      <c r="R5" s="13">
        <f t="shared" si="9"/>
        <v>0</v>
      </c>
      <c r="S5" s="11">
        <v>0</v>
      </c>
      <c r="T5" s="12">
        <v>0</v>
      </c>
      <c r="U5" s="13">
        <v>0</v>
      </c>
      <c r="V5" s="13">
        <f t="shared" si="10"/>
        <v>0</v>
      </c>
      <c r="W5" s="11">
        <v>0</v>
      </c>
      <c r="X5" s="12">
        <v>1</v>
      </c>
      <c r="Y5" s="13">
        <v>1</v>
      </c>
      <c r="Z5" s="13">
        <f t="shared" si="11"/>
        <v>0</v>
      </c>
      <c r="AA5" s="11">
        <v>3</v>
      </c>
      <c r="AB5" s="12">
        <v>0</v>
      </c>
      <c r="AC5" s="13">
        <v>0</v>
      </c>
      <c r="AD5" s="13">
        <f t="shared" si="12"/>
        <v>0</v>
      </c>
      <c r="AE5" s="11">
        <v>4</v>
      </c>
      <c r="AF5" s="12">
        <v>0</v>
      </c>
      <c r="AG5" s="13">
        <v>0</v>
      </c>
      <c r="AH5" s="13">
        <f t="shared" si="13"/>
        <v>0</v>
      </c>
      <c r="AI5" s="11">
        <v>0</v>
      </c>
      <c r="AJ5" s="12">
        <v>3</v>
      </c>
      <c r="AK5" s="13">
        <v>3</v>
      </c>
      <c r="AL5" s="13">
        <f t="shared" si="14"/>
        <v>0</v>
      </c>
      <c r="AM5" s="11">
        <v>1</v>
      </c>
      <c r="AN5" s="12">
        <v>0</v>
      </c>
      <c r="AO5" s="13">
        <v>0</v>
      </c>
      <c r="AP5" s="13">
        <f t="shared" si="15"/>
        <v>0</v>
      </c>
      <c r="AQ5" s="11">
        <v>0</v>
      </c>
      <c r="AR5" s="12">
        <v>0</v>
      </c>
      <c r="AS5" s="13">
        <v>0</v>
      </c>
      <c r="AT5" s="13">
        <f t="shared" si="16"/>
        <v>0</v>
      </c>
      <c r="AU5" s="11">
        <v>0</v>
      </c>
      <c r="AV5" s="12">
        <v>0</v>
      </c>
      <c r="AW5" s="13">
        <v>0</v>
      </c>
      <c r="AX5" s="13">
        <f t="shared" si="17"/>
        <v>0</v>
      </c>
      <c r="AY5" s="11">
        <v>0</v>
      </c>
      <c r="AZ5" s="12">
        <v>3</v>
      </c>
      <c r="BA5" s="13">
        <v>3</v>
      </c>
      <c r="BB5" s="13">
        <f t="shared" si="18"/>
        <v>0</v>
      </c>
      <c r="BC5" s="11">
        <v>0</v>
      </c>
      <c r="BD5" s="12">
        <v>0</v>
      </c>
      <c r="BE5" s="13">
        <v>0</v>
      </c>
      <c r="BF5" s="13">
        <f t="shared" si="19"/>
        <v>0</v>
      </c>
      <c r="BG5" s="11">
        <v>0</v>
      </c>
      <c r="BH5" s="12">
        <v>0</v>
      </c>
      <c r="BI5" s="13">
        <v>0</v>
      </c>
      <c r="BJ5" s="13">
        <f t="shared" si="20"/>
        <v>0</v>
      </c>
      <c r="BK5" s="11">
        <v>0</v>
      </c>
      <c r="BL5" s="12">
        <v>0</v>
      </c>
      <c r="BM5" s="13">
        <v>0</v>
      </c>
      <c r="BN5" s="13">
        <f t="shared" si="21"/>
        <v>0</v>
      </c>
      <c r="BO5" s="11">
        <v>0</v>
      </c>
      <c r="BP5" s="12">
        <v>0</v>
      </c>
      <c r="BQ5" s="13">
        <v>0</v>
      </c>
      <c r="BR5" s="13">
        <f t="shared" si="22"/>
        <v>0</v>
      </c>
      <c r="BS5" s="11">
        <v>0</v>
      </c>
      <c r="BT5" s="12">
        <f t="shared" si="0"/>
        <v>15</v>
      </c>
      <c r="BU5" s="13">
        <f t="shared" si="1"/>
        <v>0</v>
      </c>
      <c r="BV5" s="13">
        <f t="shared" si="2"/>
        <v>8</v>
      </c>
      <c r="BW5" s="13">
        <f t="shared" si="3"/>
        <v>1</v>
      </c>
      <c r="BX5" s="13">
        <f t="shared" si="4"/>
        <v>0.65217391304347827</v>
      </c>
      <c r="BY5" s="11">
        <f t="shared" si="23"/>
        <v>0.78947368421052633</v>
      </c>
      <c r="CC5" s="75" t="s">
        <v>56</v>
      </c>
      <c r="CD5">
        <f>AVERAGE(BW7:BW8)</f>
        <v>1</v>
      </c>
      <c r="CE5">
        <f t="shared" ref="CE5:CF5" si="25">AVERAGE(BX7:BX8)</f>
        <v>0.75757575757575757</v>
      </c>
      <c r="CF5">
        <f t="shared" si="25"/>
        <v>0.86206896551724133</v>
      </c>
    </row>
    <row r="6" spans="1:84" x14ac:dyDescent="0.35">
      <c r="A6" s="53" t="s">
        <v>10</v>
      </c>
      <c r="B6" s="108"/>
      <c r="C6" s="11" t="s">
        <v>14</v>
      </c>
      <c r="D6" s="12">
        <v>4</v>
      </c>
      <c r="E6" s="13">
        <v>4</v>
      </c>
      <c r="F6" s="13">
        <f t="shared" si="6"/>
        <v>0</v>
      </c>
      <c r="G6" s="11">
        <v>0</v>
      </c>
      <c r="H6" s="12">
        <v>0</v>
      </c>
      <c r="I6" s="13">
        <v>0</v>
      </c>
      <c r="J6" s="13">
        <f t="shared" si="7"/>
        <v>0</v>
      </c>
      <c r="K6" s="11">
        <v>0</v>
      </c>
      <c r="L6" s="12">
        <v>0</v>
      </c>
      <c r="M6" s="13">
        <v>0</v>
      </c>
      <c r="N6" s="13">
        <f t="shared" si="8"/>
        <v>0</v>
      </c>
      <c r="O6" s="11">
        <v>0</v>
      </c>
      <c r="P6" s="12">
        <v>4</v>
      </c>
      <c r="Q6" s="13">
        <v>4</v>
      </c>
      <c r="R6" s="13">
        <f t="shared" si="9"/>
        <v>0</v>
      </c>
      <c r="S6" s="11">
        <v>0</v>
      </c>
      <c r="T6" s="12">
        <v>0</v>
      </c>
      <c r="U6" s="13">
        <v>0</v>
      </c>
      <c r="V6" s="13">
        <f t="shared" si="10"/>
        <v>0</v>
      </c>
      <c r="W6" s="11">
        <v>0</v>
      </c>
      <c r="X6" s="12">
        <v>1</v>
      </c>
      <c r="Y6" s="13">
        <v>1</v>
      </c>
      <c r="Z6" s="13">
        <f t="shared" si="11"/>
        <v>0</v>
      </c>
      <c r="AA6" s="11">
        <v>2</v>
      </c>
      <c r="AB6" s="12">
        <v>0</v>
      </c>
      <c r="AC6" s="13">
        <v>0</v>
      </c>
      <c r="AD6" s="13">
        <f t="shared" si="12"/>
        <v>0</v>
      </c>
      <c r="AE6" s="11">
        <v>4</v>
      </c>
      <c r="AF6" s="12">
        <v>0</v>
      </c>
      <c r="AG6" s="13">
        <v>0</v>
      </c>
      <c r="AH6" s="13">
        <f t="shared" si="13"/>
        <v>0</v>
      </c>
      <c r="AI6" s="11">
        <v>0</v>
      </c>
      <c r="AJ6" s="12">
        <v>3</v>
      </c>
      <c r="AK6" s="13">
        <v>3</v>
      </c>
      <c r="AL6" s="13">
        <f t="shared" si="14"/>
        <v>0</v>
      </c>
      <c r="AM6" s="11">
        <v>0</v>
      </c>
      <c r="AN6" s="12">
        <v>0</v>
      </c>
      <c r="AO6" s="13">
        <v>0</v>
      </c>
      <c r="AP6" s="13">
        <f t="shared" si="15"/>
        <v>0</v>
      </c>
      <c r="AQ6" s="11">
        <v>0</v>
      </c>
      <c r="AR6" s="12">
        <v>0</v>
      </c>
      <c r="AS6" s="13">
        <v>0</v>
      </c>
      <c r="AT6" s="13">
        <f t="shared" si="16"/>
        <v>0</v>
      </c>
      <c r="AU6" s="11">
        <v>0</v>
      </c>
      <c r="AV6" s="12">
        <v>0</v>
      </c>
      <c r="AW6" s="13">
        <v>0</v>
      </c>
      <c r="AX6" s="13">
        <f t="shared" si="17"/>
        <v>0</v>
      </c>
      <c r="AY6" s="11">
        <v>0</v>
      </c>
      <c r="AZ6" s="12">
        <v>3</v>
      </c>
      <c r="BA6" s="13">
        <v>3</v>
      </c>
      <c r="BB6" s="13">
        <f t="shared" si="18"/>
        <v>0</v>
      </c>
      <c r="BC6" s="11">
        <v>0</v>
      </c>
      <c r="BD6" s="12">
        <v>0</v>
      </c>
      <c r="BE6" s="13">
        <v>0</v>
      </c>
      <c r="BF6" s="13">
        <f t="shared" si="19"/>
        <v>0</v>
      </c>
      <c r="BG6" s="11">
        <v>0</v>
      </c>
      <c r="BH6" s="12">
        <v>0</v>
      </c>
      <c r="BI6" s="13">
        <v>0</v>
      </c>
      <c r="BJ6" s="13">
        <f t="shared" si="20"/>
        <v>0</v>
      </c>
      <c r="BK6" s="11">
        <v>0</v>
      </c>
      <c r="BL6" s="12">
        <v>0</v>
      </c>
      <c r="BM6" s="13">
        <v>0</v>
      </c>
      <c r="BN6" s="13">
        <f t="shared" si="21"/>
        <v>0</v>
      </c>
      <c r="BO6" s="11">
        <v>0</v>
      </c>
      <c r="BP6" s="12">
        <v>0</v>
      </c>
      <c r="BQ6" s="13">
        <v>0</v>
      </c>
      <c r="BR6" s="13">
        <f t="shared" si="22"/>
        <v>0</v>
      </c>
      <c r="BS6" s="11">
        <v>0</v>
      </c>
      <c r="BT6" s="12">
        <f t="shared" si="0"/>
        <v>15</v>
      </c>
      <c r="BU6" s="13">
        <f t="shared" si="1"/>
        <v>0</v>
      </c>
      <c r="BV6" s="13">
        <f t="shared" si="2"/>
        <v>6</v>
      </c>
      <c r="BW6" s="13">
        <f t="shared" si="3"/>
        <v>1</v>
      </c>
      <c r="BX6" s="13">
        <f t="shared" si="4"/>
        <v>0.7142857142857143</v>
      </c>
      <c r="BY6" s="11">
        <f t="shared" si="23"/>
        <v>0.83333333333333326</v>
      </c>
      <c r="CC6" s="75" t="s">
        <v>57</v>
      </c>
      <c r="CD6">
        <f>AVERAGE(BW9:BW10)</f>
        <v>0.84615384615384615</v>
      </c>
      <c r="CE6">
        <f t="shared" ref="CE6:CF6" si="26">AVERAGE(BX9:BX10)</f>
        <v>0.84615384615384615</v>
      </c>
      <c r="CF6">
        <f t="shared" si="26"/>
        <v>0.84615384615384615</v>
      </c>
    </row>
    <row r="7" spans="1:84" x14ac:dyDescent="0.35">
      <c r="A7" s="54" t="s">
        <v>10</v>
      </c>
      <c r="B7" s="108"/>
      <c r="C7" s="14" t="s">
        <v>15</v>
      </c>
      <c r="D7" s="15">
        <v>6</v>
      </c>
      <c r="E7" s="16">
        <v>6</v>
      </c>
      <c r="F7" s="16">
        <f t="shared" si="6"/>
        <v>0</v>
      </c>
      <c r="G7" s="14">
        <v>0</v>
      </c>
      <c r="H7" s="15">
        <v>0</v>
      </c>
      <c r="I7" s="16">
        <v>0</v>
      </c>
      <c r="J7" s="16">
        <f t="shared" si="7"/>
        <v>0</v>
      </c>
      <c r="K7" s="14">
        <v>0</v>
      </c>
      <c r="L7" s="15">
        <v>0</v>
      </c>
      <c r="M7" s="16">
        <v>0</v>
      </c>
      <c r="N7" s="16">
        <f t="shared" si="8"/>
        <v>0</v>
      </c>
      <c r="O7" s="14">
        <v>0</v>
      </c>
      <c r="P7" s="15">
        <v>9</v>
      </c>
      <c r="Q7" s="16">
        <v>9</v>
      </c>
      <c r="R7" s="16">
        <f t="shared" si="9"/>
        <v>0</v>
      </c>
      <c r="S7" s="14">
        <v>0</v>
      </c>
      <c r="T7" s="15">
        <v>0</v>
      </c>
      <c r="U7" s="16">
        <v>0</v>
      </c>
      <c r="V7" s="16">
        <f t="shared" si="10"/>
        <v>0</v>
      </c>
      <c r="W7" s="14">
        <v>0</v>
      </c>
      <c r="X7" s="15">
        <v>0</v>
      </c>
      <c r="Y7" s="16">
        <v>0</v>
      </c>
      <c r="Z7" s="16">
        <f t="shared" si="11"/>
        <v>0</v>
      </c>
      <c r="AA7" s="14">
        <v>0</v>
      </c>
      <c r="AB7" s="15">
        <v>0</v>
      </c>
      <c r="AC7" s="16">
        <v>0</v>
      </c>
      <c r="AD7" s="16">
        <f t="shared" si="12"/>
        <v>0</v>
      </c>
      <c r="AE7" s="14">
        <v>0</v>
      </c>
      <c r="AF7" s="15">
        <v>0</v>
      </c>
      <c r="AG7" s="16">
        <v>0</v>
      </c>
      <c r="AH7" s="16">
        <f t="shared" si="13"/>
        <v>0</v>
      </c>
      <c r="AI7" s="14">
        <v>0</v>
      </c>
      <c r="AJ7" s="15">
        <v>5</v>
      </c>
      <c r="AK7" s="16">
        <v>5</v>
      </c>
      <c r="AL7" s="16">
        <f t="shared" si="14"/>
        <v>0</v>
      </c>
      <c r="AM7" s="14">
        <v>0</v>
      </c>
      <c r="AN7" s="15">
        <v>0</v>
      </c>
      <c r="AO7" s="16">
        <v>0</v>
      </c>
      <c r="AP7" s="16">
        <f t="shared" si="15"/>
        <v>0</v>
      </c>
      <c r="AQ7" s="14">
        <v>0</v>
      </c>
      <c r="AR7" s="15">
        <v>0</v>
      </c>
      <c r="AS7" s="16">
        <v>0</v>
      </c>
      <c r="AT7" s="16">
        <f t="shared" si="16"/>
        <v>0</v>
      </c>
      <c r="AU7" s="14">
        <v>0</v>
      </c>
      <c r="AV7" s="15">
        <v>0</v>
      </c>
      <c r="AW7" s="16">
        <v>0</v>
      </c>
      <c r="AX7" s="16">
        <f t="shared" si="17"/>
        <v>0</v>
      </c>
      <c r="AY7" s="14">
        <v>4</v>
      </c>
      <c r="AZ7" s="15">
        <v>5</v>
      </c>
      <c r="BA7" s="16">
        <v>5</v>
      </c>
      <c r="BB7" s="16">
        <f t="shared" si="18"/>
        <v>0</v>
      </c>
      <c r="BC7" s="14">
        <v>4</v>
      </c>
      <c r="BD7" s="15">
        <v>0</v>
      </c>
      <c r="BE7" s="16">
        <v>0</v>
      </c>
      <c r="BF7" s="16">
        <f t="shared" si="19"/>
        <v>0</v>
      </c>
      <c r="BG7" s="14">
        <v>0</v>
      </c>
      <c r="BH7" s="15">
        <v>0</v>
      </c>
      <c r="BI7" s="16">
        <v>0</v>
      </c>
      <c r="BJ7" s="16">
        <f t="shared" si="20"/>
        <v>0</v>
      </c>
      <c r="BK7" s="14">
        <v>0</v>
      </c>
      <c r="BL7" s="15">
        <v>0</v>
      </c>
      <c r="BM7" s="16">
        <v>0</v>
      </c>
      <c r="BN7" s="16">
        <f t="shared" si="21"/>
        <v>0</v>
      </c>
      <c r="BO7" s="14">
        <v>0</v>
      </c>
      <c r="BP7" s="15">
        <v>0</v>
      </c>
      <c r="BQ7" s="16">
        <v>0</v>
      </c>
      <c r="BR7" s="16">
        <f t="shared" si="22"/>
        <v>0</v>
      </c>
      <c r="BS7" s="14">
        <v>0</v>
      </c>
      <c r="BT7" s="15">
        <f t="shared" si="0"/>
        <v>25</v>
      </c>
      <c r="BU7" s="16">
        <f t="shared" si="1"/>
        <v>0</v>
      </c>
      <c r="BV7" s="16">
        <f t="shared" si="2"/>
        <v>8</v>
      </c>
      <c r="BW7" s="16">
        <f t="shared" si="3"/>
        <v>1</v>
      </c>
      <c r="BX7" s="16">
        <f t="shared" si="4"/>
        <v>0.75757575757575757</v>
      </c>
      <c r="BY7" s="14">
        <f t="shared" si="23"/>
        <v>0.86206896551724133</v>
      </c>
      <c r="CC7" s="75" t="s">
        <v>58</v>
      </c>
      <c r="CD7">
        <f>AVERAGE(BW11:BW12)</f>
        <v>0.66666666666666663</v>
      </c>
      <c r="CE7">
        <f t="shared" ref="CE7" si="27">AVERAGE(BX11:BX12)</f>
        <v>0.81818181818181823</v>
      </c>
      <c r="CF7">
        <f>AVERAGE(BY11:BY12)</f>
        <v>0.73469387755102034</v>
      </c>
    </row>
    <row r="8" spans="1:84" x14ac:dyDescent="0.35">
      <c r="A8" s="54" t="s">
        <v>10</v>
      </c>
      <c r="B8" s="108"/>
      <c r="C8" s="14" t="s">
        <v>16</v>
      </c>
      <c r="D8" s="15">
        <v>6</v>
      </c>
      <c r="E8" s="16">
        <v>6</v>
      </c>
      <c r="F8" s="16">
        <f t="shared" si="6"/>
        <v>0</v>
      </c>
      <c r="G8" s="14">
        <v>0</v>
      </c>
      <c r="H8" s="15">
        <v>0</v>
      </c>
      <c r="I8" s="16">
        <v>0</v>
      </c>
      <c r="J8" s="16">
        <f t="shared" si="7"/>
        <v>0</v>
      </c>
      <c r="K8" s="14">
        <v>0</v>
      </c>
      <c r="L8" s="15">
        <v>0</v>
      </c>
      <c r="M8" s="16">
        <v>0</v>
      </c>
      <c r="N8" s="16">
        <f t="shared" si="8"/>
        <v>0</v>
      </c>
      <c r="O8" s="14">
        <v>0</v>
      </c>
      <c r="P8" s="15">
        <v>9</v>
      </c>
      <c r="Q8" s="16">
        <v>9</v>
      </c>
      <c r="R8" s="16">
        <f t="shared" si="9"/>
        <v>0</v>
      </c>
      <c r="S8" s="14">
        <v>0</v>
      </c>
      <c r="T8" s="15">
        <v>0</v>
      </c>
      <c r="U8" s="16">
        <v>0</v>
      </c>
      <c r="V8" s="16">
        <f t="shared" si="10"/>
        <v>0</v>
      </c>
      <c r="W8" s="14">
        <v>0</v>
      </c>
      <c r="X8" s="15">
        <v>0</v>
      </c>
      <c r="Y8" s="16">
        <v>0</v>
      </c>
      <c r="Z8" s="16">
        <f t="shared" si="11"/>
        <v>0</v>
      </c>
      <c r="AA8" s="14">
        <v>0</v>
      </c>
      <c r="AB8" s="15">
        <v>0</v>
      </c>
      <c r="AC8" s="16">
        <v>0</v>
      </c>
      <c r="AD8" s="16">
        <f t="shared" si="12"/>
        <v>0</v>
      </c>
      <c r="AE8" s="14">
        <v>0</v>
      </c>
      <c r="AF8" s="15">
        <v>0</v>
      </c>
      <c r="AG8" s="16">
        <v>0</v>
      </c>
      <c r="AH8" s="16">
        <f t="shared" si="13"/>
        <v>0</v>
      </c>
      <c r="AI8" s="14">
        <v>0</v>
      </c>
      <c r="AJ8" s="15">
        <v>5</v>
      </c>
      <c r="AK8" s="16">
        <v>5</v>
      </c>
      <c r="AL8" s="16">
        <f t="shared" si="14"/>
        <v>0</v>
      </c>
      <c r="AM8" s="14">
        <v>0</v>
      </c>
      <c r="AN8" s="15">
        <v>0</v>
      </c>
      <c r="AO8" s="16">
        <v>0</v>
      </c>
      <c r="AP8" s="16">
        <f t="shared" si="15"/>
        <v>0</v>
      </c>
      <c r="AQ8" s="14">
        <v>0</v>
      </c>
      <c r="AR8" s="15">
        <v>0</v>
      </c>
      <c r="AS8" s="16">
        <v>0</v>
      </c>
      <c r="AT8" s="16">
        <f t="shared" si="16"/>
        <v>0</v>
      </c>
      <c r="AU8" s="14">
        <v>0</v>
      </c>
      <c r="AV8" s="15">
        <v>0</v>
      </c>
      <c r="AW8" s="16">
        <v>0</v>
      </c>
      <c r="AX8" s="16">
        <f t="shared" si="17"/>
        <v>0</v>
      </c>
      <c r="AY8" s="14">
        <v>4</v>
      </c>
      <c r="AZ8" s="15">
        <v>5</v>
      </c>
      <c r="BA8" s="16">
        <v>5</v>
      </c>
      <c r="BB8" s="16">
        <f t="shared" si="18"/>
        <v>0</v>
      </c>
      <c r="BC8" s="14">
        <v>4</v>
      </c>
      <c r="BD8" s="15">
        <v>0</v>
      </c>
      <c r="BE8" s="16">
        <v>0</v>
      </c>
      <c r="BF8" s="16">
        <f t="shared" si="19"/>
        <v>0</v>
      </c>
      <c r="BG8" s="14">
        <v>0</v>
      </c>
      <c r="BH8" s="15">
        <v>0</v>
      </c>
      <c r="BI8" s="16">
        <v>0</v>
      </c>
      <c r="BJ8" s="16">
        <f t="shared" si="20"/>
        <v>0</v>
      </c>
      <c r="BK8" s="14">
        <v>0</v>
      </c>
      <c r="BL8" s="15">
        <v>0</v>
      </c>
      <c r="BM8" s="16">
        <v>0</v>
      </c>
      <c r="BN8" s="16">
        <f t="shared" si="21"/>
        <v>0</v>
      </c>
      <c r="BO8" s="14">
        <v>0</v>
      </c>
      <c r="BP8" s="15">
        <v>0</v>
      </c>
      <c r="BQ8" s="16">
        <v>0</v>
      </c>
      <c r="BR8" s="16">
        <f t="shared" si="22"/>
        <v>0</v>
      </c>
      <c r="BS8" s="14">
        <v>0</v>
      </c>
      <c r="BT8" s="15">
        <f t="shared" si="0"/>
        <v>25</v>
      </c>
      <c r="BU8" s="16">
        <f t="shared" si="1"/>
        <v>0</v>
      </c>
      <c r="BV8" s="16">
        <f t="shared" si="2"/>
        <v>8</v>
      </c>
      <c r="BW8" s="16">
        <f t="shared" si="3"/>
        <v>1</v>
      </c>
      <c r="BX8" s="16">
        <f t="shared" si="4"/>
        <v>0.75757575757575757</v>
      </c>
      <c r="BY8" s="14">
        <f t="shared" si="23"/>
        <v>0.86206896551724133</v>
      </c>
      <c r="CC8" s="75" t="s">
        <v>59</v>
      </c>
      <c r="CD8">
        <f>AVERAGE(BW13:BW14)</f>
        <v>0.7142857142857143</v>
      </c>
      <c r="CE8">
        <f t="shared" ref="CE8:CF8" si="28">AVERAGE(BX13:BX14)</f>
        <v>0.7142857142857143</v>
      </c>
      <c r="CF8">
        <f t="shared" si="28"/>
        <v>0.7142857142857143</v>
      </c>
    </row>
    <row r="9" spans="1:84" x14ac:dyDescent="0.35">
      <c r="A9" s="55" t="s">
        <v>10</v>
      </c>
      <c r="B9" s="108"/>
      <c r="C9" s="17" t="s">
        <v>17</v>
      </c>
      <c r="D9" s="18">
        <v>3</v>
      </c>
      <c r="E9" s="19">
        <v>3</v>
      </c>
      <c r="F9" s="19">
        <f t="shared" si="6"/>
        <v>0</v>
      </c>
      <c r="G9" s="17">
        <v>0</v>
      </c>
      <c r="H9" s="18">
        <v>0</v>
      </c>
      <c r="I9" s="19">
        <v>0</v>
      </c>
      <c r="J9" s="19">
        <f t="shared" si="7"/>
        <v>0</v>
      </c>
      <c r="K9" s="17">
        <v>0</v>
      </c>
      <c r="L9" s="18">
        <v>0</v>
      </c>
      <c r="M9" s="19">
        <v>0</v>
      </c>
      <c r="N9" s="19">
        <f t="shared" si="8"/>
        <v>0</v>
      </c>
      <c r="O9" s="17">
        <v>0</v>
      </c>
      <c r="P9" s="18">
        <v>5</v>
      </c>
      <c r="Q9" s="19">
        <v>5</v>
      </c>
      <c r="R9" s="19">
        <f t="shared" si="9"/>
        <v>0</v>
      </c>
      <c r="S9" s="17">
        <v>1</v>
      </c>
      <c r="T9" s="18">
        <v>0</v>
      </c>
      <c r="U9" s="19">
        <v>0</v>
      </c>
      <c r="V9" s="19">
        <f t="shared" si="10"/>
        <v>0</v>
      </c>
      <c r="W9" s="17">
        <v>0</v>
      </c>
      <c r="X9" s="18">
        <v>0</v>
      </c>
      <c r="Y9" s="19">
        <v>0</v>
      </c>
      <c r="Z9" s="19">
        <f t="shared" si="11"/>
        <v>0</v>
      </c>
      <c r="AA9" s="17">
        <v>0</v>
      </c>
      <c r="AB9" s="18">
        <v>0</v>
      </c>
      <c r="AC9" s="19">
        <v>0</v>
      </c>
      <c r="AD9" s="19">
        <f t="shared" si="12"/>
        <v>0</v>
      </c>
      <c r="AE9" s="17">
        <v>0</v>
      </c>
      <c r="AF9" s="18">
        <v>0</v>
      </c>
      <c r="AG9" s="19">
        <v>0</v>
      </c>
      <c r="AH9" s="19">
        <f t="shared" si="13"/>
        <v>0</v>
      </c>
      <c r="AI9" s="17">
        <v>0</v>
      </c>
      <c r="AJ9" s="18">
        <v>1</v>
      </c>
      <c r="AK9" s="19">
        <v>1</v>
      </c>
      <c r="AL9" s="19">
        <f t="shared" si="14"/>
        <v>0</v>
      </c>
      <c r="AM9" s="17">
        <v>0</v>
      </c>
      <c r="AN9" s="18">
        <v>0</v>
      </c>
      <c r="AO9" s="19">
        <v>0</v>
      </c>
      <c r="AP9" s="19">
        <f t="shared" si="15"/>
        <v>0</v>
      </c>
      <c r="AQ9" s="17">
        <v>0</v>
      </c>
      <c r="AR9" s="18">
        <v>1</v>
      </c>
      <c r="AS9" s="19">
        <v>0</v>
      </c>
      <c r="AT9" s="19">
        <f t="shared" si="16"/>
        <v>1</v>
      </c>
      <c r="AU9" s="17">
        <v>0</v>
      </c>
      <c r="AV9" s="18">
        <v>0</v>
      </c>
      <c r="AW9" s="19">
        <v>0</v>
      </c>
      <c r="AX9" s="19">
        <f t="shared" si="17"/>
        <v>0</v>
      </c>
      <c r="AY9" s="17">
        <v>1</v>
      </c>
      <c r="AZ9" s="18">
        <v>2</v>
      </c>
      <c r="BA9" s="19">
        <v>2</v>
      </c>
      <c r="BB9" s="19">
        <f t="shared" si="18"/>
        <v>0</v>
      </c>
      <c r="BC9" s="17">
        <v>0</v>
      </c>
      <c r="BD9" s="18">
        <v>0</v>
      </c>
      <c r="BE9" s="19">
        <v>0</v>
      </c>
      <c r="BF9" s="19">
        <f t="shared" si="19"/>
        <v>0</v>
      </c>
      <c r="BG9" s="17">
        <v>0</v>
      </c>
      <c r="BH9" s="18">
        <v>0</v>
      </c>
      <c r="BI9" s="19">
        <v>0</v>
      </c>
      <c r="BJ9" s="19">
        <f t="shared" si="20"/>
        <v>0</v>
      </c>
      <c r="BK9" s="17">
        <v>0</v>
      </c>
      <c r="BL9" s="18">
        <v>1</v>
      </c>
      <c r="BM9" s="19">
        <v>0</v>
      </c>
      <c r="BN9" s="19">
        <f t="shared" si="21"/>
        <v>1</v>
      </c>
      <c r="BO9" s="17">
        <v>0</v>
      </c>
      <c r="BP9" s="18">
        <v>0</v>
      </c>
      <c r="BQ9" s="19">
        <v>0</v>
      </c>
      <c r="BR9" s="19">
        <f t="shared" si="22"/>
        <v>0</v>
      </c>
      <c r="BS9" s="17">
        <v>0</v>
      </c>
      <c r="BT9" s="18">
        <f t="shared" si="0"/>
        <v>11</v>
      </c>
      <c r="BU9" s="19">
        <f t="shared" si="1"/>
        <v>2</v>
      </c>
      <c r="BV9" s="19">
        <f t="shared" si="2"/>
        <v>2</v>
      </c>
      <c r="BW9" s="19">
        <f t="shared" si="3"/>
        <v>0.84615384615384615</v>
      </c>
      <c r="BX9" s="19">
        <f t="shared" si="4"/>
        <v>0.84615384615384615</v>
      </c>
      <c r="BY9" s="17">
        <f t="shared" si="23"/>
        <v>0.84615384615384615</v>
      </c>
      <c r="CC9" s="75" t="s">
        <v>60</v>
      </c>
      <c r="CD9">
        <f>AVERAGE(BW15:BW16)</f>
        <v>0.875</v>
      </c>
      <c r="CE9">
        <f t="shared" ref="CE9:CF9" si="29">AVERAGE(BX15:BX16)</f>
        <v>0.77777777777777779</v>
      </c>
      <c r="CF9">
        <f t="shared" si="29"/>
        <v>0.82352941176470595</v>
      </c>
    </row>
    <row r="10" spans="1:84" x14ac:dyDescent="0.35">
      <c r="A10" s="55" t="s">
        <v>10</v>
      </c>
      <c r="B10" s="108"/>
      <c r="C10" s="17" t="s">
        <v>18</v>
      </c>
      <c r="D10" s="18">
        <v>3</v>
      </c>
      <c r="E10" s="19">
        <v>3</v>
      </c>
      <c r="F10" s="19">
        <f t="shared" si="6"/>
        <v>0</v>
      </c>
      <c r="G10" s="17">
        <v>0</v>
      </c>
      <c r="H10" s="18">
        <v>0</v>
      </c>
      <c r="I10" s="19">
        <v>0</v>
      </c>
      <c r="J10" s="19">
        <f t="shared" si="7"/>
        <v>0</v>
      </c>
      <c r="K10" s="17">
        <v>0</v>
      </c>
      <c r="L10" s="18">
        <v>0</v>
      </c>
      <c r="M10" s="19">
        <v>0</v>
      </c>
      <c r="N10" s="19">
        <f t="shared" si="8"/>
        <v>0</v>
      </c>
      <c r="O10" s="17">
        <v>0</v>
      </c>
      <c r="P10" s="18">
        <v>5</v>
      </c>
      <c r="Q10" s="19">
        <v>5</v>
      </c>
      <c r="R10" s="19">
        <f t="shared" si="9"/>
        <v>0</v>
      </c>
      <c r="S10" s="17">
        <v>1</v>
      </c>
      <c r="T10" s="18">
        <v>0</v>
      </c>
      <c r="U10" s="19">
        <v>0</v>
      </c>
      <c r="V10" s="19">
        <f t="shared" si="10"/>
        <v>0</v>
      </c>
      <c r="W10" s="17">
        <v>0</v>
      </c>
      <c r="X10" s="18">
        <v>0</v>
      </c>
      <c r="Y10" s="19">
        <v>0</v>
      </c>
      <c r="Z10" s="19">
        <f t="shared" si="11"/>
        <v>0</v>
      </c>
      <c r="AA10" s="17">
        <v>0</v>
      </c>
      <c r="AB10" s="18">
        <v>0</v>
      </c>
      <c r="AC10" s="19">
        <v>0</v>
      </c>
      <c r="AD10" s="19">
        <f t="shared" si="12"/>
        <v>0</v>
      </c>
      <c r="AE10" s="17">
        <v>0</v>
      </c>
      <c r="AF10" s="18">
        <v>0</v>
      </c>
      <c r="AG10" s="19">
        <v>0</v>
      </c>
      <c r="AH10" s="19">
        <f t="shared" si="13"/>
        <v>0</v>
      </c>
      <c r="AI10" s="17">
        <v>0</v>
      </c>
      <c r="AJ10" s="18">
        <v>1</v>
      </c>
      <c r="AK10" s="19">
        <v>1</v>
      </c>
      <c r="AL10" s="19">
        <f t="shared" si="14"/>
        <v>0</v>
      </c>
      <c r="AM10" s="17">
        <v>0</v>
      </c>
      <c r="AN10" s="18">
        <v>0</v>
      </c>
      <c r="AO10" s="19">
        <v>0</v>
      </c>
      <c r="AP10" s="19">
        <f t="shared" si="15"/>
        <v>0</v>
      </c>
      <c r="AQ10" s="17">
        <v>0</v>
      </c>
      <c r="AR10" s="18">
        <v>1</v>
      </c>
      <c r="AS10" s="19">
        <v>0</v>
      </c>
      <c r="AT10" s="19">
        <f t="shared" si="16"/>
        <v>1</v>
      </c>
      <c r="AU10" s="17">
        <v>0</v>
      </c>
      <c r="AV10" s="18">
        <v>0</v>
      </c>
      <c r="AW10" s="19">
        <v>0</v>
      </c>
      <c r="AX10" s="19">
        <f t="shared" si="17"/>
        <v>0</v>
      </c>
      <c r="AY10" s="17">
        <v>1</v>
      </c>
      <c r="AZ10" s="18">
        <v>2</v>
      </c>
      <c r="BA10" s="19">
        <v>2</v>
      </c>
      <c r="BB10" s="19">
        <f t="shared" si="18"/>
        <v>0</v>
      </c>
      <c r="BC10" s="17">
        <v>0</v>
      </c>
      <c r="BD10" s="18">
        <v>0</v>
      </c>
      <c r="BE10" s="19">
        <v>0</v>
      </c>
      <c r="BF10" s="19">
        <f t="shared" si="19"/>
        <v>0</v>
      </c>
      <c r="BG10" s="17">
        <v>0</v>
      </c>
      <c r="BH10" s="18">
        <v>0</v>
      </c>
      <c r="BI10" s="19">
        <v>0</v>
      </c>
      <c r="BJ10" s="19">
        <f t="shared" si="20"/>
        <v>0</v>
      </c>
      <c r="BK10" s="17">
        <v>0</v>
      </c>
      <c r="BL10" s="18">
        <v>1</v>
      </c>
      <c r="BM10" s="19">
        <v>0</v>
      </c>
      <c r="BN10" s="19">
        <f t="shared" si="21"/>
        <v>1</v>
      </c>
      <c r="BO10" s="17">
        <v>0</v>
      </c>
      <c r="BP10" s="18">
        <v>0</v>
      </c>
      <c r="BQ10" s="19">
        <v>0</v>
      </c>
      <c r="BR10" s="19">
        <f t="shared" si="22"/>
        <v>0</v>
      </c>
      <c r="BS10" s="17">
        <v>0</v>
      </c>
      <c r="BT10" s="18">
        <f t="shared" si="0"/>
        <v>11</v>
      </c>
      <c r="BU10" s="19">
        <f t="shared" si="1"/>
        <v>2</v>
      </c>
      <c r="BV10" s="19">
        <f t="shared" si="2"/>
        <v>2</v>
      </c>
      <c r="BW10" s="19">
        <f t="shared" si="3"/>
        <v>0.84615384615384615</v>
      </c>
      <c r="BX10" s="19">
        <f t="shared" si="4"/>
        <v>0.84615384615384615</v>
      </c>
      <c r="BY10" s="17">
        <f t="shared" si="23"/>
        <v>0.84615384615384615</v>
      </c>
      <c r="CC10" s="75" t="s">
        <v>61</v>
      </c>
      <c r="CD10">
        <f>AVERAGE(BW17:BW18)</f>
        <v>0.8</v>
      </c>
      <c r="CE10">
        <f t="shared" ref="CE10:CF10" si="30">AVERAGE(BX17:BX18)</f>
        <v>0.88888888888888884</v>
      </c>
      <c r="CF10">
        <f t="shared" si="30"/>
        <v>0.8421052631578948</v>
      </c>
    </row>
    <row r="11" spans="1:84" x14ac:dyDescent="0.35">
      <c r="A11" s="56" t="s">
        <v>10</v>
      </c>
      <c r="B11" s="108"/>
      <c r="C11" s="20" t="s">
        <v>19</v>
      </c>
      <c r="D11" s="21">
        <v>2</v>
      </c>
      <c r="E11" s="22">
        <v>2</v>
      </c>
      <c r="F11" s="22">
        <f t="shared" si="6"/>
        <v>0</v>
      </c>
      <c r="G11" s="20">
        <v>0</v>
      </c>
      <c r="H11" s="21">
        <v>2</v>
      </c>
      <c r="I11" s="22">
        <v>1</v>
      </c>
      <c r="J11" s="22">
        <f t="shared" si="7"/>
        <v>1</v>
      </c>
      <c r="K11" s="20">
        <v>0</v>
      </c>
      <c r="L11" s="21">
        <v>8</v>
      </c>
      <c r="M11" s="22">
        <v>5</v>
      </c>
      <c r="N11" s="22">
        <f t="shared" si="8"/>
        <v>3</v>
      </c>
      <c r="O11" s="20">
        <v>0</v>
      </c>
      <c r="P11" s="21">
        <v>7</v>
      </c>
      <c r="Q11" s="22">
        <v>7</v>
      </c>
      <c r="R11" s="22">
        <f t="shared" si="9"/>
        <v>0</v>
      </c>
      <c r="S11" s="20">
        <v>2</v>
      </c>
      <c r="T11" s="21">
        <v>0</v>
      </c>
      <c r="U11" s="22">
        <v>0</v>
      </c>
      <c r="V11" s="22">
        <f t="shared" si="10"/>
        <v>0</v>
      </c>
      <c r="W11" s="20">
        <v>0</v>
      </c>
      <c r="X11" s="21">
        <v>1</v>
      </c>
      <c r="Y11" s="22">
        <v>1</v>
      </c>
      <c r="Z11" s="22">
        <f t="shared" si="11"/>
        <v>0</v>
      </c>
      <c r="AA11" s="20">
        <v>0</v>
      </c>
      <c r="AB11" s="21">
        <v>1</v>
      </c>
      <c r="AC11" s="22">
        <v>1</v>
      </c>
      <c r="AD11" s="22">
        <f t="shared" si="12"/>
        <v>0</v>
      </c>
      <c r="AE11" s="20">
        <v>0</v>
      </c>
      <c r="AF11" s="21">
        <v>3</v>
      </c>
      <c r="AG11" s="22">
        <v>0</v>
      </c>
      <c r="AH11" s="22">
        <f t="shared" si="13"/>
        <v>3</v>
      </c>
      <c r="AI11" s="20">
        <v>0</v>
      </c>
      <c r="AJ11" s="21">
        <v>0</v>
      </c>
      <c r="AK11" s="22">
        <v>0</v>
      </c>
      <c r="AL11" s="22">
        <f t="shared" si="14"/>
        <v>0</v>
      </c>
      <c r="AM11" s="20">
        <v>0</v>
      </c>
      <c r="AN11" s="21">
        <v>0</v>
      </c>
      <c r="AO11" s="22">
        <v>0</v>
      </c>
      <c r="AP11" s="22">
        <f t="shared" si="15"/>
        <v>0</v>
      </c>
      <c r="AQ11" s="20">
        <v>0</v>
      </c>
      <c r="AR11" s="21">
        <v>0</v>
      </c>
      <c r="AS11" s="22">
        <v>0</v>
      </c>
      <c r="AT11" s="22">
        <f t="shared" si="16"/>
        <v>0</v>
      </c>
      <c r="AU11" s="20">
        <v>0</v>
      </c>
      <c r="AV11" s="21">
        <v>1</v>
      </c>
      <c r="AW11" s="22">
        <v>0</v>
      </c>
      <c r="AX11" s="22">
        <f t="shared" si="17"/>
        <v>1</v>
      </c>
      <c r="AY11" s="20">
        <v>1</v>
      </c>
      <c r="AZ11" s="21">
        <v>1</v>
      </c>
      <c r="BA11" s="22">
        <v>0</v>
      </c>
      <c r="BB11" s="22">
        <f t="shared" si="18"/>
        <v>1</v>
      </c>
      <c r="BC11" s="20">
        <v>1</v>
      </c>
      <c r="BD11" s="21">
        <v>0</v>
      </c>
      <c r="BE11" s="22">
        <v>0</v>
      </c>
      <c r="BF11" s="22">
        <f t="shared" si="19"/>
        <v>0</v>
      </c>
      <c r="BG11" s="20">
        <v>0</v>
      </c>
      <c r="BH11" s="21">
        <v>0</v>
      </c>
      <c r="BI11" s="22">
        <v>0</v>
      </c>
      <c r="BJ11" s="22">
        <f t="shared" si="20"/>
        <v>0</v>
      </c>
      <c r="BK11" s="20">
        <v>0</v>
      </c>
      <c r="BL11" s="21">
        <v>1</v>
      </c>
      <c r="BM11" s="22">
        <v>1</v>
      </c>
      <c r="BN11" s="22">
        <f t="shared" si="21"/>
        <v>0</v>
      </c>
      <c r="BO11" s="20">
        <v>0</v>
      </c>
      <c r="BP11" s="21">
        <v>0</v>
      </c>
      <c r="BQ11" s="22">
        <v>0</v>
      </c>
      <c r="BR11" s="22">
        <f t="shared" si="22"/>
        <v>0</v>
      </c>
      <c r="BS11" s="20">
        <v>0</v>
      </c>
      <c r="BT11" s="21">
        <f t="shared" si="0"/>
        <v>18</v>
      </c>
      <c r="BU11" s="22">
        <f t="shared" si="1"/>
        <v>9</v>
      </c>
      <c r="BV11" s="22">
        <f t="shared" si="2"/>
        <v>4</v>
      </c>
      <c r="BW11" s="22">
        <f t="shared" si="3"/>
        <v>0.66666666666666663</v>
      </c>
      <c r="BX11" s="22">
        <f t="shared" si="4"/>
        <v>0.81818181818181823</v>
      </c>
      <c r="BY11" s="20">
        <f t="shared" si="23"/>
        <v>0.73469387755102034</v>
      </c>
      <c r="CC11" s="75" t="s">
        <v>62</v>
      </c>
      <c r="CD11">
        <f>AVERAGE(BW19:BW20)</f>
        <v>0.67647058823529416</v>
      </c>
      <c r="CE11">
        <f t="shared" ref="CE11:CF11" si="31">AVERAGE(BX19:BX20)</f>
        <v>0.76785714285714279</v>
      </c>
      <c r="CF11">
        <f t="shared" si="31"/>
        <v>0.71847507331378291</v>
      </c>
    </row>
    <row r="12" spans="1:84" x14ac:dyDescent="0.35">
      <c r="A12" s="56" t="s">
        <v>10</v>
      </c>
      <c r="B12" s="108"/>
      <c r="C12" s="20" t="s">
        <v>20</v>
      </c>
      <c r="D12" s="21">
        <v>2</v>
      </c>
      <c r="E12" s="22">
        <v>2</v>
      </c>
      <c r="F12" s="22">
        <f t="shared" si="6"/>
        <v>0</v>
      </c>
      <c r="G12" s="20">
        <v>0</v>
      </c>
      <c r="H12" s="21">
        <v>2</v>
      </c>
      <c r="I12" s="22">
        <v>1</v>
      </c>
      <c r="J12" s="22">
        <f>H12-I12</f>
        <v>1</v>
      </c>
      <c r="K12" s="20">
        <v>0</v>
      </c>
      <c r="L12" s="21">
        <v>8</v>
      </c>
      <c r="M12" s="22">
        <v>5</v>
      </c>
      <c r="N12" s="22">
        <f t="shared" si="8"/>
        <v>3</v>
      </c>
      <c r="O12" s="20">
        <v>0</v>
      </c>
      <c r="P12" s="21">
        <v>7</v>
      </c>
      <c r="Q12" s="22">
        <v>7</v>
      </c>
      <c r="R12" s="22">
        <f t="shared" si="9"/>
        <v>0</v>
      </c>
      <c r="S12" s="20">
        <v>2</v>
      </c>
      <c r="T12" s="21">
        <v>0</v>
      </c>
      <c r="U12" s="22">
        <v>0</v>
      </c>
      <c r="V12" s="22">
        <f t="shared" si="10"/>
        <v>0</v>
      </c>
      <c r="W12" s="20">
        <v>0</v>
      </c>
      <c r="X12" s="21">
        <v>1</v>
      </c>
      <c r="Y12" s="22">
        <v>1</v>
      </c>
      <c r="Z12" s="22">
        <f t="shared" si="11"/>
        <v>0</v>
      </c>
      <c r="AA12" s="20">
        <v>0</v>
      </c>
      <c r="AB12" s="21">
        <v>1</v>
      </c>
      <c r="AC12" s="22">
        <v>1</v>
      </c>
      <c r="AD12" s="22">
        <f t="shared" si="12"/>
        <v>0</v>
      </c>
      <c r="AE12" s="20">
        <v>0</v>
      </c>
      <c r="AF12" s="21">
        <v>3</v>
      </c>
      <c r="AG12" s="22">
        <v>0</v>
      </c>
      <c r="AH12" s="22">
        <f t="shared" si="13"/>
        <v>3</v>
      </c>
      <c r="AI12" s="20">
        <v>0</v>
      </c>
      <c r="AJ12" s="21">
        <v>0</v>
      </c>
      <c r="AK12" s="22">
        <v>0</v>
      </c>
      <c r="AL12" s="22">
        <f t="shared" si="14"/>
        <v>0</v>
      </c>
      <c r="AM12" s="20">
        <v>0</v>
      </c>
      <c r="AN12" s="21">
        <v>0</v>
      </c>
      <c r="AO12" s="22">
        <v>0</v>
      </c>
      <c r="AP12" s="22">
        <f t="shared" si="15"/>
        <v>0</v>
      </c>
      <c r="AQ12" s="20">
        <v>0</v>
      </c>
      <c r="AR12" s="21">
        <v>0</v>
      </c>
      <c r="AS12" s="22">
        <v>0</v>
      </c>
      <c r="AT12" s="22">
        <f t="shared" si="16"/>
        <v>0</v>
      </c>
      <c r="AU12" s="20">
        <v>0</v>
      </c>
      <c r="AV12" s="21">
        <v>1</v>
      </c>
      <c r="AW12" s="22">
        <v>0</v>
      </c>
      <c r="AX12" s="22">
        <f>AV12-AW12</f>
        <v>1</v>
      </c>
      <c r="AY12" s="20">
        <v>1</v>
      </c>
      <c r="AZ12" s="21">
        <v>1</v>
      </c>
      <c r="BA12" s="22">
        <v>0</v>
      </c>
      <c r="BB12" s="22">
        <f t="shared" si="18"/>
        <v>1</v>
      </c>
      <c r="BC12" s="20">
        <v>1</v>
      </c>
      <c r="BD12" s="21">
        <v>0</v>
      </c>
      <c r="BE12" s="22">
        <v>0</v>
      </c>
      <c r="BF12" s="22">
        <f t="shared" si="19"/>
        <v>0</v>
      </c>
      <c r="BG12" s="20">
        <v>0</v>
      </c>
      <c r="BH12" s="21">
        <v>0</v>
      </c>
      <c r="BI12" s="22">
        <v>0</v>
      </c>
      <c r="BJ12" s="22">
        <f t="shared" si="20"/>
        <v>0</v>
      </c>
      <c r="BK12" s="20">
        <v>0</v>
      </c>
      <c r="BL12" s="21">
        <v>1</v>
      </c>
      <c r="BM12" s="22">
        <v>1</v>
      </c>
      <c r="BN12" s="22">
        <f t="shared" si="21"/>
        <v>0</v>
      </c>
      <c r="BO12" s="20">
        <v>0</v>
      </c>
      <c r="BP12" s="21">
        <v>0</v>
      </c>
      <c r="BQ12" s="22">
        <v>0</v>
      </c>
      <c r="BR12" s="22">
        <f t="shared" si="22"/>
        <v>0</v>
      </c>
      <c r="BS12" s="20">
        <v>0</v>
      </c>
      <c r="BT12" s="21">
        <f t="shared" si="0"/>
        <v>18</v>
      </c>
      <c r="BU12" s="22">
        <f t="shared" si="1"/>
        <v>9</v>
      </c>
      <c r="BV12" s="22">
        <f t="shared" si="2"/>
        <v>4</v>
      </c>
      <c r="BW12" s="22">
        <f t="shared" si="3"/>
        <v>0.66666666666666663</v>
      </c>
      <c r="BX12" s="22">
        <f t="shared" si="4"/>
        <v>0.81818181818181823</v>
      </c>
      <c r="BY12" s="20">
        <f t="shared" si="23"/>
        <v>0.73469387755102034</v>
      </c>
      <c r="CC12" s="75" t="s">
        <v>63</v>
      </c>
      <c r="CD12">
        <f>AVERAGE(BW21:BW22)</f>
        <v>0.9</v>
      </c>
      <c r="CE12">
        <f t="shared" ref="CE12:CF12" si="32">AVERAGE(BX21:BX22)</f>
        <v>0.67500000000000004</v>
      </c>
      <c r="CF12">
        <f t="shared" si="32"/>
        <v>0.76909090909090916</v>
      </c>
    </row>
    <row r="13" spans="1:84" x14ac:dyDescent="0.35">
      <c r="A13" s="57" t="s">
        <v>10</v>
      </c>
      <c r="B13" s="108"/>
      <c r="C13" s="23" t="s">
        <v>21</v>
      </c>
      <c r="D13" s="24">
        <v>3</v>
      </c>
      <c r="E13" s="25">
        <v>3</v>
      </c>
      <c r="F13" s="25">
        <f t="shared" si="6"/>
        <v>0</v>
      </c>
      <c r="G13" s="23">
        <v>0</v>
      </c>
      <c r="H13" s="24">
        <v>0</v>
      </c>
      <c r="I13" s="25">
        <v>0</v>
      </c>
      <c r="J13" s="25">
        <f t="shared" si="7"/>
        <v>0</v>
      </c>
      <c r="K13" s="23">
        <v>0</v>
      </c>
      <c r="L13" s="24">
        <v>0</v>
      </c>
      <c r="M13" s="25">
        <v>0</v>
      </c>
      <c r="N13" s="25">
        <f t="shared" si="8"/>
        <v>0</v>
      </c>
      <c r="O13" s="23">
        <v>0</v>
      </c>
      <c r="P13" s="24">
        <v>5</v>
      </c>
      <c r="Q13" s="25">
        <v>5</v>
      </c>
      <c r="R13" s="25">
        <f t="shared" si="9"/>
        <v>0</v>
      </c>
      <c r="S13" s="23">
        <v>2</v>
      </c>
      <c r="T13" s="24">
        <v>0</v>
      </c>
      <c r="U13" s="25">
        <v>0</v>
      </c>
      <c r="V13" s="25">
        <f t="shared" si="10"/>
        <v>0</v>
      </c>
      <c r="W13" s="23">
        <v>0</v>
      </c>
      <c r="X13" s="24">
        <v>0</v>
      </c>
      <c r="Y13" s="25">
        <v>0</v>
      </c>
      <c r="Z13" s="25">
        <f t="shared" si="11"/>
        <v>0</v>
      </c>
      <c r="AA13" s="23">
        <v>0</v>
      </c>
      <c r="AB13" s="24">
        <v>0</v>
      </c>
      <c r="AC13" s="25">
        <v>0</v>
      </c>
      <c r="AD13" s="25">
        <f t="shared" si="12"/>
        <v>0</v>
      </c>
      <c r="AE13" s="23">
        <v>0</v>
      </c>
      <c r="AF13" s="24">
        <v>0</v>
      </c>
      <c r="AG13" s="25">
        <v>0</v>
      </c>
      <c r="AH13" s="25">
        <f t="shared" si="13"/>
        <v>0</v>
      </c>
      <c r="AI13" s="23">
        <v>0</v>
      </c>
      <c r="AJ13" s="24">
        <v>0</v>
      </c>
      <c r="AK13" s="25">
        <v>0</v>
      </c>
      <c r="AL13" s="25">
        <f t="shared" si="14"/>
        <v>0</v>
      </c>
      <c r="AM13" s="23">
        <v>0</v>
      </c>
      <c r="AN13" s="24">
        <v>0</v>
      </c>
      <c r="AO13" s="25">
        <v>0</v>
      </c>
      <c r="AP13" s="25">
        <f t="shared" si="15"/>
        <v>0</v>
      </c>
      <c r="AQ13" s="23">
        <v>0</v>
      </c>
      <c r="AR13" s="24">
        <v>2</v>
      </c>
      <c r="AS13" s="25">
        <v>0</v>
      </c>
      <c r="AT13" s="25">
        <f t="shared" si="16"/>
        <v>2</v>
      </c>
      <c r="AU13" s="23">
        <v>0</v>
      </c>
      <c r="AV13" s="24">
        <v>0</v>
      </c>
      <c r="AW13" s="25">
        <v>0</v>
      </c>
      <c r="AX13" s="25">
        <f t="shared" si="17"/>
        <v>0</v>
      </c>
      <c r="AY13" s="23">
        <v>2</v>
      </c>
      <c r="AZ13" s="24">
        <v>2</v>
      </c>
      <c r="BA13" s="25">
        <v>2</v>
      </c>
      <c r="BB13" s="25">
        <f t="shared" si="18"/>
        <v>0</v>
      </c>
      <c r="BC13" s="23">
        <v>0</v>
      </c>
      <c r="BD13" s="24">
        <v>0</v>
      </c>
      <c r="BE13" s="25">
        <v>0</v>
      </c>
      <c r="BF13" s="25">
        <f t="shared" si="19"/>
        <v>0</v>
      </c>
      <c r="BG13" s="23">
        <v>0</v>
      </c>
      <c r="BH13" s="24">
        <v>0</v>
      </c>
      <c r="BI13" s="25">
        <v>0</v>
      </c>
      <c r="BJ13" s="25">
        <f t="shared" si="20"/>
        <v>0</v>
      </c>
      <c r="BK13" s="23">
        <v>0</v>
      </c>
      <c r="BL13" s="24">
        <v>2</v>
      </c>
      <c r="BM13" s="25">
        <v>0</v>
      </c>
      <c r="BN13" s="25">
        <f t="shared" si="21"/>
        <v>2</v>
      </c>
      <c r="BO13" s="23">
        <v>0</v>
      </c>
      <c r="BP13" s="24">
        <v>0</v>
      </c>
      <c r="BQ13" s="25">
        <v>0</v>
      </c>
      <c r="BR13" s="25">
        <f t="shared" si="22"/>
        <v>0</v>
      </c>
      <c r="BS13" s="23">
        <v>0</v>
      </c>
      <c r="BT13" s="24">
        <f t="shared" si="0"/>
        <v>10</v>
      </c>
      <c r="BU13" s="25">
        <f t="shared" si="1"/>
        <v>4</v>
      </c>
      <c r="BV13" s="25">
        <f t="shared" si="2"/>
        <v>4</v>
      </c>
      <c r="BW13" s="25">
        <f t="shared" si="3"/>
        <v>0.7142857142857143</v>
      </c>
      <c r="BX13" s="25">
        <f t="shared" si="4"/>
        <v>0.7142857142857143</v>
      </c>
      <c r="BY13" s="23">
        <f t="shared" si="23"/>
        <v>0.7142857142857143</v>
      </c>
      <c r="CC13" s="75" t="s">
        <v>64</v>
      </c>
      <c r="CD13">
        <f>AVERAGE(BW23:BW24)</f>
        <v>0.55555555555555558</v>
      </c>
      <c r="CE13">
        <f t="shared" ref="CE13:CF13" si="33">AVERAGE(BX23:BX24)</f>
        <v>0.83916083916083917</v>
      </c>
      <c r="CF13">
        <f t="shared" si="33"/>
        <v>0.66740823136818683</v>
      </c>
    </row>
    <row r="14" spans="1:84" x14ac:dyDescent="0.35">
      <c r="A14" s="57" t="s">
        <v>10</v>
      </c>
      <c r="B14" s="108"/>
      <c r="C14" s="23" t="s">
        <v>22</v>
      </c>
      <c r="D14" s="24">
        <v>3</v>
      </c>
      <c r="E14" s="25">
        <v>3</v>
      </c>
      <c r="F14" s="25">
        <f t="shared" si="6"/>
        <v>0</v>
      </c>
      <c r="G14" s="23">
        <v>0</v>
      </c>
      <c r="H14" s="24">
        <v>0</v>
      </c>
      <c r="I14" s="24">
        <v>0</v>
      </c>
      <c r="J14" s="24">
        <v>0</v>
      </c>
      <c r="K14" s="23">
        <v>0</v>
      </c>
      <c r="L14" s="24">
        <v>0</v>
      </c>
      <c r="M14" s="24">
        <v>0</v>
      </c>
      <c r="N14" s="24">
        <v>0</v>
      </c>
      <c r="O14" s="23">
        <v>0</v>
      </c>
      <c r="P14" s="24">
        <v>5</v>
      </c>
      <c r="Q14" s="25">
        <v>5</v>
      </c>
      <c r="R14" s="25">
        <f t="shared" si="9"/>
        <v>0</v>
      </c>
      <c r="S14" s="23">
        <v>2</v>
      </c>
      <c r="T14" s="24">
        <v>0</v>
      </c>
      <c r="U14" s="25">
        <v>0</v>
      </c>
      <c r="V14" s="25">
        <v>0</v>
      </c>
      <c r="W14" s="23">
        <v>0</v>
      </c>
      <c r="X14" s="24">
        <v>0</v>
      </c>
      <c r="Y14" s="24">
        <v>0</v>
      </c>
      <c r="Z14" s="24">
        <f>X14-Y14</f>
        <v>0</v>
      </c>
      <c r="AA14" s="23">
        <v>0</v>
      </c>
      <c r="AB14" s="24">
        <v>0</v>
      </c>
      <c r="AC14" s="24">
        <v>0</v>
      </c>
      <c r="AD14" s="24">
        <f>AB14-AC14</f>
        <v>0</v>
      </c>
      <c r="AE14" s="23">
        <v>0</v>
      </c>
      <c r="AF14" s="24">
        <v>0</v>
      </c>
      <c r="AG14" s="24">
        <v>0</v>
      </c>
      <c r="AH14" s="24">
        <f>AF14-AG14</f>
        <v>0</v>
      </c>
      <c r="AI14" s="23">
        <v>0</v>
      </c>
      <c r="AJ14" s="24">
        <v>0</v>
      </c>
      <c r="AK14" s="24">
        <v>0</v>
      </c>
      <c r="AL14" s="24">
        <f>AJ14-AK14</f>
        <v>0</v>
      </c>
      <c r="AM14" s="23">
        <v>0</v>
      </c>
      <c r="AN14" s="24">
        <v>0</v>
      </c>
      <c r="AO14" s="24">
        <v>0</v>
      </c>
      <c r="AP14" s="24">
        <f>AN14-AO14</f>
        <v>0</v>
      </c>
      <c r="AQ14" s="23">
        <v>0</v>
      </c>
      <c r="AR14" s="24">
        <v>2</v>
      </c>
      <c r="AS14" s="25">
        <v>0</v>
      </c>
      <c r="AT14" s="25">
        <f t="shared" si="16"/>
        <v>2</v>
      </c>
      <c r="AU14" s="23">
        <v>0</v>
      </c>
      <c r="AV14" s="24">
        <v>0</v>
      </c>
      <c r="AW14" s="25">
        <v>0</v>
      </c>
      <c r="AX14" s="25">
        <f t="shared" si="17"/>
        <v>0</v>
      </c>
      <c r="AY14" s="23">
        <v>2</v>
      </c>
      <c r="AZ14" s="24">
        <v>2</v>
      </c>
      <c r="BA14" s="25">
        <v>2</v>
      </c>
      <c r="BB14" s="25">
        <f t="shared" si="18"/>
        <v>0</v>
      </c>
      <c r="BC14" s="23">
        <v>0</v>
      </c>
      <c r="BD14" s="24">
        <v>0</v>
      </c>
      <c r="BE14" s="25">
        <v>0</v>
      </c>
      <c r="BF14" s="25">
        <f t="shared" si="19"/>
        <v>0</v>
      </c>
      <c r="BG14" s="23">
        <v>0</v>
      </c>
      <c r="BH14" s="24">
        <v>0</v>
      </c>
      <c r="BI14" s="25">
        <v>0</v>
      </c>
      <c r="BJ14" s="25">
        <f t="shared" si="20"/>
        <v>0</v>
      </c>
      <c r="BK14" s="23">
        <v>0</v>
      </c>
      <c r="BL14" s="24">
        <v>2</v>
      </c>
      <c r="BM14" s="25">
        <v>0</v>
      </c>
      <c r="BN14" s="25">
        <f t="shared" si="21"/>
        <v>2</v>
      </c>
      <c r="BO14" s="23">
        <v>0</v>
      </c>
      <c r="BP14" s="24">
        <v>0</v>
      </c>
      <c r="BQ14" s="25">
        <v>0</v>
      </c>
      <c r="BR14" s="25">
        <f t="shared" si="22"/>
        <v>0</v>
      </c>
      <c r="BS14" s="23">
        <v>0</v>
      </c>
      <c r="BT14" s="24">
        <f t="shared" si="0"/>
        <v>10</v>
      </c>
      <c r="BU14" s="25">
        <f t="shared" si="1"/>
        <v>4</v>
      </c>
      <c r="BV14" s="25">
        <f t="shared" si="2"/>
        <v>4</v>
      </c>
      <c r="BW14" s="25">
        <f t="shared" si="3"/>
        <v>0.7142857142857143</v>
      </c>
      <c r="BX14" s="25">
        <f t="shared" si="4"/>
        <v>0.7142857142857143</v>
      </c>
      <c r="BY14" s="23">
        <f t="shared" si="23"/>
        <v>0.7142857142857143</v>
      </c>
      <c r="CC14" s="75" t="s">
        <v>65</v>
      </c>
      <c r="CD14">
        <f>AVERAGE(BW25:BW26)</f>
        <v>0.7142857142857143</v>
      </c>
      <c r="CE14">
        <f t="shared" ref="CE14:CF14" si="34">AVERAGE(BX25:BX26)</f>
        <v>0.91666666666666674</v>
      </c>
      <c r="CF14">
        <f t="shared" si="34"/>
        <v>0.80128205128205121</v>
      </c>
    </row>
    <row r="15" spans="1:84" x14ac:dyDescent="0.35">
      <c r="A15" s="58" t="s">
        <v>10</v>
      </c>
      <c r="B15" s="108"/>
      <c r="C15" s="26" t="s">
        <v>23</v>
      </c>
      <c r="D15" s="27">
        <v>2</v>
      </c>
      <c r="E15" s="28">
        <v>2</v>
      </c>
      <c r="F15" s="28">
        <f t="shared" si="6"/>
        <v>0</v>
      </c>
      <c r="G15" s="26">
        <v>0</v>
      </c>
      <c r="H15" s="27">
        <v>0</v>
      </c>
      <c r="I15" s="27">
        <v>0</v>
      </c>
      <c r="J15" s="27">
        <f t="shared" si="7"/>
        <v>0</v>
      </c>
      <c r="K15" s="26">
        <v>0</v>
      </c>
      <c r="L15" s="27">
        <v>0</v>
      </c>
      <c r="M15" s="27">
        <v>0</v>
      </c>
      <c r="N15" s="27">
        <f t="shared" si="8"/>
        <v>0</v>
      </c>
      <c r="O15" s="26">
        <v>0</v>
      </c>
      <c r="P15" s="27">
        <v>3</v>
      </c>
      <c r="Q15" s="28">
        <v>3</v>
      </c>
      <c r="R15" s="28">
        <f t="shared" si="9"/>
        <v>0</v>
      </c>
      <c r="S15" s="26">
        <v>1</v>
      </c>
      <c r="T15" s="27">
        <v>0</v>
      </c>
      <c r="U15" s="28">
        <v>0</v>
      </c>
      <c r="V15" s="28">
        <f t="shared" si="10"/>
        <v>0</v>
      </c>
      <c r="W15" s="26">
        <v>0</v>
      </c>
      <c r="X15" s="27">
        <v>0</v>
      </c>
      <c r="Y15" s="27">
        <v>0</v>
      </c>
      <c r="Z15" s="27">
        <f t="shared" si="11"/>
        <v>0</v>
      </c>
      <c r="AA15" s="26">
        <v>0</v>
      </c>
      <c r="AB15" s="27">
        <v>0</v>
      </c>
      <c r="AC15" s="27">
        <v>0</v>
      </c>
      <c r="AD15" s="27">
        <f t="shared" si="12"/>
        <v>0</v>
      </c>
      <c r="AE15" s="26">
        <v>0</v>
      </c>
      <c r="AF15" s="27">
        <v>0</v>
      </c>
      <c r="AG15" s="27">
        <v>0</v>
      </c>
      <c r="AH15" s="27">
        <f t="shared" si="13"/>
        <v>0</v>
      </c>
      <c r="AI15" s="26">
        <v>0</v>
      </c>
      <c r="AJ15" s="27">
        <v>0</v>
      </c>
      <c r="AK15" s="27">
        <v>0</v>
      </c>
      <c r="AL15" s="27">
        <f t="shared" si="14"/>
        <v>0</v>
      </c>
      <c r="AM15" s="26">
        <v>0</v>
      </c>
      <c r="AN15" s="27">
        <v>0</v>
      </c>
      <c r="AO15" s="27">
        <v>0</v>
      </c>
      <c r="AP15" s="27">
        <f t="shared" si="15"/>
        <v>0</v>
      </c>
      <c r="AQ15" s="26">
        <v>0</v>
      </c>
      <c r="AR15" s="27">
        <v>1</v>
      </c>
      <c r="AS15" s="28">
        <v>0</v>
      </c>
      <c r="AT15" s="28">
        <f t="shared" si="16"/>
        <v>1</v>
      </c>
      <c r="AU15" s="26">
        <v>0</v>
      </c>
      <c r="AV15" s="27">
        <v>0</v>
      </c>
      <c r="AW15" s="28">
        <v>0</v>
      </c>
      <c r="AX15" s="28">
        <f t="shared" si="17"/>
        <v>0</v>
      </c>
      <c r="AY15" s="26">
        <v>1</v>
      </c>
      <c r="AZ15" s="27">
        <v>1</v>
      </c>
      <c r="BA15" s="28">
        <v>1</v>
      </c>
      <c r="BB15" s="28">
        <f t="shared" si="18"/>
        <v>0</v>
      </c>
      <c r="BC15" s="26">
        <v>0</v>
      </c>
      <c r="BD15" s="27">
        <v>0</v>
      </c>
      <c r="BE15" s="28">
        <v>0</v>
      </c>
      <c r="BF15" s="28">
        <f t="shared" si="19"/>
        <v>0</v>
      </c>
      <c r="BG15" s="26">
        <v>0</v>
      </c>
      <c r="BH15" s="27">
        <v>0</v>
      </c>
      <c r="BI15" s="28">
        <v>0</v>
      </c>
      <c r="BJ15" s="28">
        <f t="shared" si="20"/>
        <v>0</v>
      </c>
      <c r="BK15" s="26">
        <v>0</v>
      </c>
      <c r="BL15" s="27">
        <v>1</v>
      </c>
      <c r="BM15" s="28">
        <v>1</v>
      </c>
      <c r="BN15" s="28">
        <f t="shared" si="21"/>
        <v>0</v>
      </c>
      <c r="BO15" s="26">
        <v>0</v>
      </c>
      <c r="BP15" s="27">
        <v>0</v>
      </c>
      <c r="BQ15" s="28">
        <v>0</v>
      </c>
      <c r="BR15" s="28">
        <f t="shared" si="22"/>
        <v>0</v>
      </c>
      <c r="BS15" s="26">
        <v>0</v>
      </c>
      <c r="BT15" s="27">
        <f t="shared" si="0"/>
        <v>7</v>
      </c>
      <c r="BU15" s="28">
        <f t="shared" si="1"/>
        <v>1</v>
      </c>
      <c r="BV15" s="28">
        <f t="shared" si="2"/>
        <v>2</v>
      </c>
      <c r="BW15" s="28">
        <f t="shared" si="3"/>
        <v>0.875</v>
      </c>
      <c r="BX15" s="28">
        <f t="shared" si="4"/>
        <v>0.77777777777777779</v>
      </c>
      <c r="BY15" s="26">
        <f t="shared" si="23"/>
        <v>0.82352941176470595</v>
      </c>
      <c r="CC15" s="75" t="s">
        <v>66</v>
      </c>
      <c r="CD15">
        <f>AVERAGE(BW27:BW28)</f>
        <v>0.44117647058823528</v>
      </c>
      <c r="CE15">
        <f t="shared" ref="CE15:CF15" si="35">AVERAGE(BX27:BX28)</f>
        <v>0.76262626262626254</v>
      </c>
      <c r="CF15">
        <f t="shared" si="35"/>
        <v>0.55769230769230771</v>
      </c>
    </row>
    <row r="16" spans="1:84" x14ac:dyDescent="0.35">
      <c r="A16" s="58" t="s">
        <v>10</v>
      </c>
      <c r="B16" s="108"/>
      <c r="C16" s="26" t="s">
        <v>24</v>
      </c>
      <c r="D16" s="27">
        <v>2</v>
      </c>
      <c r="E16" s="28">
        <v>2</v>
      </c>
      <c r="F16" s="28">
        <f t="shared" si="6"/>
        <v>0</v>
      </c>
      <c r="G16" s="26">
        <v>0</v>
      </c>
      <c r="H16" s="27">
        <v>0</v>
      </c>
      <c r="I16" s="27">
        <v>0</v>
      </c>
      <c r="J16" s="27">
        <f t="shared" si="7"/>
        <v>0</v>
      </c>
      <c r="K16" s="26">
        <v>0</v>
      </c>
      <c r="L16" s="27">
        <v>0</v>
      </c>
      <c r="M16" s="27">
        <v>0</v>
      </c>
      <c r="N16" s="27">
        <f t="shared" si="8"/>
        <v>0</v>
      </c>
      <c r="O16" s="26">
        <v>0</v>
      </c>
      <c r="P16" s="27">
        <v>3</v>
      </c>
      <c r="Q16" s="28">
        <v>3</v>
      </c>
      <c r="R16" s="28">
        <f t="shared" si="9"/>
        <v>0</v>
      </c>
      <c r="S16" s="26">
        <v>1</v>
      </c>
      <c r="T16" s="27">
        <v>0</v>
      </c>
      <c r="U16" s="28">
        <v>0</v>
      </c>
      <c r="V16" s="28">
        <f t="shared" si="10"/>
        <v>0</v>
      </c>
      <c r="W16" s="26">
        <v>0</v>
      </c>
      <c r="X16" s="27">
        <v>0</v>
      </c>
      <c r="Y16" s="27">
        <v>0</v>
      </c>
      <c r="Z16" s="27">
        <v>0</v>
      </c>
      <c r="AA16" s="26">
        <v>0</v>
      </c>
      <c r="AB16" s="27">
        <v>0</v>
      </c>
      <c r="AC16" s="27">
        <v>0</v>
      </c>
      <c r="AD16" s="27">
        <f t="shared" si="12"/>
        <v>0</v>
      </c>
      <c r="AE16" s="26">
        <v>0</v>
      </c>
      <c r="AF16" s="27">
        <v>0</v>
      </c>
      <c r="AG16" s="27">
        <v>0</v>
      </c>
      <c r="AH16" s="27">
        <f t="shared" si="13"/>
        <v>0</v>
      </c>
      <c r="AI16" s="26">
        <v>0</v>
      </c>
      <c r="AJ16" s="27">
        <v>0</v>
      </c>
      <c r="AK16" s="27">
        <v>0</v>
      </c>
      <c r="AL16" s="27">
        <f t="shared" si="14"/>
        <v>0</v>
      </c>
      <c r="AM16" s="26">
        <v>0</v>
      </c>
      <c r="AN16" s="27">
        <v>0</v>
      </c>
      <c r="AO16" s="27">
        <v>0</v>
      </c>
      <c r="AP16" s="27">
        <f t="shared" si="15"/>
        <v>0</v>
      </c>
      <c r="AQ16" s="26">
        <v>0</v>
      </c>
      <c r="AR16" s="27">
        <v>1</v>
      </c>
      <c r="AS16" s="28">
        <v>0</v>
      </c>
      <c r="AT16" s="28">
        <f t="shared" si="16"/>
        <v>1</v>
      </c>
      <c r="AU16" s="26">
        <v>0</v>
      </c>
      <c r="AV16" s="27">
        <v>0</v>
      </c>
      <c r="AW16" s="28">
        <v>0</v>
      </c>
      <c r="AX16" s="28">
        <f t="shared" si="17"/>
        <v>0</v>
      </c>
      <c r="AY16" s="26">
        <v>1</v>
      </c>
      <c r="AZ16" s="27">
        <v>1</v>
      </c>
      <c r="BA16" s="28">
        <v>1</v>
      </c>
      <c r="BB16" s="28">
        <f t="shared" si="18"/>
        <v>0</v>
      </c>
      <c r="BC16" s="26">
        <v>0</v>
      </c>
      <c r="BD16" s="27">
        <v>0</v>
      </c>
      <c r="BE16" s="28">
        <v>0</v>
      </c>
      <c r="BF16" s="28">
        <f t="shared" si="19"/>
        <v>0</v>
      </c>
      <c r="BG16" s="26">
        <v>0</v>
      </c>
      <c r="BH16" s="27">
        <v>0</v>
      </c>
      <c r="BI16" s="28">
        <v>0</v>
      </c>
      <c r="BJ16" s="28">
        <f t="shared" si="20"/>
        <v>0</v>
      </c>
      <c r="BK16" s="26">
        <v>0</v>
      </c>
      <c r="BL16" s="27">
        <v>1</v>
      </c>
      <c r="BM16" s="28">
        <v>1</v>
      </c>
      <c r="BN16" s="28">
        <f t="shared" si="21"/>
        <v>0</v>
      </c>
      <c r="BO16" s="26">
        <v>0</v>
      </c>
      <c r="BP16" s="27">
        <v>0</v>
      </c>
      <c r="BQ16" s="28">
        <v>0</v>
      </c>
      <c r="BR16" s="28">
        <f t="shared" si="22"/>
        <v>0</v>
      </c>
      <c r="BS16" s="26">
        <v>0</v>
      </c>
      <c r="BT16" s="27">
        <f t="shared" si="0"/>
        <v>7</v>
      </c>
      <c r="BU16" s="28">
        <f t="shared" si="1"/>
        <v>1</v>
      </c>
      <c r="BV16" s="28">
        <f t="shared" si="2"/>
        <v>2</v>
      </c>
      <c r="BW16" s="28">
        <f t="shared" si="3"/>
        <v>0.875</v>
      </c>
      <c r="BX16" s="28">
        <f t="shared" si="4"/>
        <v>0.77777777777777779</v>
      </c>
      <c r="BY16" s="26">
        <f t="shared" si="23"/>
        <v>0.82352941176470595</v>
      </c>
      <c r="CC16" s="75" t="s">
        <v>67</v>
      </c>
      <c r="CD16">
        <f>AVERAGE(BW29:BW30)</f>
        <v>0.9</v>
      </c>
      <c r="CE16">
        <f t="shared" ref="CE16:CF16" si="36">AVERAGE(BX29:BX30)</f>
        <v>0.9</v>
      </c>
      <c r="CF16">
        <f t="shared" si="36"/>
        <v>0.9</v>
      </c>
    </row>
    <row r="17" spans="1:84" x14ac:dyDescent="0.35">
      <c r="A17" s="59" t="s">
        <v>10</v>
      </c>
      <c r="B17" s="108"/>
      <c r="C17" s="29" t="s">
        <v>25</v>
      </c>
      <c r="D17" s="30">
        <v>2</v>
      </c>
      <c r="E17" s="31">
        <v>2</v>
      </c>
      <c r="F17" s="31">
        <f t="shared" si="6"/>
        <v>0</v>
      </c>
      <c r="G17" s="29">
        <v>0</v>
      </c>
      <c r="H17" s="30">
        <v>0</v>
      </c>
      <c r="I17" s="31">
        <v>0</v>
      </c>
      <c r="J17" s="31">
        <f t="shared" si="7"/>
        <v>0</v>
      </c>
      <c r="K17" s="29">
        <v>0</v>
      </c>
      <c r="L17" s="30">
        <v>0</v>
      </c>
      <c r="M17" s="31">
        <v>0</v>
      </c>
      <c r="N17" s="31">
        <f t="shared" si="8"/>
        <v>0</v>
      </c>
      <c r="O17" s="29">
        <v>0</v>
      </c>
      <c r="P17" s="30">
        <v>3</v>
      </c>
      <c r="Q17" s="31">
        <v>3</v>
      </c>
      <c r="R17" s="31">
        <f t="shared" si="9"/>
        <v>0</v>
      </c>
      <c r="S17" s="29">
        <v>0</v>
      </c>
      <c r="T17" s="30">
        <v>0</v>
      </c>
      <c r="U17" s="31">
        <v>0</v>
      </c>
      <c r="V17" s="31">
        <f t="shared" si="10"/>
        <v>0</v>
      </c>
      <c r="W17" s="29">
        <v>0</v>
      </c>
      <c r="X17" s="30">
        <v>1</v>
      </c>
      <c r="Y17" s="31">
        <v>1</v>
      </c>
      <c r="Z17" s="31">
        <f t="shared" si="11"/>
        <v>0</v>
      </c>
      <c r="AA17" s="29">
        <v>0</v>
      </c>
      <c r="AB17" s="30">
        <v>1</v>
      </c>
      <c r="AC17" s="31">
        <v>1</v>
      </c>
      <c r="AD17" s="31">
        <f t="shared" si="12"/>
        <v>0</v>
      </c>
      <c r="AE17" s="29">
        <v>0</v>
      </c>
      <c r="AF17" s="30">
        <v>1</v>
      </c>
      <c r="AG17" s="31">
        <v>0</v>
      </c>
      <c r="AH17" s="31">
        <f t="shared" si="13"/>
        <v>1</v>
      </c>
      <c r="AI17" s="29">
        <v>0</v>
      </c>
      <c r="AJ17" s="30">
        <v>0</v>
      </c>
      <c r="AK17" s="31">
        <v>0</v>
      </c>
      <c r="AL17" s="31">
        <f t="shared" si="14"/>
        <v>0</v>
      </c>
      <c r="AM17" s="29">
        <v>0</v>
      </c>
      <c r="AN17" s="30">
        <v>0</v>
      </c>
      <c r="AO17" s="31">
        <v>0</v>
      </c>
      <c r="AP17" s="31">
        <f t="shared" si="15"/>
        <v>0</v>
      </c>
      <c r="AQ17" s="29">
        <v>1</v>
      </c>
      <c r="AR17" s="30">
        <v>0</v>
      </c>
      <c r="AS17" s="31">
        <v>0</v>
      </c>
      <c r="AT17" s="31">
        <f t="shared" si="16"/>
        <v>0</v>
      </c>
      <c r="AU17" s="29">
        <v>0</v>
      </c>
      <c r="AV17" s="30">
        <v>0</v>
      </c>
      <c r="AW17" s="31">
        <v>0</v>
      </c>
      <c r="AX17" s="31">
        <f t="shared" si="17"/>
        <v>0</v>
      </c>
      <c r="AY17" s="29">
        <v>0</v>
      </c>
      <c r="AZ17" s="30">
        <v>1</v>
      </c>
      <c r="BA17" s="31">
        <v>1</v>
      </c>
      <c r="BB17" s="31">
        <f t="shared" si="18"/>
        <v>0</v>
      </c>
      <c r="BC17" s="29">
        <v>0</v>
      </c>
      <c r="BD17" s="30">
        <v>0</v>
      </c>
      <c r="BE17" s="31">
        <v>0</v>
      </c>
      <c r="BF17" s="31">
        <f t="shared" si="19"/>
        <v>0</v>
      </c>
      <c r="BG17" s="29">
        <v>0</v>
      </c>
      <c r="BH17" s="30">
        <v>0</v>
      </c>
      <c r="BI17" s="31">
        <v>0</v>
      </c>
      <c r="BJ17" s="31">
        <f t="shared" si="20"/>
        <v>0</v>
      </c>
      <c r="BK17" s="29">
        <v>0</v>
      </c>
      <c r="BL17" s="30">
        <v>0</v>
      </c>
      <c r="BM17" s="31">
        <v>0</v>
      </c>
      <c r="BN17" s="31">
        <f t="shared" si="21"/>
        <v>0</v>
      </c>
      <c r="BO17" s="29">
        <v>0</v>
      </c>
      <c r="BP17" s="30">
        <v>1</v>
      </c>
      <c r="BQ17" s="31">
        <v>0</v>
      </c>
      <c r="BR17" s="31">
        <f t="shared" si="22"/>
        <v>1</v>
      </c>
      <c r="BS17" s="29">
        <v>0</v>
      </c>
      <c r="BT17" s="30">
        <f t="shared" si="0"/>
        <v>8</v>
      </c>
      <c r="BU17" s="31">
        <f t="shared" si="1"/>
        <v>2</v>
      </c>
      <c r="BV17" s="31">
        <f t="shared" si="2"/>
        <v>1</v>
      </c>
      <c r="BW17" s="31">
        <f t="shared" si="3"/>
        <v>0.8</v>
      </c>
      <c r="BX17" s="31">
        <f t="shared" si="4"/>
        <v>0.88888888888888884</v>
      </c>
      <c r="BY17" s="29">
        <f t="shared" si="23"/>
        <v>0.8421052631578948</v>
      </c>
      <c r="CC17" s="75" t="s">
        <v>42</v>
      </c>
      <c r="CD17">
        <f>AVERAGE(CD3:CD16)</f>
        <v>0.76690381280717423</v>
      </c>
      <c r="CE17">
        <f t="shared" ref="CE17:CF17" si="37">AVERAGE(CE3:CE16)</f>
        <v>0.80205819887496899</v>
      </c>
      <c r="CF17">
        <f t="shared" si="37"/>
        <v>0.77101186938884603</v>
      </c>
    </row>
    <row r="18" spans="1:84" x14ac:dyDescent="0.35">
      <c r="A18" s="59" t="s">
        <v>10</v>
      </c>
      <c r="B18" s="108"/>
      <c r="C18" s="29" t="s">
        <v>26</v>
      </c>
      <c r="D18" s="30">
        <v>2</v>
      </c>
      <c r="E18" s="31">
        <v>2</v>
      </c>
      <c r="F18" s="31">
        <f t="shared" si="6"/>
        <v>0</v>
      </c>
      <c r="G18" s="29">
        <v>0</v>
      </c>
      <c r="H18" s="30">
        <v>0</v>
      </c>
      <c r="I18" s="31">
        <v>0</v>
      </c>
      <c r="J18" s="31">
        <f t="shared" si="7"/>
        <v>0</v>
      </c>
      <c r="K18" s="29">
        <v>0</v>
      </c>
      <c r="L18" s="30">
        <v>0</v>
      </c>
      <c r="M18" s="31">
        <v>0</v>
      </c>
      <c r="N18" s="31">
        <f t="shared" si="8"/>
        <v>0</v>
      </c>
      <c r="O18" s="29">
        <v>0</v>
      </c>
      <c r="P18" s="30">
        <v>3</v>
      </c>
      <c r="Q18" s="31">
        <v>3</v>
      </c>
      <c r="R18" s="31">
        <f t="shared" si="9"/>
        <v>0</v>
      </c>
      <c r="S18" s="29">
        <v>0</v>
      </c>
      <c r="T18" s="30">
        <v>0</v>
      </c>
      <c r="U18" s="31">
        <v>0</v>
      </c>
      <c r="V18" s="31">
        <f t="shared" si="10"/>
        <v>0</v>
      </c>
      <c r="W18" s="29">
        <v>0</v>
      </c>
      <c r="X18" s="30">
        <v>1</v>
      </c>
      <c r="Y18" s="31">
        <v>1</v>
      </c>
      <c r="Z18" s="31">
        <f t="shared" si="11"/>
        <v>0</v>
      </c>
      <c r="AA18" s="29">
        <v>0</v>
      </c>
      <c r="AB18" s="30">
        <v>1</v>
      </c>
      <c r="AC18" s="31">
        <v>1</v>
      </c>
      <c r="AD18" s="31">
        <f t="shared" si="12"/>
        <v>0</v>
      </c>
      <c r="AE18" s="29">
        <v>0</v>
      </c>
      <c r="AF18" s="30">
        <v>1</v>
      </c>
      <c r="AG18" s="31">
        <v>0</v>
      </c>
      <c r="AH18" s="31">
        <f t="shared" si="13"/>
        <v>1</v>
      </c>
      <c r="AI18" s="29">
        <v>0</v>
      </c>
      <c r="AJ18" s="30">
        <v>0</v>
      </c>
      <c r="AK18" s="31">
        <v>0</v>
      </c>
      <c r="AL18" s="31">
        <f t="shared" si="14"/>
        <v>0</v>
      </c>
      <c r="AM18" s="29">
        <v>0</v>
      </c>
      <c r="AN18" s="30">
        <v>0</v>
      </c>
      <c r="AO18" s="31">
        <v>0</v>
      </c>
      <c r="AP18" s="31">
        <f t="shared" si="15"/>
        <v>0</v>
      </c>
      <c r="AQ18" s="29">
        <v>0</v>
      </c>
      <c r="AR18" s="30">
        <v>0</v>
      </c>
      <c r="AS18" s="31">
        <v>0</v>
      </c>
      <c r="AT18" s="31">
        <f t="shared" si="16"/>
        <v>0</v>
      </c>
      <c r="AU18" s="29">
        <v>0</v>
      </c>
      <c r="AV18" s="30">
        <v>0</v>
      </c>
      <c r="AW18" s="31">
        <v>0</v>
      </c>
      <c r="AX18" s="31">
        <f t="shared" si="17"/>
        <v>0</v>
      </c>
      <c r="AY18" s="29">
        <v>1</v>
      </c>
      <c r="AZ18" s="30">
        <v>1</v>
      </c>
      <c r="BA18" s="31">
        <v>1</v>
      </c>
      <c r="BB18" s="31">
        <f t="shared" si="18"/>
        <v>0</v>
      </c>
      <c r="BC18" s="29">
        <v>0</v>
      </c>
      <c r="BD18" s="30">
        <v>0</v>
      </c>
      <c r="BE18" s="31">
        <v>0</v>
      </c>
      <c r="BF18" s="31">
        <f t="shared" si="19"/>
        <v>0</v>
      </c>
      <c r="BG18" s="29">
        <v>0</v>
      </c>
      <c r="BH18" s="30">
        <v>0</v>
      </c>
      <c r="BI18" s="31">
        <v>0</v>
      </c>
      <c r="BJ18" s="31">
        <f t="shared" si="20"/>
        <v>0</v>
      </c>
      <c r="BK18" s="29">
        <v>0</v>
      </c>
      <c r="BL18" s="30">
        <v>0</v>
      </c>
      <c r="BM18" s="31">
        <v>0</v>
      </c>
      <c r="BN18" s="31">
        <f>BL18-BM18</f>
        <v>0</v>
      </c>
      <c r="BO18" s="29">
        <v>0</v>
      </c>
      <c r="BP18" s="30">
        <v>1</v>
      </c>
      <c r="BQ18" s="31">
        <v>0</v>
      </c>
      <c r="BR18" s="31">
        <f t="shared" si="22"/>
        <v>1</v>
      </c>
      <c r="BS18" s="29">
        <v>0</v>
      </c>
      <c r="BT18" s="30">
        <f t="shared" si="0"/>
        <v>8</v>
      </c>
      <c r="BU18" s="31">
        <f t="shared" si="1"/>
        <v>2</v>
      </c>
      <c r="BV18" s="31">
        <f t="shared" si="2"/>
        <v>1</v>
      </c>
      <c r="BW18" s="31">
        <f t="shared" si="3"/>
        <v>0.8</v>
      </c>
      <c r="BX18" s="31">
        <f t="shared" si="4"/>
        <v>0.88888888888888884</v>
      </c>
      <c r="BY18" s="29">
        <f t="shared" si="23"/>
        <v>0.8421052631578948</v>
      </c>
      <c r="CC18" s="75"/>
    </row>
    <row r="19" spans="1:84" x14ac:dyDescent="0.35">
      <c r="A19" s="60" t="s">
        <v>10</v>
      </c>
      <c r="B19" s="108"/>
      <c r="C19" s="32" t="s">
        <v>27</v>
      </c>
      <c r="D19" s="33">
        <v>3</v>
      </c>
      <c r="E19" s="34">
        <v>3</v>
      </c>
      <c r="F19" s="34">
        <f t="shared" si="6"/>
        <v>0</v>
      </c>
      <c r="G19" s="32">
        <v>0</v>
      </c>
      <c r="H19" s="33">
        <v>0</v>
      </c>
      <c r="I19" s="34">
        <v>0</v>
      </c>
      <c r="J19" s="34">
        <f t="shared" si="7"/>
        <v>0</v>
      </c>
      <c r="K19" s="32">
        <v>0</v>
      </c>
      <c r="L19" s="33">
        <v>0</v>
      </c>
      <c r="M19" s="34">
        <v>0</v>
      </c>
      <c r="N19" s="34">
        <f t="shared" si="8"/>
        <v>0</v>
      </c>
      <c r="O19" s="32">
        <v>0</v>
      </c>
      <c r="P19" s="33">
        <v>3</v>
      </c>
      <c r="Q19" s="34">
        <v>3</v>
      </c>
      <c r="R19" s="34">
        <f t="shared" si="9"/>
        <v>0</v>
      </c>
      <c r="S19" s="32">
        <v>0</v>
      </c>
      <c r="T19" s="33">
        <v>0</v>
      </c>
      <c r="U19" s="34">
        <v>0</v>
      </c>
      <c r="V19" s="34">
        <f t="shared" si="10"/>
        <v>0</v>
      </c>
      <c r="W19" s="32">
        <v>0</v>
      </c>
      <c r="X19" s="33">
        <v>2</v>
      </c>
      <c r="Y19" s="34">
        <v>2</v>
      </c>
      <c r="Z19" s="34">
        <f t="shared" si="11"/>
        <v>0</v>
      </c>
      <c r="AA19" s="32">
        <v>0</v>
      </c>
      <c r="AB19" s="33">
        <v>2</v>
      </c>
      <c r="AC19" s="34">
        <v>2</v>
      </c>
      <c r="AD19" s="34">
        <f t="shared" si="12"/>
        <v>0</v>
      </c>
      <c r="AE19" s="32">
        <v>0</v>
      </c>
      <c r="AF19" s="33">
        <v>2</v>
      </c>
      <c r="AG19" s="34">
        <v>0</v>
      </c>
      <c r="AH19" s="34">
        <f t="shared" si="13"/>
        <v>2</v>
      </c>
      <c r="AI19" s="32">
        <v>0</v>
      </c>
      <c r="AJ19" s="33">
        <v>0</v>
      </c>
      <c r="AK19" s="34">
        <v>0</v>
      </c>
      <c r="AL19" s="34">
        <f t="shared" si="14"/>
        <v>0</v>
      </c>
      <c r="AM19" s="32">
        <v>0</v>
      </c>
      <c r="AN19" s="33">
        <v>0</v>
      </c>
      <c r="AO19" s="34">
        <v>0</v>
      </c>
      <c r="AP19" s="34">
        <f t="shared" si="15"/>
        <v>0</v>
      </c>
      <c r="AQ19" s="32">
        <v>0</v>
      </c>
      <c r="AR19" s="33">
        <v>0</v>
      </c>
      <c r="AS19" s="34">
        <v>0</v>
      </c>
      <c r="AT19" s="34">
        <f t="shared" si="16"/>
        <v>0</v>
      </c>
      <c r="AU19" s="32">
        <v>1</v>
      </c>
      <c r="AV19" s="33">
        <v>0</v>
      </c>
      <c r="AW19" s="34">
        <v>0</v>
      </c>
      <c r="AX19" s="34">
        <f t="shared" si="17"/>
        <v>0</v>
      </c>
      <c r="AY19" s="32">
        <v>1</v>
      </c>
      <c r="AZ19" s="33">
        <v>2</v>
      </c>
      <c r="BA19" s="34">
        <v>2</v>
      </c>
      <c r="BB19" s="34">
        <f t="shared" si="18"/>
        <v>0</v>
      </c>
      <c r="BC19" s="32">
        <v>0</v>
      </c>
      <c r="BD19" s="33">
        <v>0</v>
      </c>
      <c r="BE19" s="34">
        <v>0</v>
      </c>
      <c r="BF19" s="34">
        <f t="shared" si="19"/>
        <v>0</v>
      </c>
      <c r="BG19" s="32">
        <v>0</v>
      </c>
      <c r="BH19" s="33">
        <v>1</v>
      </c>
      <c r="BI19" s="34">
        <v>0</v>
      </c>
      <c r="BJ19" s="34">
        <f t="shared" si="20"/>
        <v>1</v>
      </c>
      <c r="BK19" s="32">
        <v>0</v>
      </c>
      <c r="BL19" s="33">
        <v>0</v>
      </c>
      <c r="BM19" s="34">
        <v>0</v>
      </c>
      <c r="BN19" s="34">
        <f t="shared" si="21"/>
        <v>0</v>
      </c>
      <c r="BO19" s="32">
        <v>2</v>
      </c>
      <c r="BP19" s="33">
        <v>2</v>
      </c>
      <c r="BQ19" s="34">
        <v>0</v>
      </c>
      <c r="BR19" s="34">
        <f t="shared" si="22"/>
        <v>2</v>
      </c>
      <c r="BS19" s="32">
        <v>0</v>
      </c>
      <c r="BT19" s="33">
        <f t="shared" si="0"/>
        <v>12</v>
      </c>
      <c r="BU19" s="34">
        <f t="shared" si="1"/>
        <v>5</v>
      </c>
      <c r="BV19" s="34">
        <f t="shared" si="2"/>
        <v>4</v>
      </c>
      <c r="BW19" s="34">
        <f t="shared" si="3"/>
        <v>0.70588235294117652</v>
      </c>
      <c r="BX19" s="34">
        <f t="shared" si="4"/>
        <v>0.75</v>
      </c>
      <c r="BY19" s="32">
        <f t="shared" si="23"/>
        <v>0.72727272727272718</v>
      </c>
      <c r="CC19" s="75"/>
    </row>
    <row r="20" spans="1:84" x14ac:dyDescent="0.35">
      <c r="A20" s="60" t="s">
        <v>10</v>
      </c>
      <c r="B20" s="108"/>
      <c r="C20" s="32" t="s">
        <v>28</v>
      </c>
      <c r="D20" s="33">
        <v>3</v>
      </c>
      <c r="E20" s="34">
        <v>3</v>
      </c>
      <c r="F20" s="34">
        <f t="shared" si="6"/>
        <v>0</v>
      </c>
      <c r="G20" s="32">
        <v>0</v>
      </c>
      <c r="H20" s="33">
        <v>0</v>
      </c>
      <c r="I20" s="34">
        <v>0</v>
      </c>
      <c r="J20" s="34">
        <f t="shared" si="7"/>
        <v>0</v>
      </c>
      <c r="K20" s="32">
        <v>0</v>
      </c>
      <c r="L20" s="33">
        <v>0</v>
      </c>
      <c r="M20" s="34">
        <v>0</v>
      </c>
      <c r="N20" s="34">
        <f t="shared" si="8"/>
        <v>0</v>
      </c>
      <c r="O20" s="32">
        <v>0</v>
      </c>
      <c r="P20" s="33">
        <v>3</v>
      </c>
      <c r="Q20" s="34">
        <v>3</v>
      </c>
      <c r="R20" s="34">
        <f t="shared" si="9"/>
        <v>0</v>
      </c>
      <c r="S20" s="32">
        <v>0</v>
      </c>
      <c r="T20" s="33">
        <v>0</v>
      </c>
      <c r="U20" s="34">
        <v>0</v>
      </c>
      <c r="V20" s="34">
        <f t="shared" si="10"/>
        <v>0</v>
      </c>
      <c r="W20" s="32">
        <v>0</v>
      </c>
      <c r="X20" s="33">
        <v>2</v>
      </c>
      <c r="Y20" s="34">
        <v>2</v>
      </c>
      <c r="Z20" s="34">
        <f t="shared" si="11"/>
        <v>0</v>
      </c>
      <c r="AA20" s="32">
        <v>1</v>
      </c>
      <c r="AB20" s="33">
        <v>2</v>
      </c>
      <c r="AC20" s="34">
        <v>2</v>
      </c>
      <c r="AD20" s="34">
        <f t="shared" si="12"/>
        <v>0</v>
      </c>
      <c r="AE20" s="32">
        <v>0</v>
      </c>
      <c r="AF20" s="33">
        <v>2</v>
      </c>
      <c r="AG20" s="34">
        <v>0</v>
      </c>
      <c r="AH20" s="34">
        <f t="shared" si="13"/>
        <v>2</v>
      </c>
      <c r="AI20" s="32">
        <v>0</v>
      </c>
      <c r="AJ20" s="33">
        <v>0</v>
      </c>
      <c r="AK20" s="34">
        <v>0</v>
      </c>
      <c r="AL20" s="34">
        <f t="shared" si="14"/>
        <v>0</v>
      </c>
      <c r="AM20" s="32">
        <v>0</v>
      </c>
      <c r="AN20" s="33">
        <v>0</v>
      </c>
      <c r="AO20" s="34">
        <v>0</v>
      </c>
      <c r="AP20" s="34">
        <f t="shared" si="15"/>
        <v>0</v>
      </c>
      <c r="AQ20" s="32">
        <v>0</v>
      </c>
      <c r="AR20" s="33">
        <v>0</v>
      </c>
      <c r="AS20" s="34">
        <v>0</v>
      </c>
      <c r="AT20" s="34">
        <f t="shared" si="16"/>
        <v>0</v>
      </c>
      <c r="AU20" s="32">
        <v>0</v>
      </c>
      <c r="AV20" s="33">
        <v>0</v>
      </c>
      <c r="AW20" s="34">
        <v>0</v>
      </c>
      <c r="AX20" s="34">
        <f t="shared" si="17"/>
        <v>0</v>
      </c>
      <c r="AY20" s="32">
        <v>1</v>
      </c>
      <c r="AZ20" s="33">
        <v>2</v>
      </c>
      <c r="BA20" s="34">
        <v>1</v>
      </c>
      <c r="BB20" s="34">
        <f t="shared" si="18"/>
        <v>1</v>
      </c>
      <c r="BC20" s="32">
        <v>0</v>
      </c>
      <c r="BD20" s="33">
        <v>0</v>
      </c>
      <c r="BE20" s="34">
        <v>0</v>
      </c>
      <c r="BF20" s="34">
        <f t="shared" si="19"/>
        <v>0</v>
      </c>
      <c r="BG20" s="32">
        <v>0</v>
      </c>
      <c r="BH20" s="33">
        <v>1</v>
      </c>
      <c r="BI20" s="34">
        <v>0</v>
      </c>
      <c r="BJ20" s="34">
        <f t="shared" si="20"/>
        <v>1</v>
      </c>
      <c r="BK20" s="32">
        <v>0</v>
      </c>
      <c r="BL20" s="33">
        <v>0</v>
      </c>
      <c r="BM20" s="34">
        <v>0</v>
      </c>
      <c r="BN20" s="34">
        <f t="shared" si="21"/>
        <v>0</v>
      </c>
      <c r="BO20" s="32">
        <v>1</v>
      </c>
      <c r="BP20" s="33">
        <v>2</v>
      </c>
      <c r="BQ20" s="34">
        <v>0</v>
      </c>
      <c r="BR20" s="34">
        <f t="shared" si="22"/>
        <v>2</v>
      </c>
      <c r="BS20" s="32">
        <v>0</v>
      </c>
      <c r="BT20" s="33">
        <f t="shared" si="0"/>
        <v>11</v>
      </c>
      <c r="BU20" s="34">
        <f t="shared" si="1"/>
        <v>6</v>
      </c>
      <c r="BV20" s="34">
        <f t="shared" si="2"/>
        <v>3</v>
      </c>
      <c r="BW20" s="34">
        <f t="shared" si="3"/>
        <v>0.6470588235294118</v>
      </c>
      <c r="BX20" s="34">
        <f t="shared" si="4"/>
        <v>0.7857142857142857</v>
      </c>
      <c r="BY20" s="32">
        <f t="shared" si="23"/>
        <v>0.70967741935483863</v>
      </c>
      <c r="CC20" s="75"/>
    </row>
    <row r="21" spans="1:84" x14ac:dyDescent="0.35">
      <c r="A21" s="61" t="s">
        <v>10</v>
      </c>
      <c r="B21" s="108"/>
      <c r="C21" s="35" t="s">
        <v>29</v>
      </c>
      <c r="D21" s="36">
        <v>2</v>
      </c>
      <c r="E21" s="37">
        <v>2</v>
      </c>
      <c r="F21" s="37">
        <f t="shared" si="6"/>
        <v>0</v>
      </c>
      <c r="G21" s="35">
        <v>0</v>
      </c>
      <c r="H21" s="36">
        <v>0</v>
      </c>
      <c r="I21" s="37">
        <v>0</v>
      </c>
      <c r="J21" s="37">
        <f t="shared" si="7"/>
        <v>0</v>
      </c>
      <c r="K21" s="35">
        <v>0</v>
      </c>
      <c r="L21" s="36">
        <v>0</v>
      </c>
      <c r="M21" s="37">
        <v>0</v>
      </c>
      <c r="N21" s="37">
        <f t="shared" si="8"/>
        <v>0</v>
      </c>
      <c r="O21" s="35">
        <v>0</v>
      </c>
      <c r="P21" s="36">
        <v>3</v>
      </c>
      <c r="Q21" s="37">
        <v>3</v>
      </c>
      <c r="R21" s="37">
        <f t="shared" si="9"/>
        <v>0</v>
      </c>
      <c r="S21" s="35">
        <v>0</v>
      </c>
      <c r="T21" s="36">
        <v>0</v>
      </c>
      <c r="U21" s="37">
        <v>0</v>
      </c>
      <c r="V21" s="37">
        <f t="shared" si="10"/>
        <v>0</v>
      </c>
      <c r="W21" s="35">
        <v>0</v>
      </c>
      <c r="X21" s="36">
        <v>1</v>
      </c>
      <c r="Y21" s="37">
        <v>1</v>
      </c>
      <c r="Z21" s="37">
        <f t="shared" si="11"/>
        <v>0</v>
      </c>
      <c r="AA21" s="35">
        <v>1</v>
      </c>
      <c r="AB21" s="36">
        <v>1</v>
      </c>
      <c r="AC21" s="37">
        <v>1</v>
      </c>
      <c r="AD21" s="37">
        <f t="shared" si="12"/>
        <v>0</v>
      </c>
      <c r="AE21" s="35">
        <v>1</v>
      </c>
      <c r="AF21" s="36">
        <v>1</v>
      </c>
      <c r="AG21" s="37">
        <v>1</v>
      </c>
      <c r="AH21" s="37">
        <f t="shared" si="13"/>
        <v>0</v>
      </c>
      <c r="AI21" s="35">
        <v>0</v>
      </c>
      <c r="AJ21" s="36">
        <v>0</v>
      </c>
      <c r="AK21" s="37">
        <v>0</v>
      </c>
      <c r="AL21" s="37">
        <f t="shared" si="14"/>
        <v>0</v>
      </c>
      <c r="AM21" s="35">
        <v>0</v>
      </c>
      <c r="AN21" s="36">
        <v>0</v>
      </c>
      <c r="AO21" s="37">
        <v>0</v>
      </c>
      <c r="AP21" s="37">
        <f t="shared" si="15"/>
        <v>0</v>
      </c>
      <c r="AQ21" s="35">
        <v>1</v>
      </c>
      <c r="AR21" s="36">
        <v>0</v>
      </c>
      <c r="AS21" s="37">
        <v>0</v>
      </c>
      <c r="AT21" s="37">
        <f t="shared" si="16"/>
        <v>0</v>
      </c>
      <c r="AU21" s="35">
        <v>0</v>
      </c>
      <c r="AV21" s="36">
        <v>0</v>
      </c>
      <c r="AW21" s="37">
        <v>0</v>
      </c>
      <c r="AX21" s="37">
        <f t="shared" si="17"/>
        <v>0</v>
      </c>
      <c r="AY21" s="35">
        <v>0</v>
      </c>
      <c r="AZ21" s="36">
        <v>1</v>
      </c>
      <c r="BA21" s="37">
        <v>1</v>
      </c>
      <c r="BB21" s="37">
        <f t="shared" si="18"/>
        <v>0</v>
      </c>
      <c r="BC21" s="35">
        <v>0</v>
      </c>
      <c r="BD21" s="36">
        <v>0</v>
      </c>
      <c r="BE21" s="37">
        <v>0</v>
      </c>
      <c r="BF21" s="37">
        <f t="shared" si="19"/>
        <v>0</v>
      </c>
      <c r="BG21" s="35">
        <v>0</v>
      </c>
      <c r="BH21" s="36">
        <v>0</v>
      </c>
      <c r="BI21" s="37">
        <v>0</v>
      </c>
      <c r="BJ21" s="37">
        <f t="shared" si="20"/>
        <v>0</v>
      </c>
      <c r="BK21" s="35">
        <v>0</v>
      </c>
      <c r="BL21" s="36">
        <v>0</v>
      </c>
      <c r="BM21" s="37">
        <v>0</v>
      </c>
      <c r="BN21" s="37">
        <f t="shared" si="21"/>
        <v>0</v>
      </c>
      <c r="BO21" s="35">
        <v>0</v>
      </c>
      <c r="BP21" s="36">
        <v>1</v>
      </c>
      <c r="BQ21" s="37">
        <v>0</v>
      </c>
      <c r="BR21" s="37">
        <f t="shared" si="22"/>
        <v>1</v>
      </c>
      <c r="BS21" s="35">
        <v>0</v>
      </c>
      <c r="BT21" s="36">
        <f t="shared" si="0"/>
        <v>9</v>
      </c>
      <c r="BU21" s="37">
        <f t="shared" si="1"/>
        <v>1</v>
      </c>
      <c r="BV21" s="37">
        <f t="shared" si="2"/>
        <v>3</v>
      </c>
      <c r="BW21" s="37">
        <f t="shared" si="3"/>
        <v>0.9</v>
      </c>
      <c r="BX21" s="37">
        <f t="shared" si="4"/>
        <v>0.75</v>
      </c>
      <c r="BY21" s="35">
        <f t="shared" si="23"/>
        <v>0.81818181818181823</v>
      </c>
      <c r="CC21" s="75"/>
    </row>
    <row r="22" spans="1:84" x14ac:dyDescent="0.35">
      <c r="A22" s="61" t="s">
        <v>10</v>
      </c>
      <c r="B22" s="108"/>
      <c r="C22" s="35" t="s">
        <v>30</v>
      </c>
      <c r="D22" s="36">
        <v>2</v>
      </c>
      <c r="E22" s="37">
        <v>2</v>
      </c>
      <c r="F22" s="37">
        <f t="shared" si="6"/>
        <v>0</v>
      </c>
      <c r="G22" s="35">
        <v>0</v>
      </c>
      <c r="H22" s="36">
        <v>0</v>
      </c>
      <c r="I22" s="37">
        <v>0</v>
      </c>
      <c r="J22" s="37">
        <f t="shared" si="7"/>
        <v>0</v>
      </c>
      <c r="K22" s="35">
        <v>0</v>
      </c>
      <c r="L22" s="36">
        <v>0</v>
      </c>
      <c r="M22" s="37">
        <v>0</v>
      </c>
      <c r="N22" s="37">
        <f t="shared" si="8"/>
        <v>0</v>
      </c>
      <c r="O22" s="35">
        <v>0</v>
      </c>
      <c r="P22" s="36">
        <v>3</v>
      </c>
      <c r="Q22" s="37">
        <v>3</v>
      </c>
      <c r="R22" s="37">
        <f t="shared" si="9"/>
        <v>0</v>
      </c>
      <c r="S22" s="35">
        <v>0</v>
      </c>
      <c r="T22" s="36">
        <v>0</v>
      </c>
      <c r="U22" s="37">
        <v>0</v>
      </c>
      <c r="V22" s="37">
        <f t="shared" si="10"/>
        <v>0</v>
      </c>
      <c r="W22" s="35">
        <v>3</v>
      </c>
      <c r="X22" s="36">
        <v>1</v>
      </c>
      <c r="Y22" s="37">
        <v>1</v>
      </c>
      <c r="Z22" s="37">
        <f t="shared" si="11"/>
        <v>0</v>
      </c>
      <c r="AA22" s="35">
        <v>1</v>
      </c>
      <c r="AB22" s="36">
        <v>1</v>
      </c>
      <c r="AC22" s="37">
        <v>1</v>
      </c>
      <c r="AD22" s="37">
        <f t="shared" si="12"/>
        <v>0</v>
      </c>
      <c r="AE22" s="35">
        <v>1</v>
      </c>
      <c r="AF22" s="36">
        <v>1</v>
      </c>
      <c r="AG22" s="37">
        <v>1</v>
      </c>
      <c r="AH22" s="37">
        <f t="shared" si="13"/>
        <v>0</v>
      </c>
      <c r="AI22" s="35">
        <v>0</v>
      </c>
      <c r="AJ22" s="36">
        <v>0</v>
      </c>
      <c r="AK22" s="37">
        <v>0</v>
      </c>
      <c r="AL22" s="37">
        <f t="shared" si="14"/>
        <v>0</v>
      </c>
      <c r="AM22" s="35">
        <v>0</v>
      </c>
      <c r="AN22" s="36">
        <v>0</v>
      </c>
      <c r="AO22" s="37">
        <v>0</v>
      </c>
      <c r="AP22" s="37">
        <f t="shared" si="15"/>
        <v>0</v>
      </c>
      <c r="AQ22" s="35">
        <v>1</v>
      </c>
      <c r="AR22" s="36">
        <v>0</v>
      </c>
      <c r="AS22" s="37">
        <v>0</v>
      </c>
      <c r="AT22" s="37">
        <f t="shared" si="16"/>
        <v>0</v>
      </c>
      <c r="AU22" s="35">
        <v>0</v>
      </c>
      <c r="AV22" s="36">
        <v>0</v>
      </c>
      <c r="AW22" s="37">
        <v>0</v>
      </c>
      <c r="AX22" s="37">
        <f t="shared" si="17"/>
        <v>0</v>
      </c>
      <c r="AY22" s="35">
        <v>0</v>
      </c>
      <c r="AZ22" s="36">
        <v>1</v>
      </c>
      <c r="BA22" s="37">
        <v>1</v>
      </c>
      <c r="BB22" s="37">
        <f t="shared" si="18"/>
        <v>0</v>
      </c>
      <c r="BC22" s="35">
        <v>0</v>
      </c>
      <c r="BD22" s="36">
        <v>0</v>
      </c>
      <c r="BE22" s="37">
        <v>0</v>
      </c>
      <c r="BF22" s="37">
        <f t="shared" si="19"/>
        <v>0</v>
      </c>
      <c r="BG22" s="35">
        <v>0</v>
      </c>
      <c r="BH22" s="36">
        <v>0</v>
      </c>
      <c r="BI22" s="37">
        <v>0</v>
      </c>
      <c r="BJ22" s="37">
        <f t="shared" si="20"/>
        <v>0</v>
      </c>
      <c r="BK22" s="35">
        <v>0</v>
      </c>
      <c r="BL22" s="36">
        <v>0</v>
      </c>
      <c r="BM22" s="37">
        <v>0</v>
      </c>
      <c r="BN22" s="37">
        <f t="shared" si="21"/>
        <v>0</v>
      </c>
      <c r="BO22" s="35">
        <v>0</v>
      </c>
      <c r="BP22" s="36">
        <v>1</v>
      </c>
      <c r="BQ22" s="37">
        <v>0</v>
      </c>
      <c r="BR22" s="37">
        <f t="shared" si="22"/>
        <v>1</v>
      </c>
      <c r="BS22" s="35">
        <v>0</v>
      </c>
      <c r="BT22" s="36">
        <f t="shared" si="0"/>
        <v>9</v>
      </c>
      <c r="BU22" s="37">
        <f t="shared" si="1"/>
        <v>1</v>
      </c>
      <c r="BV22" s="37">
        <f t="shared" si="2"/>
        <v>6</v>
      </c>
      <c r="BW22" s="37">
        <f t="shared" si="3"/>
        <v>0.9</v>
      </c>
      <c r="BX22" s="37">
        <f t="shared" si="4"/>
        <v>0.6</v>
      </c>
      <c r="BY22" s="35">
        <f t="shared" si="23"/>
        <v>0.72000000000000008</v>
      </c>
      <c r="CC22" s="75"/>
    </row>
    <row r="23" spans="1:84" ht="13.5" customHeight="1" x14ac:dyDescent="0.35">
      <c r="A23" s="62" t="s">
        <v>10</v>
      </c>
      <c r="B23" s="108"/>
      <c r="C23" s="38" t="s">
        <v>31</v>
      </c>
      <c r="D23" s="39">
        <v>4</v>
      </c>
      <c r="E23" s="40">
        <v>3</v>
      </c>
      <c r="F23" s="40">
        <f t="shared" si="6"/>
        <v>1</v>
      </c>
      <c r="G23" s="38">
        <v>0</v>
      </c>
      <c r="H23" s="39">
        <v>0</v>
      </c>
      <c r="I23" s="40">
        <v>0</v>
      </c>
      <c r="J23" s="40">
        <f t="shared" si="7"/>
        <v>0</v>
      </c>
      <c r="K23" s="38">
        <v>0</v>
      </c>
      <c r="L23" s="39">
        <v>0</v>
      </c>
      <c r="M23" s="40">
        <v>0</v>
      </c>
      <c r="N23" s="40">
        <f t="shared" si="8"/>
        <v>0</v>
      </c>
      <c r="O23" s="38">
        <v>0</v>
      </c>
      <c r="P23" s="39">
        <v>0</v>
      </c>
      <c r="Q23" s="40">
        <v>0</v>
      </c>
      <c r="R23" s="40">
        <f t="shared" si="9"/>
        <v>0</v>
      </c>
      <c r="S23" s="38">
        <v>0</v>
      </c>
      <c r="T23" s="39">
        <v>0</v>
      </c>
      <c r="U23" s="40">
        <v>0</v>
      </c>
      <c r="V23" s="40">
        <f t="shared" si="10"/>
        <v>0</v>
      </c>
      <c r="W23" s="38">
        <v>0</v>
      </c>
      <c r="X23" s="39">
        <v>4</v>
      </c>
      <c r="Y23" s="40">
        <v>3</v>
      </c>
      <c r="Z23" s="40">
        <f t="shared" si="11"/>
        <v>1</v>
      </c>
      <c r="AA23" s="38">
        <v>1</v>
      </c>
      <c r="AB23" s="39">
        <v>1</v>
      </c>
      <c r="AC23" s="40">
        <v>0</v>
      </c>
      <c r="AD23" s="40">
        <f t="shared" si="12"/>
        <v>1</v>
      </c>
      <c r="AE23" s="38">
        <v>0</v>
      </c>
      <c r="AF23" s="39">
        <v>2</v>
      </c>
      <c r="AG23" s="40">
        <v>0</v>
      </c>
      <c r="AH23" s="40">
        <f t="shared" si="13"/>
        <v>2</v>
      </c>
      <c r="AI23" s="38">
        <v>0</v>
      </c>
      <c r="AJ23" s="39">
        <v>1</v>
      </c>
      <c r="AK23" s="40">
        <v>1</v>
      </c>
      <c r="AL23" s="40">
        <f t="shared" si="14"/>
        <v>0</v>
      </c>
      <c r="AM23" s="38">
        <v>0</v>
      </c>
      <c r="AN23" s="39">
        <v>1</v>
      </c>
      <c r="AO23" s="40">
        <v>1</v>
      </c>
      <c r="AP23" s="40">
        <f t="shared" si="15"/>
        <v>0</v>
      </c>
      <c r="AQ23" s="38">
        <v>0</v>
      </c>
      <c r="AR23" s="39">
        <v>0</v>
      </c>
      <c r="AS23" s="40">
        <v>0</v>
      </c>
      <c r="AT23" s="40">
        <f t="shared" si="16"/>
        <v>0</v>
      </c>
      <c r="AU23" s="38">
        <v>0</v>
      </c>
      <c r="AV23" s="39">
        <v>0</v>
      </c>
      <c r="AW23" s="40">
        <v>0</v>
      </c>
      <c r="AX23" s="40">
        <f t="shared" si="17"/>
        <v>0</v>
      </c>
      <c r="AY23" s="38">
        <v>0</v>
      </c>
      <c r="AZ23" s="39">
        <v>3</v>
      </c>
      <c r="BA23" s="40">
        <v>2</v>
      </c>
      <c r="BB23" s="40">
        <f t="shared" si="18"/>
        <v>1</v>
      </c>
      <c r="BC23" s="38">
        <v>0</v>
      </c>
      <c r="BD23" s="39">
        <v>0</v>
      </c>
      <c r="BE23" s="40">
        <v>0</v>
      </c>
      <c r="BF23" s="40">
        <f t="shared" si="19"/>
        <v>0</v>
      </c>
      <c r="BG23" s="38">
        <v>0</v>
      </c>
      <c r="BH23" s="39">
        <v>1</v>
      </c>
      <c r="BI23" s="40">
        <v>0</v>
      </c>
      <c r="BJ23" s="40">
        <f t="shared" si="20"/>
        <v>1</v>
      </c>
      <c r="BK23" s="38">
        <v>0</v>
      </c>
      <c r="BL23" s="39">
        <v>0</v>
      </c>
      <c r="BM23" s="40">
        <v>0</v>
      </c>
      <c r="BN23" s="40">
        <f t="shared" si="21"/>
        <v>0</v>
      </c>
      <c r="BO23" s="38">
        <v>0</v>
      </c>
      <c r="BP23" s="39">
        <v>1</v>
      </c>
      <c r="BQ23" s="40">
        <v>0</v>
      </c>
      <c r="BR23" s="40">
        <f t="shared" si="22"/>
        <v>1</v>
      </c>
      <c r="BS23" s="38">
        <v>0</v>
      </c>
      <c r="BT23" s="39">
        <f t="shared" si="0"/>
        <v>10</v>
      </c>
      <c r="BU23" s="40">
        <f t="shared" si="1"/>
        <v>8</v>
      </c>
      <c r="BV23" s="40">
        <f t="shared" si="2"/>
        <v>1</v>
      </c>
      <c r="BW23" s="40">
        <f t="shared" si="3"/>
        <v>0.55555555555555558</v>
      </c>
      <c r="BX23" s="40">
        <f t="shared" si="4"/>
        <v>0.90909090909090906</v>
      </c>
      <c r="BY23" s="38">
        <f t="shared" si="23"/>
        <v>0.68965517241379315</v>
      </c>
      <c r="CC23" s="75"/>
    </row>
    <row r="24" spans="1:84" ht="13.5" customHeight="1" x14ac:dyDescent="0.35">
      <c r="A24" s="62" t="s">
        <v>10</v>
      </c>
      <c r="B24" s="108"/>
      <c r="C24" s="38" t="s">
        <v>32</v>
      </c>
      <c r="D24" s="39">
        <v>4</v>
      </c>
      <c r="E24" s="40">
        <v>3</v>
      </c>
      <c r="F24" s="40">
        <f t="shared" si="6"/>
        <v>1</v>
      </c>
      <c r="G24" s="38">
        <v>0</v>
      </c>
      <c r="H24" s="39">
        <v>0</v>
      </c>
      <c r="I24" s="40">
        <v>0</v>
      </c>
      <c r="J24" s="40">
        <v>0</v>
      </c>
      <c r="K24" s="38">
        <v>0</v>
      </c>
      <c r="L24" s="39">
        <v>0</v>
      </c>
      <c r="M24" s="40">
        <v>0</v>
      </c>
      <c r="N24" s="40">
        <f t="shared" si="8"/>
        <v>0</v>
      </c>
      <c r="O24" s="38">
        <v>0</v>
      </c>
      <c r="P24" s="39">
        <v>0</v>
      </c>
      <c r="Q24" s="40">
        <v>0</v>
      </c>
      <c r="R24" s="40">
        <f t="shared" si="9"/>
        <v>0</v>
      </c>
      <c r="S24" s="38">
        <v>0</v>
      </c>
      <c r="T24" s="39">
        <v>0</v>
      </c>
      <c r="U24" s="40">
        <v>0</v>
      </c>
      <c r="V24" s="40">
        <f t="shared" si="10"/>
        <v>0</v>
      </c>
      <c r="W24" s="38">
        <v>0</v>
      </c>
      <c r="X24" s="39">
        <v>4</v>
      </c>
      <c r="Y24" s="40">
        <v>3</v>
      </c>
      <c r="Z24" s="40">
        <f t="shared" si="11"/>
        <v>1</v>
      </c>
      <c r="AA24" s="38">
        <v>1</v>
      </c>
      <c r="AB24" s="39">
        <v>1</v>
      </c>
      <c r="AC24" s="40">
        <v>0</v>
      </c>
      <c r="AD24" s="40">
        <f t="shared" si="12"/>
        <v>1</v>
      </c>
      <c r="AE24" s="38">
        <v>0</v>
      </c>
      <c r="AF24" s="39">
        <v>2</v>
      </c>
      <c r="AG24" s="40">
        <v>0</v>
      </c>
      <c r="AH24" s="40">
        <f t="shared" si="13"/>
        <v>2</v>
      </c>
      <c r="AI24" s="38">
        <v>0</v>
      </c>
      <c r="AJ24" s="39">
        <v>1</v>
      </c>
      <c r="AK24" s="40">
        <v>1</v>
      </c>
      <c r="AL24" s="40">
        <f t="shared" si="14"/>
        <v>0</v>
      </c>
      <c r="AM24" s="38">
        <v>0</v>
      </c>
      <c r="AN24" s="39">
        <v>1</v>
      </c>
      <c r="AO24" s="40">
        <v>1</v>
      </c>
      <c r="AP24" s="40">
        <f t="shared" si="15"/>
        <v>0</v>
      </c>
      <c r="AQ24" s="38">
        <v>0</v>
      </c>
      <c r="AR24" s="39">
        <v>0</v>
      </c>
      <c r="AS24" s="40">
        <v>0</v>
      </c>
      <c r="AT24" s="40">
        <f t="shared" si="16"/>
        <v>0</v>
      </c>
      <c r="AU24" s="38">
        <v>0</v>
      </c>
      <c r="AV24" s="39">
        <v>0</v>
      </c>
      <c r="AW24" s="40">
        <v>0</v>
      </c>
      <c r="AX24" s="40">
        <f t="shared" si="17"/>
        <v>0</v>
      </c>
      <c r="AY24" s="38">
        <v>0</v>
      </c>
      <c r="AZ24" s="39">
        <v>3</v>
      </c>
      <c r="BA24" s="40">
        <v>2</v>
      </c>
      <c r="BB24" s="40">
        <f t="shared" si="18"/>
        <v>1</v>
      </c>
      <c r="BC24" s="38">
        <v>0</v>
      </c>
      <c r="BD24" s="39">
        <v>0</v>
      </c>
      <c r="BE24" s="40">
        <v>0</v>
      </c>
      <c r="BF24" s="40">
        <f t="shared" si="19"/>
        <v>0</v>
      </c>
      <c r="BG24" s="38">
        <v>0</v>
      </c>
      <c r="BH24" s="39">
        <v>1</v>
      </c>
      <c r="BI24" s="40">
        <v>0</v>
      </c>
      <c r="BJ24" s="40">
        <f t="shared" si="20"/>
        <v>1</v>
      </c>
      <c r="BK24" s="38">
        <v>0</v>
      </c>
      <c r="BL24" s="39">
        <v>0</v>
      </c>
      <c r="BM24" s="40">
        <v>0</v>
      </c>
      <c r="BN24" s="40">
        <f t="shared" si="21"/>
        <v>0</v>
      </c>
      <c r="BO24" s="38">
        <v>2</v>
      </c>
      <c r="BP24" s="39">
        <v>1</v>
      </c>
      <c r="BQ24" s="40">
        <v>0</v>
      </c>
      <c r="BR24" s="40">
        <f t="shared" si="22"/>
        <v>1</v>
      </c>
      <c r="BS24" s="38">
        <v>0</v>
      </c>
      <c r="BT24" s="39">
        <f t="shared" si="0"/>
        <v>10</v>
      </c>
      <c r="BU24" s="40">
        <f t="shared" si="1"/>
        <v>8</v>
      </c>
      <c r="BV24" s="40">
        <f t="shared" si="2"/>
        <v>3</v>
      </c>
      <c r="BW24" s="40">
        <f t="shared" si="3"/>
        <v>0.55555555555555558</v>
      </c>
      <c r="BX24" s="40">
        <f t="shared" si="4"/>
        <v>0.76923076923076927</v>
      </c>
      <c r="BY24" s="38">
        <f t="shared" si="23"/>
        <v>0.64516129032258063</v>
      </c>
      <c r="CC24" s="75"/>
    </row>
    <row r="25" spans="1:84" x14ac:dyDescent="0.35">
      <c r="A25" s="63" t="s">
        <v>10</v>
      </c>
      <c r="B25" s="108"/>
      <c r="C25" s="41" t="s">
        <v>33</v>
      </c>
      <c r="D25" s="42">
        <v>1</v>
      </c>
      <c r="E25" s="43">
        <v>1</v>
      </c>
      <c r="F25" s="43">
        <f t="shared" si="6"/>
        <v>0</v>
      </c>
      <c r="G25" s="41">
        <v>0</v>
      </c>
      <c r="H25" s="42">
        <v>0</v>
      </c>
      <c r="I25" s="43">
        <v>0</v>
      </c>
      <c r="J25" s="43">
        <f t="shared" si="7"/>
        <v>0</v>
      </c>
      <c r="K25" s="41">
        <v>0</v>
      </c>
      <c r="L25" s="42">
        <v>0</v>
      </c>
      <c r="M25" s="43">
        <v>0</v>
      </c>
      <c r="N25" s="43">
        <f t="shared" si="8"/>
        <v>0</v>
      </c>
      <c r="O25" s="41">
        <v>0</v>
      </c>
      <c r="P25" s="42">
        <v>0</v>
      </c>
      <c r="Q25" s="43">
        <v>0</v>
      </c>
      <c r="R25" s="43">
        <f t="shared" si="9"/>
        <v>0</v>
      </c>
      <c r="S25" s="41">
        <v>0</v>
      </c>
      <c r="T25" s="42">
        <v>0</v>
      </c>
      <c r="U25" s="43">
        <v>0</v>
      </c>
      <c r="V25" s="43">
        <f t="shared" si="10"/>
        <v>0</v>
      </c>
      <c r="W25" s="41">
        <v>0</v>
      </c>
      <c r="X25" s="42">
        <v>2</v>
      </c>
      <c r="Y25" s="43">
        <v>2</v>
      </c>
      <c r="Z25" s="43">
        <f t="shared" si="11"/>
        <v>0</v>
      </c>
      <c r="AA25" s="41">
        <v>0</v>
      </c>
      <c r="AB25" s="42">
        <v>0</v>
      </c>
      <c r="AC25" s="43">
        <v>0</v>
      </c>
      <c r="AD25" s="43">
        <f t="shared" si="12"/>
        <v>0</v>
      </c>
      <c r="AE25" s="41">
        <v>0</v>
      </c>
      <c r="AF25" s="42">
        <v>2</v>
      </c>
      <c r="AG25" s="43">
        <v>2</v>
      </c>
      <c r="AH25" s="43">
        <f t="shared" si="13"/>
        <v>0</v>
      </c>
      <c r="AI25" s="41">
        <v>0</v>
      </c>
      <c r="AJ25" s="42">
        <v>0</v>
      </c>
      <c r="AK25" s="43">
        <v>0</v>
      </c>
      <c r="AL25" s="43">
        <f t="shared" si="14"/>
        <v>0</v>
      </c>
      <c r="AM25" s="41">
        <v>0</v>
      </c>
      <c r="AN25" s="42">
        <v>0</v>
      </c>
      <c r="AO25" s="43">
        <v>0</v>
      </c>
      <c r="AP25" s="43">
        <f t="shared" si="15"/>
        <v>0</v>
      </c>
      <c r="AQ25" s="41">
        <v>0</v>
      </c>
      <c r="AR25" s="42">
        <v>0</v>
      </c>
      <c r="AS25" s="43">
        <v>0</v>
      </c>
      <c r="AT25" s="43">
        <f t="shared" si="16"/>
        <v>0</v>
      </c>
      <c r="AU25" s="41">
        <v>0</v>
      </c>
      <c r="AV25" s="42">
        <v>0</v>
      </c>
      <c r="AW25" s="43">
        <v>0</v>
      </c>
      <c r="AX25" s="43">
        <f t="shared" si="17"/>
        <v>0</v>
      </c>
      <c r="AY25" s="41">
        <v>0</v>
      </c>
      <c r="AZ25" s="42">
        <v>0</v>
      </c>
      <c r="BA25" s="43">
        <v>0</v>
      </c>
      <c r="BB25" s="43">
        <f t="shared" si="18"/>
        <v>0</v>
      </c>
      <c r="BC25" s="41">
        <v>0</v>
      </c>
      <c r="BD25" s="42">
        <v>2</v>
      </c>
      <c r="BE25" s="43">
        <v>0</v>
      </c>
      <c r="BF25" s="43">
        <f t="shared" si="19"/>
        <v>2</v>
      </c>
      <c r="BG25" s="41">
        <v>0</v>
      </c>
      <c r="BH25" s="42">
        <v>0</v>
      </c>
      <c r="BI25" s="43">
        <v>0</v>
      </c>
      <c r="BJ25" s="43">
        <f t="shared" si="20"/>
        <v>0</v>
      </c>
      <c r="BK25" s="41">
        <v>0</v>
      </c>
      <c r="BL25" s="42">
        <v>0</v>
      </c>
      <c r="BM25" s="43">
        <v>0</v>
      </c>
      <c r="BN25" s="43">
        <f t="shared" si="21"/>
        <v>0</v>
      </c>
      <c r="BO25" s="41">
        <v>0</v>
      </c>
      <c r="BP25" s="42">
        <v>0</v>
      </c>
      <c r="BQ25" s="43">
        <v>0</v>
      </c>
      <c r="BR25" s="43">
        <f t="shared" si="22"/>
        <v>0</v>
      </c>
      <c r="BS25" s="41">
        <v>0</v>
      </c>
      <c r="BT25" s="42">
        <f t="shared" si="0"/>
        <v>5</v>
      </c>
      <c r="BU25" s="43">
        <f t="shared" si="1"/>
        <v>2</v>
      </c>
      <c r="BV25" s="43">
        <f t="shared" si="2"/>
        <v>0</v>
      </c>
      <c r="BW25" s="43">
        <f t="shared" si="3"/>
        <v>0.7142857142857143</v>
      </c>
      <c r="BX25" s="43">
        <f t="shared" si="4"/>
        <v>1</v>
      </c>
      <c r="BY25" s="41">
        <f t="shared" si="23"/>
        <v>0.83333333333333326</v>
      </c>
      <c r="CC25" s="75"/>
    </row>
    <row r="26" spans="1:84" x14ac:dyDescent="0.35">
      <c r="A26" s="63" t="s">
        <v>10</v>
      </c>
      <c r="B26" s="108"/>
      <c r="C26" s="41" t="s">
        <v>34</v>
      </c>
      <c r="D26" s="42">
        <v>1</v>
      </c>
      <c r="E26" s="43">
        <v>1</v>
      </c>
      <c r="F26" s="43">
        <f t="shared" si="6"/>
        <v>0</v>
      </c>
      <c r="G26" s="41">
        <v>0</v>
      </c>
      <c r="H26" s="42">
        <v>0</v>
      </c>
      <c r="I26" s="43">
        <v>0</v>
      </c>
      <c r="J26" s="43">
        <f t="shared" si="7"/>
        <v>0</v>
      </c>
      <c r="K26" s="41">
        <v>0</v>
      </c>
      <c r="L26" s="42">
        <v>0</v>
      </c>
      <c r="M26" s="43">
        <v>0</v>
      </c>
      <c r="N26" s="43">
        <f t="shared" si="8"/>
        <v>0</v>
      </c>
      <c r="O26" s="41">
        <v>0</v>
      </c>
      <c r="P26" s="42">
        <v>0</v>
      </c>
      <c r="Q26" s="43">
        <v>0</v>
      </c>
      <c r="R26" s="43">
        <f t="shared" si="9"/>
        <v>0</v>
      </c>
      <c r="S26" s="41">
        <v>0</v>
      </c>
      <c r="T26" s="42">
        <v>0</v>
      </c>
      <c r="U26" s="43">
        <v>0</v>
      </c>
      <c r="V26" s="43">
        <f t="shared" si="10"/>
        <v>0</v>
      </c>
      <c r="W26" s="41">
        <v>0</v>
      </c>
      <c r="X26" s="42">
        <v>2</v>
      </c>
      <c r="Y26" s="43">
        <v>2</v>
      </c>
      <c r="Z26" s="43">
        <f t="shared" si="11"/>
        <v>0</v>
      </c>
      <c r="AA26" s="41">
        <v>0</v>
      </c>
      <c r="AB26" s="42">
        <v>0</v>
      </c>
      <c r="AC26" s="43">
        <v>0</v>
      </c>
      <c r="AD26" s="43">
        <f t="shared" si="12"/>
        <v>0</v>
      </c>
      <c r="AE26" s="41">
        <v>0</v>
      </c>
      <c r="AF26" s="42">
        <v>2</v>
      </c>
      <c r="AG26" s="43">
        <v>2</v>
      </c>
      <c r="AH26" s="43">
        <f t="shared" si="13"/>
        <v>0</v>
      </c>
      <c r="AI26" s="41">
        <v>0</v>
      </c>
      <c r="AJ26" s="42">
        <v>0</v>
      </c>
      <c r="AK26" s="43">
        <v>0</v>
      </c>
      <c r="AL26" s="43">
        <f t="shared" si="14"/>
        <v>0</v>
      </c>
      <c r="AM26" s="41">
        <v>1</v>
      </c>
      <c r="AN26" s="42">
        <v>0</v>
      </c>
      <c r="AO26" s="43">
        <v>0</v>
      </c>
      <c r="AP26" s="43">
        <f t="shared" si="15"/>
        <v>0</v>
      </c>
      <c r="AQ26" s="41">
        <v>0</v>
      </c>
      <c r="AR26" s="42">
        <v>0</v>
      </c>
      <c r="AS26" s="43">
        <v>0</v>
      </c>
      <c r="AT26" s="43">
        <f t="shared" si="16"/>
        <v>0</v>
      </c>
      <c r="AU26" s="41">
        <v>0</v>
      </c>
      <c r="AV26" s="42">
        <v>0</v>
      </c>
      <c r="AW26" s="43">
        <v>0</v>
      </c>
      <c r="AX26" s="43">
        <f t="shared" si="17"/>
        <v>0</v>
      </c>
      <c r="AY26" s="41">
        <v>0</v>
      </c>
      <c r="AZ26" s="42">
        <v>0</v>
      </c>
      <c r="BA26" s="43">
        <v>0</v>
      </c>
      <c r="BB26" s="43">
        <f t="shared" si="18"/>
        <v>0</v>
      </c>
      <c r="BC26" s="41">
        <v>0</v>
      </c>
      <c r="BD26" s="42">
        <v>2</v>
      </c>
      <c r="BE26" s="43">
        <v>0</v>
      </c>
      <c r="BF26" s="43">
        <f t="shared" si="19"/>
        <v>2</v>
      </c>
      <c r="BG26" s="41">
        <v>0</v>
      </c>
      <c r="BH26" s="42">
        <v>0</v>
      </c>
      <c r="BI26" s="43">
        <v>0</v>
      </c>
      <c r="BJ26" s="43">
        <f t="shared" si="20"/>
        <v>0</v>
      </c>
      <c r="BK26" s="41">
        <v>0</v>
      </c>
      <c r="BL26" s="42">
        <v>0</v>
      </c>
      <c r="BM26" s="43">
        <v>0</v>
      </c>
      <c r="BN26" s="43">
        <f t="shared" si="21"/>
        <v>0</v>
      </c>
      <c r="BO26" s="41">
        <v>0</v>
      </c>
      <c r="BP26" s="42">
        <v>0</v>
      </c>
      <c r="BQ26" s="43">
        <v>0</v>
      </c>
      <c r="BR26" s="43">
        <f t="shared" si="22"/>
        <v>0</v>
      </c>
      <c r="BS26" s="41">
        <v>0</v>
      </c>
      <c r="BT26" s="42">
        <f t="shared" si="0"/>
        <v>5</v>
      </c>
      <c r="BU26" s="43">
        <f t="shared" si="1"/>
        <v>2</v>
      </c>
      <c r="BV26" s="43">
        <f t="shared" si="2"/>
        <v>1</v>
      </c>
      <c r="BW26" s="43">
        <f t="shared" si="3"/>
        <v>0.7142857142857143</v>
      </c>
      <c r="BX26" s="43">
        <f t="shared" si="4"/>
        <v>0.83333333333333337</v>
      </c>
      <c r="BY26" s="41">
        <f t="shared" si="23"/>
        <v>0.76923076923076916</v>
      </c>
      <c r="CC26" s="75"/>
    </row>
    <row r="27" spans="1:84" x14ac:dyDescent="0.35">
      <c r="A27" s="47" t="s">
        <v>10</v>
      </c>
      <c r="B27" s="108"/>
      <c r="C27" s="44" t="s">
        <v>35</v>
      </c>
      <c r="D27" s="45">
        <v>2</v>
      </c>
      <c r="E27" s="46">
        <v>2</v>
      </c>
      <c r="F27" s="46">
        <f t="shared" si="6"/>
        <v>0</v>
      </c>
      <c r="G27" s="44">
        <v>0</v>
      </c>
      <c r="H27" s="45">
        <v>2</v>
      </c>
      <c r="I27" s="46">
        <v>0</v>
      </c>
      <c r="J27" s="46">
        <f t="shared" si="7"/>
        <v>2</v>
      </c>
      <c r="K27" s="44">
        <v>0</v>
      </c>
      <c r="L27" s="45">
        <v>2</v>
      </c>
      <c r="M27" s="46">
        <v>0</v>
      </c>
      <c r="N27" s="46">
        <f t="shared" si="8"/>
        <v>2</v>
      </c>
      <c r="O27" s="44">
        <v>0</v>
      </c>
      <c r="P27" s="45">
        <v>2</v>
      </c>
      <c r="Q27" s="46">
        <v>2</v>
      </c>
      <c r="R27" s="46">
        <f t="shared" si="9"/>
        <v>0</v>
      </c>
      <c r="S27" s="44">
        <v>0</v>
      </c>
      <c r="T27" s="45">
        <v>2</v>
      </c>
      <c r="U27" s="46">
        <v>2</v>
      </c>
      <c r="V27" s="46">
        <f t="shared" si="10"/>
        <v>0</v>
      </c>
      <c r="W27" s="44">
        <v>0</v>
      </c>
      <c r="X27" s="45">
        <v>1</v>
      </c>
      <c r="Y27" s="46">
        <v>1</v>
      </c>
      <c r="Z27" s="46">
        <f t="shared" si="11"/>
        <v>0</v>
      </c>
      <c r="AA27" s="44">
        <v>0</v>
      </c>
      <c r="AB27" s="45">
        <v>0</v>
      </c>
      <c r="AC27" s="46">
        <v>0</v>
      </c>
      <c r="AD27" s="46">
        <f t="shared" si="12"/>
        <v>0</v>
      </c>
      <c r="AE27" s="44">
        <v>0</v>
      </c>
      <c r="AF27" s="45">
        <v>3</v>
      </c>
      <c r="AG27" s="46">
        <v>0</v>
      </c>
      <c r="AH27" s="46">
        <f t="shared" si="13"/>
        <v>3</v>
      </c>
      <c r="AI27" s="44">
        <v>0</v>
      </c>
      <c r="AJ27" s="45">
        <v>0</v>
      </c>
      <c r="AK27" s="46">
        <v>0</v>
      </c>
      <c r="AL27" s="46">
        <f t="shared" si="14"/>
        <v>0</v>
      </c>
      <c r="AM27" s="44">
        <v>0</v>
      </c>
      <c r="AN27" s="45">
        <v>0</v>
      </c>
      <c r="AO27" s="46">
        <v>0</v>
      </c>
      <c r="AP27" s="46">
        <f t="shared" si="15"/>
        <v>0</v>
      </c>
      <c r="AQ27" s="44">
        <v>0</v>
      </c>
      <c r="AR27" s="45">
        <v>0</v>
      </c>
      <c r="AS27" s="46">
        <v>0</v>
      </c>
      <c r="AT27" s="46">
        <f t="shared" si="16"/>
        <v>0</v>
      </c>
      <c r="AU27" s="44">
        <v>1</v>
      </c>
      <c r="AV27" s="45">
        <v>1</v>
      </c>
      <c r="AW27" s="46">
        <v>0</v>
      </c>
      <c r="AX27" s="46">
        <f t="shared" si="17"/>
        <v>1</v>
      </c>
      <c r="AY27" s="44">
        <v>0</v>
      </c>
      <c r="AZ27" s="45">
        <v>1</v>
      </c>
      <c r="BA27" s="46">
        <v>1</v>
      </c>
      <c r="BB27" s="46">
        <f t="shared" si="18"/>
        <v>0</v>
      </c>
      <c r="BC27" s="44">
        <v>0</v>
      </c>
      <c r="BD27" s="45">
        <v>0</v>
      </c>
      <c r="BE27" s="46">
        <v>0</v>
      </c>
      <c r="BF27" s="46">
        <f t="shared" si="19"/>
        <v>0</v>
      </c>
      <c r="BG27" s="44">
        <v>0</v>
      </c>
      <c r="BH27" s="45">
        <v>0</v>
      </c>
      <c r="BI27" s="46">
        <v>0</v>
      </c>
      <c r="BJ27" s="46">
        <f t="shared" si="20"/>
        <v>0</v>
      </c>
      <c r="BK27" s="44">
        <v>0</v>
      </c>
      <c r="BL27" s="45">
        <v>1</v>
      </c>
      <c r="BM27" s="46">
        <v>0</v>
      </c>
      <c r="BN27" s="46">
        <f t="shared" si="21"/>
        <v>1</v>
      </c>
      <c r="BO27" s="44">
        <v>0</v>
      </c>
      <c r="BP27" s="45">
        <v>0</v>
      </c>
      <c r="BQ27" s="46">
        <v>0</v>
      </c>
      <c r="BR27" s="46">
        <f t="shared" si="22"/>
        <v>0</v>
      </c>
      <c r="BS27" s="44">
        <v>0</v>
      </c>
      <c r="BT27" s="45">
        <f t="shared" si="0"/>
        <v>8</v>
      </c>
      <c r="BU27" s="46">
        <f t="shared" si="1"/>
        <v>9</v>
      </c>
      <c r="BV27" s="46">
        <f t="shared" si="2"/>
        <v>1</v>
      </c>
      <c r="BW27" s="46">
        <f t="shared" si="3"/>
        <v>0.47058823529411764</v>
      </c>
      <c r="BX27" s="46">
        <f t="shared" si="4"/>
        <v>0.88888888888888884</v>
      </c>
      <c r="BY27" s="44">
        <f t="shared" si="23"/>
        <v>0.61538461538461531</v>
      </c>
      <c r="CC27" s="75"/>
    </row>
    <row r="28" spans="1:84" x14ac:dyDescent="0.35">
      <c r="A28" s="47" t="s">
        <v>10</v>
      </c>
      <c r="B28" s="108"/>
      <c r="C28" s="44" t="s">
        <v>36</v>
      </c>
      <c r="D28" s="45">
        <v>2</v>
      </c>
      <c r="E28" s="46">
        <v>2</v>
      </c>
      <c r="F28" s="46">
        <f t="shared" si="6"/>
        <v>0</v>
      </c>
      <c r="G28" s="44">
        <v>0</v>
      </c>
      <c r="H28" s="45">
        <v>2</v>
      </c>
      <c r="I28" s="46">
        <v>0</v>
      </c>
      <c r="J28" s="46">
        <f t="shared" si="7"/>
        <v>2</v>
      </c>
      <c r="K28" s="44">
        <v>0</v>
      </c>
      <c r="L28" s="45">
        <v>2</v>
      </c>
      <c r="M28" s="46">
        <v>0</v>
      </c>
      <c r="N28" s="46">
        <f t="shared" si="8"/>
        <v>2</v>
      </c>
      <c r="O28" s="44">
        <v>0</v>
      </c>
      <c r="P28" s="45">
        <v>2</v>
      </c>
      <c r="Q28" s="46">
        <v>2</v>
      </c>
      <c r="R28" s="46">
        <f t="shared" si="9"/>
        <v>0</v>
      </c>
      <c r="S28" s="44">
        <v>0</v>
      </c>
      <c r="T28" s="45">
        <v>2</v>
      </c>
      <c r="U28" s="46">
        <v>2</v>
      </c>
      <c r="V28" s="46">
        <f t="shared" si="10"/>
        <v>0</v>
      </c>
      <c r="W28" s="44">
        <v>0</v>
      </c>
      <c r="X28" s="45">
        <v>1</v>
      </c>
      <c r="Y28" s="46">
        <v>1</v>
      </c>
      <c r="Z28" s="46">
        <f t="shared" si="11"/>
        <v>0</v>
      </c>
      <c r="AA28" s="44">
        <v>1</v>
      </c>
      <c r="AB28" s="45">
        <v>0</v>
      </c>
      <c r="AC28" s="46">
        <v>0</v>
      </c>
      <c r="AD28" s="46">
        <f t="shared" si="12"/>
        <v>0</v>
      </c>
      <c r="AE28" s="44">
        <v>3</v>
      </c>
      <c r="AF28" s="45">
        <v>3</v>
      </c>
      <c r="AG28" s="46">
        <v>0</v>
      </c>
      <c r="AH28" s="46">
        <f t="shared" si="13"/>
        <v>3</v>
      </c>
      <c r="AI28" s="44">
        <v>0</v>
      </c>
      <c r="AJ28" s="45">
        <v>0</v>
      </c>
      <c r="AK28" s="46">
        <v>0</v>
      </c>
      <c r="AL28" s="46">
        <f t="shared" si="14"/>
        <v>0</v>
      </c>
      <c r="AM28" s="44">
        <v>0</v>
      </c>
      <c r="AN28" s="45">
        <v>0</v>
      </c>
      <c r="AO28" s="46">
        <v>0</v>
      </c>
      <c r="AP28" s="46">
        <f t="shared" si="15"/>
        <v>0</v>
      </c>
      <c r="AQ28" s="44">
        <v>0</v>
      </c>
      <c r="AR28" s="45">
        <v>0</v>
      </c>
      <c r="AS28" s="46">
        <v>0</v>
      </c>
      <c r="AT28" s="46">
        <f t="shared" si="16"/>
        <v>0</v>
      </c>
      <c r="AU28" s="44">
        <v>0</v>
      </c>
      <c r="AV28" s="45">
        <v>1</v>
      </c>
      <c r="AW28" s="46">
        <v>0</v>
      </c>
      <c r="AX28" s="46">
        <f t="shared" si="17"/>
        <v>1</v>
      </c>
      <c r="AY28" s="44">
        <v>0</v>
      </c>
      <c r="AZ28" s="45">
        <v>1</v>
      </c>
      <c r="BA28" s="46">
        <v>0</v>
      </c>
      <c r="BB28" s="46">
        <f t="shared" si="18"/>
        <v>1</v>
      </c>
      <c r="BC28" s="44">
        <v>0</v>
      </c>
      <c r="BD28" s="45">
        <v>0</v>
      </c>
      <c r="BE28" s="46">
        <v>0</v>
      </c>
      <c r="BF28" s="46">
        <f t="shared" si="19"/>
        <v>0</v>
      </c>
      <c r="BG28" s="44">
        <v>0</v>
      </c>
      <c r="BH28" s="45">
        <v>0</v>
      </c>
      <c r="BI28" s="46">
        <v>0</v>
      </c>
      <c r="BJ28" s="46">
        <f t="shared" si="20"/>
        <v>0</v>
      </c>
      <c r="BK28" s="44">
        <v>0</v>
      </c>
      <c r="BL28" s="45">
        <v>1</v>
      </c>
      <c r="BM28" s="46">
        <v>0</v>
      </c>
      <c r="BN28" s="46">
        <f t="shared" si="21"/>
        <v>1</v>
      </c>
      <c r="BO28" s="44">
        <v>0</v>
      </c>
      <c r="BP28" s="45">
        <v>0</v>
      </c>
      <c r="BQ28" s="46">
        <v>0</v>
      </c>
      <c r="BR28" s="46">
        <f t="shared" si="22"/>
        <v>0</v>
      </c>
      <c r="BS28" s="44">
        <v>0</v>
      </c>
      <c r="BT28" s="45">
        <f t="shared" si="0"/>
        <v>7</v>
      </c>
      <c r="BU28" s="46">
        <f t="shared" si="1"/>
        <v>10</v>
      </c>
      <c r="BV28" s="46">
        <f t="shared" si="2"/>
        <v>4</v>
      </c>
      <c r="BW28" s="46">
        <f t="shared" si="3"/>
        <v>0.41176470588235292</v>
      </c>
      <c r="BX28" s="46">
        <f t="shared" si="4"/>
        <v>0.63636363636363635</v>
      </c>
      <c r="BY28" s="44">
        <f t="shared" si="23"/>
        <v>0.5</v>
      </c>
      <c r="CC28" s="75"/>
    </row>
    <row r="29" spans="1:84" x14ac:dyDescent="0.35">
      <c r="A29" s="64" t="s">
        <v>10</v>
      </c>
      <c r="B29" s="108"/>
      <c r="C29" s="48" t="s">
        <v>37</v>
      </c>
      <c r="D29" s="49">
        <v>1</v>
      </c>
      <c r="E29" s="50">
        <v>1</v>
      </c>
      <c r="F29" s="50">
        <f t="shared" si="6"/>
        <v>0</v>
      </c>
      <c r="G29" s="48">
        <v>0</v>
      </c>
      <c r="H29" s="49">
        <v>0</v>
      </c>
      <c r="I29" s="50">
        <v>0</v>
      </c>
      <c r="J29" s="50">
        <f t="shared" si="7"/>
        <v>0</v>
      </c>
      <c r="K29" s="48">
        <v>0</v>
      </c>
      <c r="L29" s="49">
        <v>0</v>
      </c>
      <c r="M29" s="50">
        <v>0</v>
      </c>
      <c r="N29" s="50">
        <f t="shared" si="8"/>
        <v>0</v>
      </c>
      <c r="O29" s="48">
        <v>0</v>
      </c>
      <c r="P29" s="49">
        <v>4</v>
      </c>
      <c r="Q29" s="50">
        <v>4</v>
      </c>
      <c r="R29" s="50">
        <f t="shared" si="9"/>
        <v>0</v>
      </c>
      <c r="S29" s="48">
        <v>0</v>
      </c>
      <c r="T29" s="49">
        <v>3</v>
      </c>
      <c r="U29" s="50">
        <v>3</v>
      </c>
      <c r="V29" s="50">
        <f t="shared" si="10"/>
        <v>0</v>
      </c>
      <c r="W29" s="48">
        <v>1</v>
      </c>
      <c r="X29" s="49">
        <v>1</v>
      </c>
      <c r="Y29" s="50">
        <v>1</v>
      </c>
      <c r="Z29" s="50">
        <f t="shared" si="11"/>
        <v>0</v>
      </c>
      <c r="AA29" s="48">
        <v>0</v>
      </c>
      <c r="AB29" s="49">
        <v>0</v>
      </c>
      <c r="AC29" s="50">
        <v>0</v>
      </c>
      <c r="AD29" s="50">
        <f t="shared" si="12"/>
        <v>0</v>
      </c>
      <c r="AE29" s="48">
        <v>0</v>
      </c>
      <c r="AF29" s="49">
        <v>1</v>
      </c>
      <c r="AG29" s="50">
        <v>0</v>
      </c>
      <c r="AH29" s="50">
        <f t="shared" si="13"/>
        <v>1</v>
      </c>
      <c r="AI29" s="48">
        <v>0</v>
      </c>
      <c r="AJ29" s="49">
        <v>0</v>
      </c>
      <c r="AK29" s="50">
        <v>0</v>
      </c>
      <c r="AL29" s="50">
        <f t="shared" si="14"/>
        <v>0</v>
      </c>
      <c r="AM29" s="48">
        <v>0</v>
      </c>
      <c r="AN29" s="49">
        <v>0</v>
      </c>
      <c r="AO29" s="50">
        <v>0</v>
      </c>
      <c r="AP29" s="50">
        <f t="shared" si="15"/>
        <v>0</v>
      </c>
      <c r="AQ29" s="48">
        <v>0</v>
      </c>
      <c r="AR29" s="49">
        <v>0</v>
      </c>
      <c r="AS29" s="50">
        <v>0</v>
      </c>
      <c r="AT29" s="50">
        <f t="shared" si="16"/>
        <v>0</v>
      </c>
      <c r="AU29" s="48">
        <v>0</v>
      </c>
      <c r="AV29" s="49">
        <v>0</v>
      </c>
      <c r="AW29" s="50">
        <v>0</v>
      </c>
      <c r="AX29" s="50">
        <f t="shared" si="17"/>
        <v>0</v>
      </c>
      <c r="AY29" s="48">
        <v>0</v>
      </c>
      <c r="AZ29" s="49">
        <v>0</v>
      </c>
      <c r="BA29" s="50">
        <v>0</v>
      </c>
      <c r="BB29" s="50">
        <f t="shared" si="18"/>
        <v>0</v>
      </c>
      <c r="BC29" s="48">
        <v>0</v>
      </c>
      <c r="BD29" s="49">
        <v>0</v>
      </c>
      <c r="BE29" s="50">
        <v>0</v>
      </c>
      <c r="BF29" s="50">
        <f t="shared" si="19"/>
        <v>0</v>
      </c>
      <c r="BG29" s="48">
        <v>0</v>
      </c>
      <c r="BH29" s="49">
        <v>0</v>
      </c>
      <c r="BI29" s="50">
        <v>0</v>
      </c>
      <c r="BJ29" s="50">
        <f t="shared" si="20"/>
        <v>0</v>
      </c>
      <c r="BK29" s="48">
        <v>0</v>
      </c>
      <c r="BL29" s="49">
        <v>0</v>
      </c>
      <c r="BM29" s="50">
        <v>0</v>
      </c>
      <c r="BN29" s="50">
        <f t="shared" si="21"/>
        <v>0</v>
      </c>
      <c r="BO29" s="48">
        <v>0</v>
      </c>
      <c r="BP29" s="49">
        <v>0</v>
      </c>
      <c r="BQ29" s="50">
        <v>0</v>
      </c>
      <c r="BR29" s="50">
        <f t="shared" si="22"/>
        <v>0</v>
      </c>
      <c r="BS29" s="48">
        <v>0</v>
      </c>
      <c r="BT29" s="49">
        <f t="shared" si="0"/>
        <v>9</v>
      </c>
      <c r="BU29" s="50">
        <f t="shared" si="1"/>
        <v>1</v>
      </c>
      <c r="BV29" s="50">
        <f t="shared" si="2"/>
        <v>1</v>
      </c>
      <c r="BW29" s="50">
        <f t="shared" si="3"/>
        <v>0.9</v>
      </c>
      <c r="BX29" s="50">
        <f t="shared" si="4"/>
        <v>0.9</v>
      </c>
      <c r="BY29" s="48">
        <f t="shared" si="23"/>
        <v>0.9</v>
      </c>
      <c r="CC29" s="75"/>
    </row>
    <row r="30" spans="1:84" ht="15" thickBot="1" x14ac:dyDescent="0.4">
      <c r="A30" s="50" t="s">
        <v>10</v>
      </c>
      <c r="B30" s="71"/>
      <c r="C30" s="72" t="s">
        <v>38</v>
      </c>
      <c r="D30" s="73">
        <v>1</v>
      </c>
      <c r="E30" s="74">
        <v>1</v>
      </c>
      <c r="F30" s="74">
        <f t="shared" si="6"/>
        <v>0</v>
      </c>
      <c r="G30" s="72">
        <v>0</v>
      </c>
      <c r="H30" s="73">
        <v>0</v>
      </c>
      <c r="I30" s="74">
        <v>0</v>
      </c>
      <c r="J30" s="74">
        <f t="shared" si="7"/>
        <v>0</v>
      </c>
      <c r="K30" s="72">
        <v>0</v>
      </c>
      <c r="L30" s="73">
        <v>0</v>
      </c>
      <c r="M30" s="74">
        <v>0</v>
      </c>
      <c r="N30" s="74">
        <f t="shared" si="8"/>
        <v>0</v>
      </c>
      <c r="O30" s="72">
        <v>0</v>
      </c>
      <c r="P30" s="73">
        <v>4</v>
      </c>
      <c r="Q30" s="74">
        <v>4</v>
      </c>
      <c r="R30" s="74">
        <f t="shared" si="9"/>
        <v>0</v>
      </c>
      <c r="S30" s="72">
        <v>0</v>
      </c>
      <c r="T30" s="73">
        <v>3</v>
      </c>
      <c r="U30" s="74">
        <v>3</v>
      </c>
      <c r="V30" s="74">
        <f t="shared" si="10"/>
        <v>0</v>
      </c>
      <c r="W30" s="72">
        <v>1</v>
      </c>
      <c r="X30" s="73">
        <v>1</v>
      </c>
      <c r="Y30" s="74">
        <v>1</v>
      </c>
      <c r="Z30" s="74">
        <f t="shared" si="11"/>
        <v>0</v>
      </c>
      <c r="AA30" s="72">
        <v>0</v>
      </c>
      <c r="AB30" s="73">
        <v>0</v>
      </c>
      <c r="AC30" s="74">
        <v>0</v>
      </c>
      <c r="AD30" s="74">
        <v>0</v>
      </c>
      <c r="AE30" s="72">
        <v>0</v>
      </c>
      <c r="AF30" s="73">
        <v>1</v>
      </c>
      <c r="AG30" s="74">
        <v>0</v>
      </c>
      <c r="AH30" s="74">
        <f t="shared" si="13"/>
        <v>1</v>
      </c>
      <c r="AI30" s="72">
        <v>0</v>
      </c>
      <c r="AJ30" s="73">
        <v>0</v>
      </c>
      <c r="AK30" s="74">
        <v>0</v>
      </c>
      <c r="AL30" s="74">
        <f t="shared" si="14"/>
        <v>0</v>
      </c>
      <c r="AM30" s="72">
        <v>0</v>
      </c>
      <c r="AN30" s="73">
        <v>0</v>
      </c>
      <c r="AO30" s="74">
        <v>0</v>
      </c>
      <c r="AP30" s="74">
        <f t="shared" si="15"/>
        <v>0</v>
      </c>
      <c r="AQ30" s="72">
        <v>0</v>
      </c>
      <c r="AR30" s="73">
        <v>0</v>
      </c>
      <c r="AS30" s="74">
        <v>0</v>
      </c>
      <c r="AT30" s="74">
        <f t="shared" si="16"/>
        <v>0</v>
      </c>
      <c r="AU30" s="72">
        <v>0</v>
      </c>
      <c r="AV30" s="73">
        <v>0</v>
      </c>
      <c r="AW30" s="74">
        <v>0</v>
      </c>
      <c r="AX30" s="74">
        <f t="shared" si="17"/>
        <v>0</v>
      </c>
      <c r="AY30" s="72">
        <v>0</v>
      </c>
      <c r="AZ30" s="73">
        <v>0</v>
      </c>
      <c r="BA30" s="74">
        <v>0</v>
      </c>
      <c r="BB30" s="74">
        <f t="shared" si="18"/>
        <v>0</v>
      </c>
      <c r="BC30" s="72">
        <v>0</v>
      </c>
      <c r="BD30" s="73">
        <v>0</v>
      </c>
      <c r="BE30" s="74">
        <v>0</v>
      </c>
      <c r="BF30" s="74">
        <f t="shared" si="19"/>
        <v>0</v>
      </c>
      <c r="BG30" s="72">
        <v>0</v>
      </c>
      <c r="BH30" s="73">
        <v>0</v>
      </c>
      <c r="BI30" s="74">
        <v>0</v>
      </c>
      <c r="BJ30" s="74">
        <f t="shared" si="20"/>
        <v>0</v>
      </c>
      <c r="BK30" s="72">
        <v>0</v>
      </c>
      <c r="BL30" s="73">
        <v>0</v>
      </c>
      <c r="BM30" s="74">
        <v>0</v>
      </c>
      <c r="BN30" s="74">
        <f t="shared" si="21"/>
        <v>0</v>
      </c>
      <c r="BO30" s="72">
        <v>0</v>
      </c>
      <c r="BP30" s="73">
        <v>0</v>
      </c>
      <c r="BQ30" s="74">
        <v>0</v>
      </c>
      <c r="BR30" s="74">
        <f t="shared" si="22"/>
        <v>0</v>
      </c>
      <c r="BS30" s="72">
        <v>0</v>
      </c>
      <c r="BT30" s="73">
        <f t="shared" si="0"/>
        <v>9</v>
      </c>
      <c r="BU30" s="74">
        <f t="shared" si="1"/>
        <v>1</v>
      </c>
      <c r="BV30" s="74">
        <f t="shared" si="2"/>
        <v>1</v>
      </c>
      <c r="BW30" s="74">
        <f t="shared" si="3"/>
        <v>0.9</v>
      </c>
      <c r="BX30" s="74">
        <f t="shared" si="4"/>
        <v>0.9</v>
      </c>
      <c r="BY30" s="72">
        <f t="shared" si="23"/>
        <v>0.9</v>
      </c>
      <c r="CC30" s="75"/>
    </row>
    <row r="31" spans="1:84" ht="15" thickTop="1" x14ac:dyDescent="0.35">
      <c r="C31" s="4" t="s">
        <v>88</v>
      </c>
      <c r="D31" s="51">
        <f>SUM(D3:D30)</f>
        <v>74</v>
      </c>
      <c r="E31" s="51">
        <f t="shared" ref="E31:BP31" si="38">SUM(E3:E30)</f>
        <v>72</v>
      </c>
      <c r="F31" s="51">
        <f t="shared" si="38"/>
        <v>2</v>
      </c>
      <c r="G31" s="2">
        <f t="shared" si="38"/>
        <v>0</v>
      </c>
      <c r="H31" s="69">
        <f t="shared" si="38"/>
        <v>8</v>
      </c>
      <c r="I31" s="51">
        <f t="shared" si="38"/>
        <v>2</v>
      </c>
      <c r="J31" s="51">
        <f t="shared" si="38"/>
        <v>6</v>
      </c>
      <c r="K31" s="4">
        <f t="shared" si="38"/>
        <v>0</v>
      </c>
      <c r="L31" s="69">
        <f t="shared" si="38"/>
        <v>20</v>
      </c>
      <c r="M31" s="51">
        <f t="shared" si="38"/>
        <v>10</v>
      </c>
      <c r="N31" s="51">
        <f t="shared" si="38"/>
        <v>10</v>
      </c>
      <c r="O31" s="2">
        <f t="shared" si="38"/>
        <v>0</v>
      </c>
      <c r="P31" s="69">
        <f t="shared" si="38"/>
        <v>100</v>
      </c>
      <c r="Q31" s="51">
        <f t="shared" si="38"/>
        <v>100</v>
      </c>
      <c r="R31" s="51">
        <f t="shared" si="38"/>
        <v>0</v>
      </c>
      <c r="S31" s="2">
        <f t="shared" si="38"/>
        <v>12</v>
      </c>
      <c r="T31" s="69">
        <f t="shared" si="38"/>
        <v>14</v>
      </c>
      <c r="U31" s="51">
        <f t="shared" si="38"/>
        <v>10</v>
      </c>
      <c r="V31" s="51">
        <f t="shared" si="38"/>
        <v>4</v>
      </c>
      <c r="W31" s="2">
        <f t="shared" si="38"/>
        <v>5</v>
      </c>
      <c r="X31" s="69">
        <f t="shared" si="38"/>
        <v>34</v>
      </c>
      <c r="Y31" s="51">
        <f t="shared" si="38"/>
        <v>32</v>
      </c>
      <c r="Z31" s="51">
        <f t="shared" si="38"/>
        <v>2</v>
      </c>
      <c r="AA31" s="2">
        <f t="shared" si="38"/>
        <v>11</v>
      </c>
      <c r="AB31" s="69">
        <f t="shared" si="38"/>
        <v>16</v>
      </c>
      <c r="AC31" s="51">
        <f t="shared" si="38"/>
        <v>14</v>
      </c>
      <c r="AD31" s="51">
        <f t="shared" si="38"/>
        <v>2</v>
      </c>
      <c r="AE31" s="2">
        <f t="shared" si="38"/>
        <v>13</v>
      </c>
      <c r="AF31" s="69">
        <f t="shared" si="38"/>
        <v>36</v>
      </c>
      <c r="AG31" s="51">
        <f t="shared" si="38"/>
        <v>6</v>
      </c>
      <c r="AH31" s="51">
        <f t="shared" si="38"/>
        <v>30</v>
      </c>
      <c r="AI31" s="2">
        <f t="shared" si="38"/>
        <v>0</v>
      </c>
      <c r="AJ31" s="69">
        <f t="shared" si="38"/>
        <v>22</v>
      </c>
      <c r="AK31" s="51">
        <f t="shared" si="38"/>
        <v>22</v>
      </c>
      <c r="AL31" s="51">
        <f t="shared" si="38"/>
        <v>0</v>
      </c>
      <c r="AM31" s="4">
        <f t="shared" si="38"/>
        <v>3</v>
      </c>
      <c r="AN31" s="69">
        <f t="shared" si="38"/>
        <v>2</v>
      </c>
      <c r="AO31" s="51">
        <f t="shared" si="38"/>
        <v>2</v>
      </c>
      <c r="AP31" s="51">
        <f t="shared" si="38"/>
        <v>0</v>
      </c>
      <c r="AQ31" s="2">
        <f t="shared" si="38"/>
        <v>3</v>
      </c>
      <c r="AR31" s="69">
        <f t="shared" si="38"/>
        <v>8</v>
      </c>
      <c r="AS31" s="51">
        <f t="shared" si="38"/>
        <v>0</v>
      </c>
      <c r="AT31" s="51">
        <f t="shared" si="38"/>
        <v>8</v>
      </c>
      <c r="AU31" s="2">
        <f t="shared" si="38"/>
        <v>2</v>
      </c>
      <c r="AV31" s="69">
        <f t="shared" si="38"/>
        <v>4</v>
      </c>
      <c r="AW31" s="51">
        <f t="shared" si="38"/>
        <v>0</v>
      </c>
      <c r="AX31" s="51">
        <f t="shared" si="38"/>
        <v>4</v>
      </c>
      <c r="AY31" s="2">
        <f t="shared" si="38"/>
        <v>21</v>
      </c>
      <c r="AZ31" s="69">
        <f t="shared" si="38"/>
        <v>46</v>
      </c>
      <c r="BA31" s="51">
        <f t="shared" si="38"/>
        <v>40</v>
      </c>
      <c r="BB31" s="51">
        <f t="shared" si="38"/>
        <v>6</v>
      </c>
      <c r="BC31" s="2">
        <f t="shared" si="38"/>
        <v>12</v>
      </c>
      <c r="BD31" s="69">
        <f t="shared" si="38"/>
        <v>6</v>
      </c>
      <c r="BE31" s="51">
        <f t="shared" si="38"/>
        <v>0</v>
      </c>
      <c r="BF31" s="51">
        <f t="shared" si="38"/>
        <v>6</v>
      </c>
      <c r="BG31" s="2">
        <f t="shared" si="38"/>
        <v>0</v>
      </c>
      <c r="BH31" s="69">
        <f t="shared" si="38"/>
        <v>4</v>
      </c>
      <c r="BI31" s="51">
        <f t="shared" si="38"/>
        <v>0</v>
      </c>
      <c r="BJ31" s="51">
        <f t="shared" si="38"/>
        <v>4</v>
      </c>
      <c r="BK31" s="2">
        <f t="shared" si="38"/>
        <v>0</v>
      </c>
      <c r="BL31" s="69">
        <f t="shared" si="38"/>
        <v>12</v>
      </c>
      <c r="BM31" s="51">
        <f t="shared" si="38"/>
        <v>4</v>
      </c>
      <c r="BN31" s="51">
        <f t="shared" si="38"/>
        <v>8</v>
      </c>
      <c r="BO31" s="2">
        <f t="shared" si="38"/>
        <v>5</v>
      </c>
      <c r="BP31" s="69">
        <f t="shared" si="38"/>
        <v>10</v>
      </c>
      <c r="BQ31" s="51">
        <f t="shared" ref="BQ31:BS31" si="39">SUM(BQ3:BQ30)</f>
        <v>0</v>
      </c>
      <c r="BR31" s="51">
        <f t="shared" si="39"/>
        <v>10</v>
      </c>
      <c r="BS31" s="2">
        <f t="shared" si="39"/>
        <v>0</v>
      </c>
    </row>
    <row r="33" spans="3:71" x14ac:dyDescent="0.35">
      <c r="C33" s="76" t="s">
        <v>7</v>
      </c>
      <c r="D33" s="112">
        <f>IFERROR(E31/(E31+F31),"")</f>
        <v>0.97297297297297303</v>
      </c>
      <c r="E33" s="113"/>
      <c r="F33" s="113"/>
      <c r="G33" s="114"/>
      <c r="H33" s="112">
        <f t="shared" ref="H33" si="40">IFERROR(I31/(I31+J31),"")</f>
        <v>0.25</v>
      </c>
      <c r="I33" s="113"/>
      <c r="J33" s="113"/>
      <c r="K33" s="114"/>
      <c r="L33" s="112">
        <f t="shared" ref="L33" si="41">IFERROR(M31/(M31+N31),"")</f>
        <v>0.5</v>
      </c>
      <c r="M33" s="113"/>
      <c r="N33" s="113"/>
      <c r="O33" s="114"/>
      <c r="P33" s="112">
        <f t="shared" ref="P33" si="42">IFERROR(Q31/(Q31+R31),"")</f>
        <v>1</v>
      </c>
      <c r="Q33" s="113"/>
      <c r="R33" s="113"/>
      <c r="S33" s="114"/>
      <c r="T33" s="112">
        <f t="shared" ref="T33" si="43">IFERROR(U31/(U31+V31),"")</f>
        <v>0.7142857142857143</v>
      </c>
      <c r="U33" s="113"/>
      <c r="V33" s="113"/>
      <c r="W33" s="114"/>
      <c r="X33" s="112">
        <f t="shared" ref="X33" si="44">IFERROR(Y31/(Y31+Z31),"")</f>
        <v>0.94117647058823528</v>
      </c>
      <c r="Y33" s="113"/>
      <c r="Z33" s="113"/>
      <c r="AA33" s="114"/>
      <c r="AB33" s="112">
        <f t="shared" ref="AB33" si="45">IFERROR(AC31/(AC31+AD31),"")</f>
        <v>0.875</v>
      </c>
      <c r="AC33" s="113"/>
      <c r="AD33" s="113"/>
      <c r="AE33" s="114"/>
      <c r="AF33" s="112">
        <f t="shared" ref="AF33" si="46">IFERROR(AG31/(AG31+AH31),"")</f>
        <v>0.16666666666666666</v>
      </c>
      <c r="AG33" s="113"/>
      <c r="AH33" s="113"/>
      <c r="AI33" s="114"/>
      <c r="AJ33" s="112">
        <f t="shared" ref="AJ33" si="47">IFERROR(AK31/(AK31+AL31),"")</f>
        <v>1</v>
      </c>
      <c r="AK33" s="113"/>
      <c r="AL33" s="113"/>
      <c r="AM33" s="114"/>
      <c r="AN33" s="112">
        <f t="shared" ref="AN33" si="48">IFERROR(AO31/(AO31+AP31),"")</f>
        <v>1</v>
      </c>
      <c r="AO33" s="113"/>
      <c r="AP33" s="113"/>
      <c r="AQ33" s="114"/>
      <c r="AR33" s="112">
        <f t="shared" ref="AR33" si="49">IFERROR(AS31/(AS31+AT31),"")</f>
        <v>0</v>
      </c>
      <c r="AS33" s="113"/>
      <c r="AT33" s="113"/>
      <c r="AU33" s="114"/>
      <c r="AV33" s="112">
        <f t="shared" ref="AV33" si="50">IFERROR(AW31/(AW31+AX31),"")</f>
        <v>0</v>
      </c>
      <c r="AW33" s="113"/>
      <c r="AX33" s="113"/>
      <c r="AY33" s="114"/>
      <c r="AZ33" s="112">
        <f t="shared" ref="AZ33" si="51">IFERROR(BA31/(BA31+BB31),"")</f>
        <v>0.86956521739130432</v>
      </c>
      <c r="BA33" s="113"/>
      <c r="BB33" s="113"/>
      <c r="BC33" s="114"/>
      <c r="BD33" s="112">
        <f t="shared" ref="BD33" si="52">IFERROR(BE31/(BE31+BF31),"")</f>
        <v>0</v>
      </c>
      <c r="BE33" s="113"/>
      <c r="BF33" s="113"/>
      <c r="BG33" s="114"/>
      <c r="BH33" s="112">
        <f t="shared" ref="BH33" si="53">IFERROR(BI31/(BI31+BJ31),"")</f>
        <v>0</v>
      </c>
      <c r="BI33" s="113"/>
      <c r="BJ33" s="113"/>
      <c r="BK33" s="114"/>
      <c r="BL33" s="112">
        <f t="shared" ref="BL33" si="54">IFERROR(BM31/(BM31+BN31),"")</f>
        <v>0.33333333333333331</v>
      </c>
      <c r="BM33" s="113"/>
      <c r="BN33" s="113"/>
      <c r="BO33" s="114"/>
      <c r="BP33" s="112">
        <f t="shared" ref="BP33" si="55">IFERROR(BQ31/(BQ31+BR31),"")</f>
        <v>0</v>
      </c>
      <c r="BQ33" s="113"/>
      <c r="BR33" s="113"/>
      <c r="BS33" s="114"/>
    </row>
    <row r="34" spans="3:71" x14ac:dyDescent="0.35">
      <c r="C34" s="76" t="s">
        <v>117</v>
      </c>
      <c r="D34" s="112">
        <f>IFERROR(E31/(E31+G31),"")</f>
        <v>1</v>
      </c>
      <c r="E34" s="113"/>
      <c r="F34" s="113"/>
      <c r="G34" s="114"/>
      <c r="H34" s="112">
        <f t="shared" ref="H34" si="56">IFERROR(I31/(I31+K31),"")</f>
        <v>1</v>
      </c>
      <c r="I34" s="113"/>
      <c r="J34" s="113"/>
      <c r="K34" s="114"/>
      <c r="L34" s="112">
        <f t="shared" ref="L34" si="57">IFERROR(M31/(M31+O31),"")</f>
        <v>1</v>
      </c>
      <c r="M34" s="113"/>
      <c r="N34" s="113"/>
      <c r="O34" s="114"/>
      <c r="P34" s="112">
        <f t="shared" ref="P34" si="58">IFERROR(Q31/(Q31+S31),"")</f>
        <v>0.8928571428571429</v>
      </c>
      <c r="Q34" s="113"/>
      <c r="R34" s="113"/>
      <c r="S34" s="114"/>
      <c r="T34" s="112">
        <f t="shared" ref="T34" si="59">IFERROR(U31/(U31+W31),"")</f>
        <v>0.66666666666666663</v>
      </c>
      <c r="U34" s="113"/>
      <c r="V34" s="113"/>
      <c r="W34" s="114"/>
      <c r="X34" s="112">
        <f t="shared" ref="X34" si="60">IFERROR(Y31/(Y31+AA31),"")</f>
        <v>0.7441860465116279</v>
      </c>
      <c r="Y34" s="113"/>
      <c r="Z34" s="113"/>
      <c r="AA34" s="114"/>
      <c r="AB34" s="112">
        <f t="shared" ref="AB34" si="61">IFERROR(AC31/(AC31+AE31),"")</f>
        <v>0.51851851851851849</v>
      </c>
      <c r="AC34" s="113"/>
      <c r="AD34" s="113"/>
      <c r="AE34" s="114"/>
      <c r="AF34" s="112">
        <f t="shared" ref="AF34" si="62">IFERROR(AG31/(AG31+AI31),"")</f>
        <v>1</v>
      </c>
      <c r="AG34" s="113"/>
      <c r="AH34" s="113"/>
      <c r="AI34" s="114"/>
      <c r="AJ34" s="112">
        <f t="shared" ref="AJ34" si="63">IFERROR(AK31/(AK31+AM31),"")</f>
        <v>0.88</v>
      </c>
      <c r="AK34" s="113"/>
      <c r="AL34" s="113"/>
      <c r="AM34" s="114"/>
      <c r="AN34" s="112">
        <f t="shared" ref="AN34" si="64">IFERROR(AO31/(AO31+AQ31),"")</f>
        <v>0.4</v>
      </c>
      <c r="AO34" s="113"/>
      <c r="AP34" s="113"/>
      <c r="AQ34" s="114"/>
      <c r="AR34" s="112">
        <f t="shared" ref="AR34" si="65">IFERROR(AS31/(AS31+AU31),"")</f>
        <v>0</v>
      </c>
      <c r="AS34" s="113"/>
      <c r="AT34" s="113"/>
      <c r="AU34" s="114"/>
      <c r="AV34" s="112">
        <f t="shared" ref="AV34" si="66">IFERROR(AW31/(AW31+AY31),"")</f>
        <v>0</v>
      </c>
      <c r="AW34" s="113"/>
      <c r="AX34" s="113"/>
      <c r="AY34" s="114"/>
      <c r="AZ34" s="112">
        <f t="shared" ref="AZ34" si="67">IFERROR(BA31/(BA31+BC31),"")</f>
        <v>0.76923076923076927</v>
      </c>
      <c r="BA34" s="113"/>
      <c r="BB34" s="113"/>
      <c r="BC34" s="114"/>
      <c r="BD34" s="112" t="str">
        <f t="shared" ref="BD34" si="68">IFERROR(BE31/(BE31+BG31),"")</f>
        <v/>
      </c>
      <c r="BE34" s="113"/>
      <c r="BF34" s="113"/>
      <c r="BG34" s="114"/>
      <c r="BH34" s="112" t="str">
        <f t="shared" ref="BH34" si="69">IFERROR(BI31/(BI31+BK31),"")</f>
        <v/>
      </c>
      <c r="BI34" s="113"/>
      <c r="BJ34" s="113"/>
      <c r="BK34" s="114"/>
      <c r="BL34" s="112">
        <f t="shared" ref="BL34" si="70">IFERROR(BM31/(BM31+BO31),"")</f>
        <v>0.44444444444444442</v>
      </c>
      <c r="BM34" s="113"/>
      <c r="BN34" s="113"/>
      <c r="BO34" s="114"/>
      <c r="BP34" s="112" t="str">
        <f t="shared" ref="BP34" si="71">IFERROR(BQ31/(BQ31+BS31),"")</f>
        <v/>
      </c>
      <c r="BQ34" s="113"/>
      <c r="BR34" s="113"/>
      <c r="BS34" s="114"/>
    </row>
    <row r="35" spans="3:71" x14ac:dyDescent="0.35">
      <c r="C35" s="76" t="s">
        <v>8</v>
      </c>
      <c r="D35" s="112">
        <f>IFERROR(2*D33*D34/(D33+D34),IF(AND(D33=0,D34=0),0,""))</f>
        <v>0.98630136986301375</v>
      </c>
      <c r="E35" s="113"/>
      <c r="F35" s="113"/>
      <c r="G35" s="114"/>
      <c r="H35" s="112">
        <f t="shared" ref="H35" si="72">IFERROR(2*H33*H34/(H33+H34),IF(AND(H33=0,H34=0),0,""))</f>
        <v>0.4</v>
      </c>
      <c r="I35" s="113"/>
      <c r="J35" s="113"/>
      <c r="K35" s="114"/>
      <c r="L35" s="112">
        <f t="shared" ref="L35" si="73">IFERROR(2*L33*L34/(L33+L34),IF(AND(L33=0,L34=0),0,""))</f>
        <v>0.66666666666666663</v>
      </c>
      <c r="M35" s="113"/>
      <c r="N35" s="113"/>
      <c r="O35" s="114"/>
      <c r="P35" s="112">
        <f t="shared" ref="P35" si="74">IFERROR(2*P33*P34/(P33+P34),IF(AND(P33=0,P34=0),0,""))</f>
        <v>0.94339622641509446</v>
      </c>
      <c r="Q35" s="113"/>
      <c r="R35" s="113"/>
      <c r="S35" s="114"/>
      <c r="T35" s="112">
        <f t="shared" ref="T35" si="75">IFERROR(2*T33*T34/(T33+T34),IF(AND(T33=0,T34=0),0,""))</f>
        <v>0.68965517241379304</v>
      </c>
      <c r="U35" s="113"/>
      <c r="V35" s="113"/>
      <c r="W35" s="114"/>
      <c r="X35" s="112">
        <f t="shared" ref="X35" si="76">IFERROR(2*X33*X34/(X33+X34),IF(AND(X33=0,X34=0),0,""))</f>
        <v>0.83116883116883122</v>
      </c>
      <c r="Y35" s="113"/>
      <c r="Z35" s="113"/>
      <c r="AA35" s="114"/>
      <c r="AB35" s="112">
        <f t="shared" ref="AB35" si="77">IFERROR(2*AB33*AB34/(AB33+AB34),IF(AND(AB33=0,AB34=0),0,""))</f>
        <v>0.65116279069767435</v>
      </c>
      <c r="AC35" s="113"/>
      <c r="AD35" s="113"/>
      <c r="AE35" s="114"/>
      <c r="AF35" s="112">
        <f t="shared" ref="AF35" si="78">IFERROR(2*AF33*AF34/(AF33+AF34),IF(AND(AF33=0,AF34=0),0,""))</f>
        <v>0.2857142857142857</v>
      </c>
      <c r="AG35" s="113"/>
      <c r="AH35" s="113"/>
      <c r="AI35" s="114"/>
      <c r="AJ35" s="112">
        <f t="shared" ref="AJ35" si="79">IFERROR(2*AJ33*AJ34/(AJ33+AJ34),IF(AND(AJ33=0,AJ34=0),0,""))</f>
        <v>0.93617021276595747</v>
      </c>
      <c r="AK35" s="113"/>
      <c r="AL35" s="113"/>
      <c r="AM35" s="114"/>
      <c r="AN35" s="112">
        <f t="shared" ref="AN35" si="80">IFERROR(2*AN33*AN34/(AN33+AN34),IF(AND(AN33=0,AN34=0),0,""))</f>
        <v>0.57142857142857151</v>
      </c>
      <c r="AO35" s="113"/>
      <c r="AP35" s="113"/>
      <c r="AQ35" s="114"/>
      <c r="AR35" s="112">
        <f t="shared" ref="AR35" si="81">IFERROR(2*AR33*AR34/(AR33+AR34),IF(AND(AR33=0,AR34=0),0,""))</f>
        <v>0</v>
      </c>
      <c r="AS35" s="113"/>
      <c r="AT35" s="113"/>
      <c r="AU35" s="114"/>
      <c r="AV35" s="112">
        <f t="shared" ref="AV35" si="82">IFERROR(2*AV33*AV34/(AV33+AV34),IF(AND(AV33=0,AV34=0),0,""))</f>
        <v>0</v>
      </c>
      <c r="AW35" s="113"/>
      <c r="AX35" s="113"/>
      <c r="AY35" s="114"/>
      <c r="AZ35" s="112">
        <f t="shared" ref="AZ35" si="83">IFERROR(2*AZ33*AZ34/(AZ33+AZ34),IF(AND(AZ33=0,AZ34=0),0,""))</f>
        <v>0.81632653061224492</v>
      </c>
      <c r="BA35" s="113"/>
      <c r="BB35" s="113"/>
      <c r="BC35" s="114"/>
      <c r="BD35" s="112" t="str">
        <f t="shared" ref="BD35" si="84">IFERROR(2*BD33*BD34/(BD33+BD34),IF(AND(BD33=0,BD34=0),0,""))</f>
        <v/>
      </c>
      <c r="BE35" s="113"/>
      <c r="BF35" s="113"/>
      <c r="BG35" s="114"/>
      <c r="BH35" s="112" t="str">
        <f t="shared" ref="BH35" si="85">IFERROR(2*BH33*BH34/(BH33+BH34),IF(AND(BH33=0,BH34=0),0,""))</f>
        <v/>
      </c>
      <c r="BI35" s="113"/>
      <c r="BJ35" s="113"/>
      <c r="BK35" s="114"/>
      <c r="BL35" s="112">
        <f t="shared" ref="BL35" si="86">IFERROR(2*BL33*BL34/(BL33+BL34),IF(AND(BL33=0,BL34=0),0,""))</f>
        <v>0.38095238095238099</v>
      </c>
      <c r="BM35" s="113"/>
      <c r="BN35" s="113"/>
      <c r="BO35" s="114"/>
      <c r="BP35" s="112" t="str">
        <f t="shared" ref="BP35" si="87">IFERROR(2*BP33*BP34/(BP33+BP34),IF(AND(BP33=0,BP34=0),0,""))</f>
        <v/>
      </c>
      <c r="BQ35" s="113"/>
      <c r="BR35" s="113"/>
      <c r="BS35" s="114"/>
    </row>
  </sheetData>
  <mergeCells count="82">
    <mergeCell ref="BP35:BS35"/>
    <mergeCell ref="BD34:BG34"/>
    <mergeCell ref="BH34:BK34"/>
    <mergeCell ref="BL34:BO34"/>
    <mergeCell ref="BP34:BS34"/>
    <mergeCell ref="BL35:BO35"/>
    <mergeCell ref="P35:S35"/>
    <mergeCell ref="T35:W35"/>
    <mergeCell ref="X35:AA35"/>
    <mergeCell ref="BD35:BG35"/>
    <mergeCell ref="BH35:BK35"/>
    <mergeCell ref="AB35:AE35"/>
    <mergeCell ref="AF35:AI35"/>
    <mergeCell ref="AJ35:AM35"/>
    <mergeCell ref="AN35:AQ35"/>
    <mergeCell ref="AR35:AU35"/>
    <mergeCell ref="AV35:AY35"/>
    <mergeCell ref="AZ35:BC35"/>
    <mergeCell ref="BD33:BG33"/>
    <mergeCell ref="BH33:BK33"/>
    <mergeCell ref="BL33:BO33"/>
    <mergeCell ref="AV33:AY33"/>
    <mergeCell ref="AZ33:BC33"/>
    <mergeCell ref="BP33:BS33"/>
    <mergeCell ref="H34:K34"/>
    <mergeCell ref="L34:O34"/>
    <mergeCell ref="P34:S34"/>
    <mergeCell ref="T34:W34"/>
    <mergeCell ref="X34:AA34"/>
    <mergeCell ref="AB34:AE34"/>
    <mergeCell ref="AF34:AI34"/>
    <mergeCell ref="AJ34:AM34"/>
    <mergeCell ref="AN34:AQ34"/>
    <mergeCell ref="AR34:AU34"/>
    <mergeCell ref="AV34:AY34"/>
    <mergeCell ref="AZ34:BC34"/>
    <mergeCell ref="AJ33:AM33"/>
    <mergeCell ref="AN33:AQ33"/>
    <mergeCell ref="AR33:AU33"/>
    <mergeCell ref="P33:S33"/>
    <mergeCell ref="T33:W33"/>
    <mergeCell ref="X33:AA33"/>
    <mergeCell ref="AB33:AE33"/>
    <mergeCell ref="AF33:AI33"/>
    <mergeCell ref="D33:G33"/>
    <mergeCell ref="D34:G34"/>
    <mergeCell ref="D35:G35"/>
    <mergeCell ref="H33:K33"/>
    <mergeCell ref="L33:O33"/>
    <mergeCell ref="H35:K35"/>
    <mergeCell ref="L35:O35"/>
    <mergeCell ref="BX1:BX2"/>
    <mergeCell ref="BY1:BY2"/>
    <mergeCell ref="B3:B29"/>
    <mergeCell ref="BP1:BS1"/>
    <mergeCell ref="BT1:BT2"/>
    <mergeCell ref="BU1:BU2"/>
    <mergeCell ref="BV1:BV2"/>
    <mergeCell ref="BW1:BW2"/>
    <mergeCell ref="AN1:AQ1"/>
    <mergeCell ref="AR1:AU1"/>
    <mergeCell ref="AV1:AY1"/>
    <mergeCell ref="BD1:BG1"/>
    <mergeCell ref="BH1:BK1"/>
    <mergeCell ref="BL1:BO1"/>
    <mergeCell ref="AJ1:AM1"/>
    <mergeCell ref="CC1:CC2"/>
    <mergeCell ref="CD1:CD2"/>
    <mergeCell ref="CE1:CE2"/>
    <mergeCell ref="CF1:CF2"/>
    <mergeCell ref="A1:A2"/>
    <mergeCell ref="B1:B2"/>
    <mergeCell ref="C1:C2"/>
    <mergeCell ref="D1:G1"/>
    <mergeCell ref="H1:K1"/>
    <mergeCell ref="AF1:AI1"/>
    <mergeCell ref="L1:O1"/>
    <mergeCell ref="P1:S1"/>
    <mergeCell ref="T1:W1"/>
    <mergeCell ref="X1:AA1"/>
    <mergeCell ref="AB1:AE1"/>
    <mergeCell ref="AZ1:BC1"/>
  </mergeCells>
  <phoneticPr fontId="3" type="noConversion"/>
  <pageMargins left="0.7" right="0.7" top="0.75" bottom="0.75" header="0.3" footer="0.3"/>
  <pageSetup paperSize="8"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1A505-A742-4B66-9C01-20A0E938F787}">
  <dimension ref="A1:CF35"/>
  <sheetViews>
    <sheetView zoomScale="81" zoomScaleNormal="81" workbookViewId="0">
      <pane ySplit="2" topLeftCell="A9" activePane="bottomLeft" state="frozen"/>
      <selection activeCell="AW40" sqref="AW40"/>
      <selection pane="bottomLeft" activeCell="C34" sqref="C34"/>
    </sheetView>
  </sheetViews>
  <sheetFormatPr defaultRowHeight="14.5" x14ac:dyDescent="0.35"/>
  <cols>
    <col min="1" max="1" width="11.1796875" customWidth="1"/>
    <col min="2" max="2" width="35.26953125" customWidth="1"/>
    <col min="3" max="3" width="13.7265625"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7.7265625" customWidth="1"/>
    <col min="72" max="72" width="9" customWidth="1"/>
    <col min="76" max="76" width="10.453125" customWidth="1"/>
    <col min="81" max="81" width="12.90625" bestFit="1" customWidth="1"/>
    <col min="83" max="83" width="11.81640625" bestFit="1" customWidth="1"/>
  </cols>
  <sheetData>
    <row r="1" spans="1:84" ht="15" customHeight="1" thickTop="1" thickBot="1" x14ac:dyDescent="0.4">
      <c r="A1" s="92" t="s">
        <v>0</v>
      </c>
      <c r="B1" s="103" t="s">
        <v>1</v>
      </c>
      <c r="C1" s="96" t="s">
        <v>2</v>
      </c>
      <c r="D1" s="115" t="s">
        <v>3</v>
      </c>
      <c r="E1" s="101"/>
      <c r="F1" s="101"/>
      <c r="G1" s="102"/>
      <c r="H1" s="115" t="s">
        <v>71</v>
      </c>
      <c r="I1" s="101"/>
      <c r="J1" s="101"/>
      <c r="K1" s="102"/>
      <c r="L1" s="115" t="s">
        <v>72</v>
      </c>
      <c r="M1" s="101"/>
      <c r="N1" s="101"/>
      <c r="O1" s="102"/>
      <c r="P1" s="115" t="s">
        <v>73</v>
      </c>
      <c r="Q1" s="101"/>
      <c r="R1" s="101"/>
      <c r="S1" s="102"/>
      <c r="T1" s="115" t="s">
        <v>74</v>
      </c>
      <c r="U1" s="101"/>
      <c r="V1" s="101"/>
      <c r="W1" s="102"/>
      <c r="X1" s="115" t="s">
        <v>75</v>
      </c>
      <c r="Y1" s="101"/>
      <c r="Z1" s="101"/>
      <c r="AA1" s="102"/>
      <c r="AB1" s="115" t="s">
        <v>76</v>
      </c>
      <c r="AC1" s="101"/>
      <c r="AD1" s="101"/>
      <c r="AE1" s="102"/>
      <c r="AF1" s="115" t="s">
        <v>77</v>
      </c>
      <c r="AG1" s="101"/>
      <c r="AH1" s="101"/>
      <c r="AI1" s="102"/>
      <c r="AJ1" s="115" t="s">
        <v>78</v>
      </c>
      <c r="AK1" s="101"/>
      <c r="AL1" s="101"/>
      <c r="AM1" s="102"/>
      <c r="AN1" s="115" t="s">
        <v>79</v>
      </c>
      <c r="AO1" s="101"/>
      <c r="AP1" s="101"/>
      <c r="AQ1" s="102"/>
      <c r="AR1" s="115" t="s">
        <v>80</v>
      </c>
      <c r="AS1" s="101"/>
      <c r="AT1" s="101"/>
      <c r="AU1" s="102"/>
      <c r="AV1" s="115" t="s">
        <v>81</v>
      </c>
      <c r="AW1" s="101"/>
      <c r="AX1" s="101"/>
      <c r="AY1" s="116"/>
      <c r="AZ1" s="104" t="s">
        <v>82</v>
      </c>
      <c r="BA1" s="101"/>
      <c r="BB1" s="101"/>
      <c r="BC1" s="102"/>
      <c r="BD1" s="115" t="s">
        <v>83</v>
      </c>
      <c r="BE1" s="101"/>
      <c r="BF1" s="101"/>
      <c r="BG1" s="102"/>
      <c r="BH1" s="115" t="s">
        <v>84</v>
      </c>
      <c r="BI1" s="101"/>
      <c r="BJ1" s="101"/>
      <c r="BK1" s="102"/>
      <c r="BL1" s="115" t="s">
        <v>85</v>
      </c>
      <c r="BM1" s="101"/>
      <c r="BN1" s="101"/>
      <c r="BO1" s="102"/>
      <c r="BP1" s="115" t="s">
        <v>86</v>
      </c>
      <c r="BQ1" s="101"/>
      <c r="BR1" s="101"/>
      <c r="BS1" s="102"/>
      <c r="BT1" s="109" t="s">
        <v>4</v>
      </c>
      <c r="BU1" s="103" t="s">
        <v>5</v>
      </c>
      <c r="BV1" s="103" t="s">
        <v>6</v>
      </c>
      <c r="BW1" s="103" t="s">
        <v>7</v>
      </c>
      <c r="BX1" s="103" t="s">
        <v>117</v>
      </c>
      <c r="BY1" s="96" t="s">
        <v>8</v>
      </c>
      <c r="CC1" s="91" t="s">
        <v>2</v>
      </c>
      <c r="CD1" s="91" t="str">
        <f>BW1</f>
        <v>Recall</v>
      </c>
      <c r="CE1" s="91" t="str">
        <f>BX1</f>
        <v>Precision</v>
      </c>
      <c r="CF1" s="91" t="str">
        <f>BY1</f>
        <v>F1</v>
      </c>
    </row>
    <row r="2" spans="1:84" ht="15.5" thickTop="1" thickBot="1" x14ac:dyDescent="0.4">
      <c r="A2" s="93"/>
      <c r="B2" s="117"/>
      <c r="C2" s="106"/>
      <c r="D2" s="5" t="s">
        <v>9</v>
      </c>
      <c r="E2" s="1" t="s">
        <v>4</v>
      </c>
      <c r="F2" s="1" t="s">
        <v>5</v>
      </c>
      <c r="G2" s="2" t="s">
        <v>6</v>
      </c>
      <c r="H2" s="1" t="s">
        <v>9</v>
      </c>
      <c r="I2" s="3" t="s">
        <v>4</v>
      </c>
      <c r="J2" s="3" t="s">
        <v>5</v>
      </c>
      <c r="K2" s="2" t="s">
        <v>6</v>
      </c>
      <c r="L2" s="1" t="s">
        <v>9</v>
      </c>
      <c r="M2" s="3" t="s">
        <v>4</v>
      </c>
      <c r="N2" s="3" t="s">
        <v>5</v>
      </c>
      <c r="O2" s="2" t="s">
        <v>6</v>
      </c>
      <c r="P2" s="1" t="s">
        <v>9</v>
      </c>
      <c r="Q2" s="3" t="s">
        <v>4</v>
      </c>
      <c r="R2" s="3" t="s">
        <v>5</v>
      </c>
      <c r="S2" s="2" t="s">
        <v>6</v>
      </c>
      <c r="T2" s="1" t="s">
        <v>9</v>
      </c>
      <c r="U2" s="3" t="s">
        <v>4</v>
      </c>
      <c r="V2" s="3" t="s">
        <v>5</v>
      </c>
      <c r="W2" s="2" t="s">
        <v>6</v>
      </c>
      <c r="X2" s="1" t="s">
        <v>9</v>
      </c>
      <c r="Y2" s="3" t="s">
        <v>4</v>
      </c>
      <c r="Z2" s="3" t="s">
        <v>5</v>
      </c>
      <c r="AA2" s="2" t="s">
        <v>6</v>
      </c>
      <c r="AB2" s="1" t="s">
        <v>9</v>
      </c>
      <c r="AC2" s="3" t="s">
        <v>4</v>
      </c>
      <c r="AD2" s="3" t="s">
        <v>5</v>
      </c>
      <c r="AE2" s="2" t="s">
        <v>6</v>
      </c>
      <c r="AF2" s="1" t="s">
        <v>9</v>
      </c>
      <c r="AG2" s="3" t="s">
        <v>4</v>
      </c>
      <c r="AH2" s="3" t="s">
        <v>5</v>
      </c>
      <c r="AI2" s="2" t="s">
        <v>6</v>
      </c>
      <c r="AJ2" s="1" t="s">
        <v>9</v>
      </c>
      <c r="AK2" s="3" t="s">
        <v>4</v>
      </c>
      <c r="AL2" s="3" t="s">
        <v>5</v>
      </c>
      <c r="AM2" s="2" t="s">
        <v>6</v>
      </c>
      <c r="AN2" s="1" t="s">
        <v>9</v>
      </c>
      <c r="AO2" s="3" t="s">
        <v>4</v>
      </c>
      <c r="AP2" s="3" t="s">
        <v>5</v>
      </c>
      <c r="AQ2" s="2" t="s">
        <v>6</v>
      </c>
      <c r="AR2" s="1" t="s">
        <v>9</v>
      </c>
      <c r="AS2" s="3" t="s">
        <v>4</v>
      </c>
      <c r="AT2" s="3" t="s">
        <v>5</v>
      </c>
      <c r="AU2" s="2" t="s">
        <v>6</v>
      </c>
      <c r="AV2" s="1" t="s">
        <v>9</v>
      </c>
      <c r="AW2" s="3" t="s">
        <v>4</v>
      </c>
      <c r="AX2" s="3" t="s">
        <v>5</v>
      </c>
      <c r="AY2" s="68" t="s">
        <v>6</v>
      </c>
      <c r="AZ2" s="66" t="s">
        <v>9</v>
      </c>
      <c r="BA2" s="67" t="s">
        <v>4</v>
      </c>
      <c r="BB2" s="67" t="s">
        <v>5</v>
      </c>
      <c r="BC2" s="68" t="s">
        <v>6</v>
      </c>
      <c r="BD2" s="5" t="s">
        <v>9</v>
      </c>
      <c r="BE2" s="3" t="s">
        <v>4</v>
      </c>
      <c r="BF2" s="3" t="s">
        <v>5</v>
      </c>
      <c r="BG2" s="2" t="s">
        <v>6</v>
      </c>
      <c r="BH2" s="1" t="s">
        <v>9</v>
      </c>
      <c r="BI2" s="3" t="s">
        <v>4</v>
      </c>
      <c r="BJ2" s="3" t="s">
        <v>5</v>
      </c>
      <c r="BK2" s="2" t="s">
        <v>6</v>
      </c>
      <c r="BL2" s="1" t="s">
        <v>9</v>
      </c>
      <c r="BM2" s="3" t="s">
        <v>4</v>
      </c>
      <c r="BN2" s="3" t="s">
        <v>5</v>
      </c>
      <c r="BO2" s="2" t="s">
        <v>6</v>
      </c>
      <c r="BP2" s="1" t="s">
        <v>9</v>
      </c>
      <c r="BQ2" s="3" t="s">
        <v>4</v>
      </c>
      <c r="BR2" s="3" t="s">
        <v>5</v>
      </c>
      <c r="BS2" s="2" t="s">
        <v>6</v>
      </c>
      <c r="BT2" s="110"/>
      <c r="BU2" s="105"/>
      <c r="BV2" s="105"/>
      <c r="BW2" s="105"/>
      <c r="BX2" s="105"/>
      <c r="BY2" s="106"/>
      <c r="CC2" s="91"/>
      <c r="CD2" s="91"/>
      <c r="CE2" s="91"/>
      <c r="CF2" s="91"/>
    </row>
    <row r="3" spans="1:84" ht="15" customHeight="1" thickTop="1" x14ac:dyDescent="0.35">
      <c r="A3" s="52" t="s">
        <v>10</v>
      </c>
      <c r="B3" s="107" t="s">
        <v>43</v>
      </c>
      <c r="C3" s="6" t="s">
        <v>11</v>
      </c>
      <c r="D3" s="7">
        <v>2</v>
      </c>
      <c r="E3" s="8">
        <v>2</v>
      </c>
      <c r="F3" s="8">
        <f>D3-E3</f>
        <v>0</v>
      </c>
      <c r="G3" s="6">
        <v>0</v>
      </c>
      <c r="H3" s="9">
        <v>0</v>
      </c>
      <c r="I3" s="8">
        <v>0</v>
      </c>
      <c r="J3" s="8">
        <f>H3-I3</f>
        <v>0</v>
      </c>
      <c r="K3" s="6">
        <v>0</v>
      </c>
      <c r="L3" s="9">
        <v>0</v>
      </c>
      <c r="M3" s="8">
        <v>0</v>
      </c>
      <c r="N3" s="8">
        <f>L3-M3</f>
        <v>0</v>
      </c>
      <c r="O3" s="6">
        <v>0</v>
      </c>
      <c r="P3" s="9">
        <v>2</v>
      </c>
      <c r="Q3" s="8">
        <v>2</v>
      </c>
      <c r="R3" s="8">
        <f>P3-Q3</f>
        <v>0</v>
      </c>
      <c r="S3" s="6">
        <v>0</v>
      </c>
      <c r="T3" s="9">
        <v>2</v>
      </c>
      <c r="U3" s="8">
        <v>2</v>
      </c>
      <c r="V3" s="8">
        <f>T3-U3</f>
        <v>0</v>
      </c>
      <c r="W3" s="6">
        <v>0</v>
      </c>
      <c r="X3" s="9">
        <v>3</v>
      </c>
      <c r="Y3" s="8">
        <v>3</v>
      </c>
      <c r="Z3" s="8">
        <f>X3-Y3</f>
        <v>0</v>
      </c>
      <c r="AA3" s="6">
        <v>0</v>
      </c>
      <c r="AB3" s="9">
        <v>2</v>
      </c>
      <c r="AC3" s="8">
        <v>2</v>
      </c>
      <c r="AD3" s="8">
        <f>AB3-AC3</f>
        <v>0</v>
      </c>
      <c r="AE3" s="6">
        <v>0</v>
      </c>
      <c r="AF3" s="9">
        <v>3</v>
      </c>
      <c r="AG3" s="8">
        <v>0</v>
      </c>
      <c r="AH3" s="8">
        <f>AF3-AG3</f>
        <v>3</v>
      </c>
      <c r="AI3" s="6">
        <v>0</v>
      </c>
      <c r="AJ3" s="9">
        <v>1</v>
      </c>
      <c r="AK3" s="8">
        <v>1</v>
      </c>
      <c r="AL3" s="8">
        <f>AJ3-AK3</f>
        <v>0</v>
      </c>
      <c r="AM3" s="6">
        <v>0</v>
      </c>
      <c r="AN3" s="9">
        <v>0</v>
      </c>
      <c r="AO3" s="8">
        <v>0</v>
      </c>
      <c r="AP3" s="8">
        <f>AN3-AO3</f>
        <v>0</v>
      </c>
      <c r="AQ3" s="6">
        <v>0</v>
      </c>
      <c r="AR3" s="9">
        <v>0</v>
      </c>
      <c r="AS3" s="8">
        <v>0</v>
      </c>
      <c r="AT3" s="8">
        <f>AR3-AS3</f>
        <v>0</v>
      </c>
      <c r="AU3" s="6">
        <v>0</v>
      </c>
      <c r="AV3" s="9">
        <v>0</v>
      </c>
      <c r="AW3" s="8">
        <v>0</v>
      </c>
      <c r="AX3" s="8">
        <f>AV3-AW3</f>
        <v>0</v>
      </c>
      <c r="AY3" s="6">
        <v>0</v>
      </c>
      <c r="AZ3" s="7">
        <v>1</v>
      </c>
      <c r="BA3" s="10">
        <v>1</v>
      </c>
      <c r="BB3" s="10">
        <f>AZ3-BA3</f>
        <v>0</v>
      </c>
      <c r="BC3" s="70">
        <v>0</v>
      </c>
      <c r="BD3" s="7">
        <v>1</v>
      </c>
      <c r="BE3" s="8">
        <v>0</v>
      </c>
      <c r="BF3" s="8">
        <f>BD3-BE3</f>
        <v>1</v>
      </c>
      <c r="BG3" s="6">
        <v>0</v>
      </c>
      <c r="BH3" s="9">
        <v>0</v>
      </c>
      <c r="BI3" s="8">
        <v>0</v>
      </c>
      <c r="BJ3" s="8">
        <f>BH3-BI3</f>
        <v>0</v>
      </c>
      <c r="BK3" s="6">
        <v>0</v>
      </c>
      <c r="BL3" s="9">
        <v>0</v>
      </c>
      <c r="BM3" s="8">
        <v>0</v>
      </c>
      <c r="BN3" s="8">
        <f>BL3-BM3</f>
        <v>0</v>
      </c>
      <c r="BO3" s="6">
        <v>0</v>
      </c>
      <c r="BP3" s="9">
        <v>0</v>
      </c>
      <c r="BQ3" s="8">
        <v>0</v>
      </c>
      <c r="BR3" s="8">
        <f>BP3-BQ3</f>
        <v>0</v>
      </c>
      <c r="BS3" s="6">
        <v>0</v>
      </c>
      <c r="BT3" s="9">
        <f>SUM(E3,I3,M3,Q3,U3,Y3,AC3,AG3,AK3,AO3,AS3,AW3,BE3,BI3,BM3,BQ3,BA3)</f>
        <v>13</v>
      </c>
      <c r="BU3" s="8">
        <f>SUM(BR3,BN3,BJ3,BF3,AX3,AT3,AP3,AL3,AH3,AD3,Z3,V3,R3,N3,J3,F3,BB3)</f>
        <v>4</v>
      </c>
      <c r="BV3" s="10">
        <f>SUM(BS3,BO3,BK3,BG3,AY3,AU3,AQ3,AM3,AI3,AE3,AA3,W3,S3,O3,K3,G3, BC3)</f>
        <v>0</v>
      </c>
      <c r="BW3" s="8">
        <f>BT3/(BT3+BU3)</f>
        <v>0.76470588235294112</v>
      </c>
      <c r="BX3" s="8">
        <f>BT3/(BT3+BV3)</f>
        <v>1</v>
      </c>
      <c r="BY3" s="6">
        <f>2*(BX3*BW3)/(BX3+BW3)</f>
        <v>0.86666666666666659</v>
      </c>
      <c r="CC3" s="75" t="s">
        <v>54</v>
      </c>
      <c r="CD3">
        <f>AVERAGE(BW3:BW4)</f>
        <v>0.67647058823529416</v>
      </c>
      <c r="CE3">
        <f>AVERAGE(BX3:BX4)</f>
        <v>0.95454545454545459</v>
      </c>
      <c r="CF3">
        <f t="shared" ref="CF3" si="0">AVERAGE(BY3:BY4)</f>
        <v>0.79047619047619044</v>
      </c>
    </row>
    <row r="4" spans="1:84" x14ac:dyDescent="0.35">
      <c r="A4" s="52" t="s">
        <v>10</v>
      </c>
      <c r="B4" s="108"/>
      <c r="C4" s="70" t="s">
        <v>12</v>
      </c>
      <c r="D4" s="7">
        <v>2</v>
      </c>
      <c r="E4" s="10">
        <v>2</v>
      </c>
      <c r="F4" s="10">
        <f t="shared" ref="F4:F30" si="1">D4-E4</f>
        <v>0</v>
      </c>
      <c r="G4" s="70">
        <v>0</v>
      </c>
      <c r="H4" s="7">
        <v>0</v>
      </c>
      <c r="I4" s="10">
        <v>0</v>
      </c>
      <c r="J4" s="10">
        <f t="shared" ref="J4:J30" si="2">H4-I4</f>
        <v>0</v>
      </c>
      <c r="K4" s="70">
        <v>0</v>
      </c>
      <c r="L4" s="7">
        <v>0</v>
      </c>
      <c r="M4" s="10">
        <v>0</v>
      </c>
      <c r="N4" s="10">
        <f t="shared" ref="N4:N30" si="3">L4-M4</f>
        <v>0</v>
      </c>
      <c r="O4" s="70">
        <v>0</v>
      </c>
      <c r="P4" s="7">
        <v>2</v>
      </c>
      <c r="Q4" s="10">
        <v>2</v>
      </c>
      <c r="R4" s="10">
        <f t="shared" ref="R4:R30" si="4">P4-Q4</f>
        <v>0</v>
      </c>
      <c r="S4" s="70">
        <v>0</v>
      </c>
      <c r="T4" s="7">
        <v>2</v>
      </c>
      <c r="U4" s="10">
        <v>0</v>
      </c>
      <c r="V4" s="10">
        <f t="shared" ref="V4:V30" si="5">T4-U4</f>
        <v>2</v>
      </c>
      <c r="W4" s="70">
        <v>0</v>
      </c>
      <c r="X4" s="7">
        <v>3</v>
      </c>
      <c r="Y4" s="10">
        <v>3</v>
      </c>
      <c r="Z4" s="10">
        <f t="shared" ref="Z4:Z30" si="6">X4-Y4</f>
        <v>0</v>
      </c>
      <c r="AA4" s="70">
        <v>0</v>
      </c>
      <c r="AB4" s="7">
        <v>2</v>
      </c>
      <c r="AC4" s="10">
        <v>2</v>
      </c>
      <c r="AD4" s="10">
        <f t="shared" ref="AD4:AD29" si="7">AB4-AC4</f>
        <v>0</v>
      </c>
      <c r="AE4" s="70">
        <v>0</v>
      </c>
      <c r="AF4" s="7">
        <v>3</v>
      </c>
      <c r="AG4" s="10">
        <v>0</v>
      </c>
      <c r="AH4" s="10">
        <f t="shared" ref="AH4:AH30" si="8">AF4-AG4</f>
        <v>3</v>
      </c>
      <c r="AI4" s="70">
        <v>0</v>
      </c>
      <c r="AJ4" s="7">
        <v>1</v>
      </c>
      <c r="AK4" s="10">
        <v>1</v>
      </c>
      <c r="AL4" s="10">
        <f t="shared" ref="AL4:AL30" si="9">AJ4-AK4</f>
        <v>0</v>
      </c>
      <c r="AM4" s="70">
        <v>0</v>
      </c>
      <c r="AN4" s="7">
        <v>0</v>
      </c>
      <c r="AO4" s="10">
        <v>0</v>
      </c>
      <c r="AP4" s="10">
        <f t="shared" ref="AP4:AP30" si="10">AN4-AO4</f>
        <v>0</v>
      </c>
      <c r="AQ4" s="70">
        <v>0</v>
      </c>
      <c r="AR4" s="7">
        <v>0</v>
      </c>
      <c r="AS4" s="10">
        <v>0</v>
      </c>
      <c r="AT4" s="10">
        <f t="shared" ref="AT4:AT30" si="11">AR4-AS4</f>
        <v>0</v>
      </c>
      <c r="AU4" s="70">
        <v>0</v>
      </c>
      <c r="AV4" s="7">
        <v>0</v>
      </c>
      <c r="AW4" s="10">
        <v>0</v>
      </c>
      <c r="AX4" s="10">
        <f t="shared" ref="AX4:AX30" si="12">AV4-AW4</f>
        <v>0</v>
      </c>
      <c r="AY4" s="70">
        <v>0</v>
      </c>
      <c r="AZ4" s="7">
        <v>1</v>
      </c>
      <c r="BA4" s="10">
        <v>0</v>
      </c>
      <c r="BB4" s="10">
        <f t="shared" ref="BB4:BB30" si="13">AZ4-BA4</f>
        <v>1</v>
      </c>
      <c r="BC4" s="70">
        <v>1</v>
      </c>
      <c r="BD4" s="7">
        <v>1</v>
      </c>
      <c r="BE4" s="10">
        <v>0</v>
      </c>
      <c r="BF4" s="10">
        <f t="shared" ref="BF4:BF30" si="14">BD4-BE4</f>
        <v>1</v>
      </c>
      <c r="BG4" s="70">
        <v>0</v>
      </c>
      <c r="BH4" s="7">
        <v>0</v>
      </c>
      <c r="BI4" s="10">
        <v>0</v>
      </c>
      <c r="BJ4" s="10">
        <f t="shared" ref="BJ4:BJ30" si="15">BH4-BI4</f>
        <v>0</v>
      </c>
      <c r="BK4" s="70">
        <v>0</v>
      </c>
      <c r="BL4" s="7">
        <v>0</v>
      </c>
      <c r="BM4" s="10">
        <v>0</v>
      </c>
      <c r="BN4" s="10">
        <f t="shared" ref="BN4:BN30" si="16">BL4-BM4</f>
        <v>0</v>
      </c>
      <c r="BO4" s="70">
        <v>0</v>
      </c>
      <c r="BP4" s="7">
        <v>0</v>
      </c>
      <c r="BQ4" s="10">
        <v>0</v>
      </c>
      <c r="BR4" s="10">
        <f t="shared" ref="BR4:BR30" si="17">BP4-BQ4</f>
        <v>0</v>
      </c>
      <c r="BS4" s="70">
        <v>0</v>
      </c>
      <c r="BT4" s="7">
        <f t="shared" ref="BT4:BT30" si="18">SUM(E4,I4,M4,Q4,U4,Y4,AC4,AG4,AK4,AO4,AS4,AW4,BE4,BI4,BM4,BQ4,BA4)</f>
        <v>10</v>
      </c>
      <c r="BU4" s="10">
        <f t="shared" ref="BU4:BU30" si="19">SUM(BR4,BN4,BJ4,BF4,AX4,AT4,AP4,AL4,AH4,AD4,Z4,V4,R4,N4,J4,F4,BB4)</f>
        <v>7</v>
      </c>
      <c r="BV4" s="10">
        <f t="shared" ref="BV4:BV30" si="20">SUM(BS4,BO4,BK4,BG4,AY4,AU4,AQ4,AM4,AI4,AE4,AA4,W4,S4,O4,K4,G4, BC4)</f>
        <v>1</v>
      </c>
      <c r="BW4" s="10">
        <f t="shared" ref="BW4:BW30" si="21">BT4/(BT4+BU4)</f>
        <v>0.58823529411764708</v>
      </c>
      <c r="BX4" s="10">
        <f t="shared" ref="BX4:BX30" si="22">BT4/(BT4+BV4)</f>
        <v>0.90909090909090906</v>
      </c>
      <c r="BY4" s="70">
        <f t="shared" ref="BY4:BY30" si="23">2*(BX4*BW4)/(BX4+BW4)</f>
        <v>0.7142857142857143</v>
      </c>
      <c r="CC4" s="75" t="s">
        <v>55</v>
      </c>
      <c r="CD4">
        <f>AVERAGE(BW5:BW6)</f>
        <v>1</v>
      </c>
      <c r="CE4">
        <f t="shared" ref="CE4" si="24">AVERAGE(BX5:BX6)</f>
        <v>0.94117647058823528</v>
      </c>
      <c r="CF4">
        <f>AVERAGE(BY5:BY6)</f>
        <v>0.96875</v>
      </c>
    </row>
    <row r="5" spans="1:84" x14ac:dyDescent="0.35">
      <c r="A5" s="53" t="s">
        <v>10</v>
      </c>
      <c r="B5" s="108"/>
      <c r="C5" s="11" t="s">
        <v>13</v>
      </c>
      <c r="D5" s="12">
        <v>4</v>
      </c>
      <c r="E5" s="13">
        <v>4</v>
      </c>
      <c r="F5" s="13">
        <f t="shared" si="1"/>
        <v>0</v>
      </c>
      <c r="G5" s="11">
        <v>0</v>
      </c>
      <c r="H5" s="12">
        <v>0</v>
      </c>
      <c r="I5" s="13">
        <v>0</v>
      </c>
      <c r="J5" s="13">
        <f t="shared" si="2"/>
        <v>0</v>
      </c>
      <c r="K5" s="11">
        <v>0</v>
      </c>
      <c r="L5" s="12">
        <v>0</v>
      </c>
      <c r="M5" s="13">
        <v>0</v>
      </c>
      <c r="N5" s="13">
        <f t="shared" si="3"/>
        <v>0</v>
      </c>
      <c r="O5" s="11">
        <v>0</v>
      </c>
      <c r="P5" s="12">
        <v>4</v>
      </c>
      <c r="Q5" s="13">
        <v>4</v>
      </c>
      <c r="R5" s="13">
        <f t="shared" si="4"/>
        <v>0</v>
      </c>
      <c r="S5" s="11">
        <v>0</v>
      </c>
      <c r="T5" s="12">
        <v>0</v>
      </c>
      <c r="U5" s="13">
        <v>0</v>
      </c>
      <c r="V5" s="13">
        <f t="shared" si="5"/>
        <v>0</v>
      </c>
      <c r="W5" s="11">
        <v>0</v>
      </c>
      <c r="X5" s="12">
        <v>1</v>
      </c>
      <c r="Y5" s="13">
        <v>1</v>
      </c>
      <c r="Z5" s="13">
        <f t="shared" si="6"/>
        <v>0</v>
      </c>
      <c r="AA5" s="11">
        <v>0</v>
      </c>
      <c r="AB5" s="12">
        <v>0</v>
      </c>
      <c r="AC5" s="13">
        <v>0</v>
      </c>
      <c r="AD5" s="13">
        <f t="shared" si="7"/>
        <v>0</v>
      </c>
      <c r="AE5" s="11">
        <v>2</v>
      </c>
      <c r="AF5" s="12">
        <v>0</v>
      </c>
      <c r="AG5" s="13">
        <v>0</v>
      </c>
      <c r="AH5" s="13">
        <f t="shared" si="8"/>
        <v>0</v>
      </c>
      <c r="AI5" s="11">
        <v>0</v>
      </c>
      <c r="AJ5" s="12">
        <v>3</v>
      </c>
      <c r="AK5" s="13">
        <v>3</v>
      </c>
      <c r="AL5" s="13">
        <f t="shared" si="9"/>
        <v>0</v>
      </c>
      <c r="AM5" s="11">
        <v>0</v>
      </c>
      <c r="AN5" s="12">
        <v>0</v>
      </c>
      <c r="AO5" s="13">
        <v>0</v>
      </c>
      <c r="AP5" s="13">
        <f t="shared" si="10"/>
        <v>0</v>
      </c>
      <c r="AQ5" s="11">
        <v>0</v>
      </c>
      <c r="AR5" s="12">
        <v>0</v>
      </c>
      <c r="AS5" s="13">
        <v>0</v>
      </c>
      <c r="AT5" s="13">
        <f t="shared" si="11"/>
        <v>0</v>
      </c>
      <c r="AU5" s="11">
        <v>0</v>
      </c>
      <c r="AV5" s="12">
        <v>0</v>
      </c>
      <c r="AW5" s="13">
        <v>0</v>
      </c>
      <c r="AX5" s="13">
        <f t="shared" si="12"/>
        <v>0</v>
      </c>
      <c r="AY5" s="11">
        <v>0</v>
      </c>
      <c r="AZ5" s="12">
        <v>3</v>
      </c>
      <c r="BA5" s="13">
        <v>3</v>
      </c>
      <c r="BB5" s="13">
        <f t="shared" si="13"/>
        <v>0</v>
      </c>
      <c r="BC5" s="11">
        <v>0</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0</v>
      </c>
      <c r="BT5" s="12">
        <f t="shared" si="18"/>
        <v>15</v>
      </c>
      <c r="BU5" s="13">
        <f t="shared" si="19"/>
        <v>0</v>
      </c>
      <c r="BV5" s="13">
        <f t="shared" si="20"/>
        <v>2</v>
      </c>
      <c r="BW5" s="13">
        <f t="shared" si="21"/>
        <v>1</v>
      </c>
      <c r="BX5" s="13">
        <f t="shared" si="22"/>
        <v>0.88235294117647056</v>
      </c>
      <c r="BY5" s="11">
        <f t="shared" si="23"/>
        <v>0.9375</v>
      </c>
      <c r="CC5" s="75" t="s">
        <v>56</v>
      </c>
      <c r="CD5">
        <f>AVERAGE(BW7:BW8)</f>
        <v>1</v>
      </c>
      <c r="CE5">
        <f t="shared" ref="CE5:CF5" si="25">AVERAGE(BX7:BX8)</f>
        <v>0.98076923076923084</v>
      </c>
      <c r="CF5">
        <f t="shared" si="25"/>
        <v>0.99019607843137258</v>
      </c>
    </row>
    <row r="6" spans="1:84" x14ac:dyDescent="0.35">
      <c r="A6" s="53" t="s">
        <v>10</v>
      </c>
      <c r="B6" s="108"/>
      <c r="C6" s="11" t="s">
        <v>14</v>
      </c>
      <c r="D6" s="12">
        <v>4</v>
      </c>
      <c r="E6" s="13">
        <v>4</v>
      </c>
      <c r="F6" s="13">
        <f t="shared" si="1"/>
        <v>0</v>
      </c>
      <c r="G6" s="11">
        <v>0</v>
      </c>
      <c r="H6" s="12">
        <v>0</v>
      </c>
      <c r="I6" s="13">
        <v>0</v>
      </c>
      <c r="J6" s="13">
        <f t="shared" si="2"/>
        <v>0</v>
      </c>
      <c r="K6" s="11">
        <v>0</v>
      </c>
      <c r="L6" s="12">
        <v>0</v>
      </c>
      <c r="M6" s="13">
        <v>0</v>
      </c>
      <c r="N6" s="13">
        <f t="shared" si="3"/>
        <v>0</v>
      </c>
      <c r="O6" s="11">
        <v>0</v>
      </c>
      <c r="P6" s="12">
        <v>4</v>
      </c>
      <c r="Q6" s="13">
        <v>4</v>
      </c>
      <c r="R6" s="13">
        <f t="shared" si="4"/>
        <v>0</v>
      </c>
      <c r="S6" s="11">
        <v>0</v>
      </c>
      <c r="T6" s="12">
        <v>0</v>
      </c>
      <c r="U6" s="13">
        <v>0</v>
      </c>
      <c r="V6" s="13">
        <f t="shared" si="5"/>
        <v>0</v>
      </c>
      <c r="W6" s="11">
        <v>0</v>
      </c>
      <c r="X6" s="12">
        <v>1</v>
      </c>
      <c r="Y6" s="13">
        <v>1</v>
      </c>
      <c r="Z6" s="13">
        <f t="shared" si="6"/>
        <v>0</v>
      </c>
      <c r="AA6" s="11">
        <v>0</v>
      </c>
      <c r="AB6" s="12">
        <v>0</v>
      </c>
      <c r="AC6" s="13">
        <v>0</v>
      </c>
      <c r="AD6" s="13">
        <f t="shared" si="7"/>
        <v>0</v>
      </c>
      <c r="AE6" s="11">
        <v>0</v>
      </c>
      <c r="AF6" s="12">
        <v>0</v>
      </c>
      <c r="AG6" s="13">
        <v>0</v>
      </c>
      <c r="AH6" s="13">
        <f t="shared" si="8"/>
        <v>0</v>
      </c>
      <c r="AI6" s="11">
        <v>0</v>
      </c>
      <c r="AJ6" s="12">
        <v>3</v>
      </c>
      <c r="AK6" s="13">
        <v>3</v>
      </c>
      <c r="AL6" s="13">
        <f t="shared" si="9"/>
        <v>0</v>
      </c>
      <c r="AM6" s="11">
        <v>0</v>
      </c>
      <c r="AN6" s="12">
        <v>0</v>
      </c>
      <c r="AO6" s="13">
        <v>0</v>
      </c>
      <c r="AP6" s="13">
        <f t="shared" si="10"/>
        <v>0</v>
      </c>
      <c r="AQ6" s="11">
        <v>0</v>
      </c>
      <c r="AR6" s="12">
        <v>0</v>
      </c>
      <c r="AS6" s="13">
        <v>0</v>
      </c>
      <c r="AT6" s="13">
        <f t="shared" si="11"/>
        <v>0</v>
      </c>
      <c r="AU6" s="11">
        <v>0</v>
      </c>
      <c r="AV6" s="12">
        <v>0</v>
      </c>
      <c r="AW6" s="13">
        <v>0</v>
      </c>
      <c r="AX6" s="13">
        <f t="shared" si="12"/>
        <v>0</v>
      </c>
      <c r="AY6" s="11">
        <v>0</v>
      </c>
      <c r="AZ6" s="12">
        <v>3</v>
      </c>
      <c r="BA6" s="13">
        <v>3</v>
      </c>
      <c r="BB6" s="13">
        <f t="shared" si="13"/>
        <v>0</v>
      </c>
      <c r="BC6" s="11">
        <v>0</v>
      </c>
      <c r="BD6" s="12">
        <v>0</v>
      </c>
      <c r="BE6" s="13">
        <v>0</v>
      </c>
      <c r="BF6" s="13">
        <f t="shared" si="14"/>
        <v>0</v>
      </c>
      <c r="BG6" s="11">
        <v>0</v>
      </c>
      <c r="BH6" s="12">
        <v>0</v>
      </c>
      <c r="BI6" s="13">
        <v>0</v>
      </c>
      <c r="BJ6" s="13">
        <f t="shared" si="15"/>
        <v>0</v>
      </c>
      <c r="BK6" s="11">
        <v>0</v>
      </c>
      <c r="BL6" s="12">
        <v>0</v>
      </c>
      <c r="BM6" s="13">
        <v>0</v>
      </c>
      <c r="BN6" s="13">
        <f t="shared" si="16"/>
        <v>0</v>
      </c>
      <c r="BO6" s="11">
        <v>0</v>
      </c>
      <c r="BP6" s="12">
        <v>0</v>
      </c>
      <c r="BQ6" s="13">
        <v>0</v>
      </c>
      <c r="BR6" s="13">
        <f t="shared" si="17"/>
        <v>0</v>
      </c>
      <c r="BS6" s="11">
        <v>0</v>
      </c>
      <c r="BT6" s="12">
        <f t="shared" si="18"/>
        <v>15</v>
      </c>
      <c r="BU6" s="13">
        <f t="shared" si="19"/>
        <v>0</v>
      </c>
      <c r="BV6" s="13">
        <f t="shared" si="20"/>
        <v>0</v>
      </c>
      <c r="BW6" s="13">
        <f t="shared" si="21"/>
        <v>1</v>
      </c>
      <c r="BX6" s="13">
        <f t="shared" si="22"/>
        <v>1</v>
      </c>
      <c r="BY6" s="11">
        <f t="shared" si="23"/>
        <v>1</v>
      </c>
      <c r="CC6" s="75" t="s">
        <v>57</v>
      </c>
      <c r="CD6">
        <f>AVERAGE(BW9:BW10)</f>
        <v>0.84615384615384615</v>
      </c>
      <c r="CE6">
        <f t="shared" ref="CE6:CF6" si="26">AVERAGE(BX9:BX10)</f>
        <v>0.91666666666666663</v>
      </c>
      <c r="CF6">
        <f t="shared" si="26"/>
        <v>0.87999999999999989</v>
      </c>
    </row>
    <row r="7" spans="1:84" x14ac:dyDescent="0.35">
      <c r="A7" s="54" t="s">
        <v>10</v>
      </c>
      <c r="B7" s="108"/>
      <c r="C7" s="14" t="s">
        <v>15</v>
      </c>
      <c r="D7" s="15">
        <v>6</v>
      </c>
      <c r="E7" s="16">
        <v>6</v>
      </c>
      <c r="F7" s="16">
        <f t="shared" si="1"/>
        <v>0</v>
      </c>
      <c r="G7" s="14">
        <v>0</v>
      </c>
      <c r="H7" s="15">
        <v>0</v>
      </c>
      <c r="I7" s="16">
        <v>0</v>
      </c>
      <c r="J7" s="16">
        <f t="shared" si="2"/>
        <v>0</v>
      </c>
      <c r="K7" s="14">
        <v>0</v>
      </c>
      <c r="L7" s="15">
        <v>0</v>
      </c>
      <c r="M7" s="16">
        <v>0</v>
      </c>
      <c r="N7" s="16">
        <f t="shared" si="3"/>
        <v>0</v>
      </c>
      <c r="O7" s="14">
        <v>0</v>
      </c>
      <c r="P7" s="15">
        <v>9</v>
      </c>
      <c r="Q7" s="16">
        <v>9</v>
      </c>
      <c r="R7" s="16">
        <f t="shared" si="4"/>
        <v>0</v>
      </c>
      <c r="S7" s="14">
        <v>0</v>
      </c>
      <c r="T7" s="15">
        <v>0</v>
      </c>
      <c r="U7" s="16">
        <v>0</v>
      </c>
      <c r="V7" s="16">
        <f t="shared" si="5"/>
        <v>0</v>
      </c>
      <c r="W7" s="14">
        <v>0</v>
      </c>
      <c r="X7" s="15">
        <v>0</v>
      </c>
      <c r="Y7" s="16">
        <v>0</v>
      </c>
      <c r="Z7" s="16">
        <f t="shared" si="6"/>
        <v>0</v>
      </c>
      <c r="AA7" s="14">
        <v>0</v>
      </c>
      <c r="AB7" s="15">
        <v>0</v>
      </c>
      <c r="AC7" s="16">
        <v>0</v>
      </c>
      <c r="AD7" s="16">
        <f t="shared" si="7"/>
        <v>0</v>
      </c>
      <c r="AE7" s="14">
        <v>0</v>
      </c>
      <c r="AF7" s="15">
        <v>0</v>
      </c>
      <c r="AG7" s="16">
        <v>0</v>
      </c>
      <c r="AH7" s="16">
        <f t="shared" si="8"/>
        <v>0</v>
      </c>
      <c r="AI7" s="14">
        <v>0</v>
      </c>
      <c r="AJ7" s="15">
        <v>5</v>
      </c>
      <c r="AK7" s="16">
        <v>5</v>
      </c>
      <c r="AL7" s="16">
        <f t="shared" si="9"/>
        <v>0</v>
      </c>
      <c r="AM7" s="14">
        <v>0</v>
      </c>
      <c r="AN7" s="15">
        <v>0</v>
      </c>
      <c r="AO7" s="16">
        <v>0</v>
      </c>
      <c r="AP7" s="16">
        <f t="shared" si="10"/>
        <v>0</v>
      </c>
      <c r="AQ7" s="14">
        <v>0</v>
      </c>
      <c r="AR7" s="15">
        <v>0</v>
      </c>
      <c r="AS7" s="16">
        <v>0</v>
      </c>
      <c r="AT7" s="16">
        <f t="shared" si="11"/>
        <v>0</v>
      </c>
      <c r="AU7" s="14">
        <v>0</v>
      </c>
      <c r="AV7" s="15">
        <v>0</v>
      </c>
      <c r="AW7" s="16">
        <v>0</v>
      </c>
      <c r="AX7" s="16">
        <f t="shared" si="12"/>
        <v>0</v>
      </c>
      <c r="AY7" s="14">
        <v>0</v>
      </c>
      <c r="AZ7" s="15">
        <v>5</v>
      </c>
      <c r="BA7" s="16">
        <v>5</v>
      </c>
      <c r="BB7" s="16">
        <f t="shared" si="13"/>
        <v>0</v>
      </c>
      <c r="BC7" s="14">
        <v>0</v>
      </c>
      <c r="BD7" s="15">
        <v>0</v>
      </c>
      <c r="BE7" s="16">
        <v>0</v>
      </c>
      <c r="BF7" s="16">
        <f t="shared" si="14"/>
        <v>0</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25</v>
      </c>
      <c r="BU7" s="16">
        <f t="shared" si="19"/>
        <v>0</v>
      </c>
      <c r="BV7" s="16">
        <f t="shared" si="20"/>
        <v>0</v>
      </c>
      <c r="BW7" s="16">
        <f t="shared" si="21"/>
        <v>1</v>
      </c>
      <c r="BX7" s="16">
        <f t="shared" si="22"/>
        <v>1</v>
      </c>
      <c r="BY7" s="14">
        <f t="shared" si="23"/>
        <v>1</v>
      </c>
      <c r="CC7" s="75" t="s">
        <v>58</v>
      </c>
      <c r="CD7">
        <f>AVERAGE(BW11:BW12)</f>
        <v>0.87037037037037035</v>
      </c>
      <c r="CE7">
        <f t="shared" ref="CE7" si="27">AVERAGE(BX11:BX12)</f>
        <v>0.88675213675213671</v>
      </c>
      <c r="CF7">
        <f>AVERAGE(BY11:BY12)</f>
        <v>0.87840670859538783</v>
      </c>
    </row>
    <row r="8" spans="1:84" x14ac:dyDescent="0.35">
      <c r="A8" s="54" t="s">
        <v>10</v>
      </c>
      <c r="B8" s="108"/>
      <c r="C8" s="14" t="s">
        <v>16</v>
      </c>
      <c r="D8" s="15">
        <v>6</v>
      </c>
      <c r="E8" s="16">
        <v>6</v>
      </c>
      <c r="F8" s="16">
        <f t="shared" si="1"/>
        <v>0</v>
      </c>
      <c r="G8" s="14">
        <v>0</v>
      </c>
      <c r="H8" s="15">
        <v>0</v>
      </c>
      <c r="I8" s="16">
        <v>0</v>
      </c>
      <c r="J8" s="16">
        <f t="shared" si="2"/>
        <v>0</v>
      </c>
      <c r="K8" s="14">
        <v>0</v>
      </c>
      <c r="L8" s="15">
        <v>0</v>
      </c>
      <c r="M8" s="16">
        <v>0</v>
      </c>
      <c r="N8" s="16">
        <f t="shared" si="3"/>
        <v>0</v>
      </c>
      <c r="O8" s="14">
        <v>0</v>
      </c>
      <c r="P8" s="15">
        <v>9</v>
      </c>
      <c r="Q8" s="16">
        <v>9</v>
      </c>
      <c r="R8" s="16">
        <f t="shared" si="4"/>
        <v>0</v>
      </c>
      <c r="S8" s="14">
        <v>0</v>
      </c>
      <c r="T8" s="15">
        <v>0</v>
      </c>
      <c r="U8" s="16">
        <v>0</v>
      </c>
      <c r="V8" s="16">
        <f t="shared" si="5"/>
        <v>0</v>
      </c>
      <c r="W8" s="14">
        <v>0</v>
      </c>
      <c r="X8" s="15">
        <v>0</v>
      </c>
      <c r="Y8" s="16">
        <v>0</v>
      </c>
      <c r="Z8" s="16">
        <f t="shared" si="6"/>
        <v>0</v>
      </c>
      <c r="AA8" s="14">
        <v>0</v>
      </c>
      <c r="AB8" s="15">
        <v>0</v>
      </c>
      <c r="AC8" s="16">
        <v>0</v>
      </c>
      <c r="AD8" s="16">
        <f t="shared" si="7"/>
        <v>0</v>
      </c>
      <c r="AE8" s="14">
        <v>0</v>
      </c>
      <c r="AF8" s="15">
        <v>0</v>
      </c>
      <c r="AG8" s="16">
        <v>0</v>
      </c>
      <c r="AH8" s="16">
        <f t="shared" si="8"/>
        <v>0</v>
      </c>
      <c r="AI8" s="14">
        <v>0</v>
      </c>
      <c r="AJ8" s="15">
        <v>5</v>
      </c>
      <c r="AK8" s="16">
        <v>5</v>
      </c>
      <c r="AL8" s="16">
        <f t="shared" si="9"/>
        <v>0</v>
      </c>
      <c r="AM8" s="14">
        <v>1</v>
      </c>
      <c r="AN8" s="15">
        <v>0</v>
      </c>
      <c r="AO8" s="16">
        <v>0</v>
      </c>
      <c r="AP8" s="16">
        <f t="shared" si="10"/>
        <v>0</v>
      </c>
      <c r="AQ8" s="14">
        <v>0</v>
      </c>
      <c r="AR8" s="15">
        <v>0</v>
      </c>
      <c r="AS8" s="16">
        <v>0</v>
      </c>
      <c r="AT8" s="16">
        <f t="shared" si="11"/>
        <v>0</v>
      </c>
      <c r="AU8" s="14">
        <v>0</v>
      </c>
      <c r="AV8" s="15">
        <v>0</v>
      </c>
      <c r="AW8" s="16">
        <v>0</v>
      </c>
      <c r="AX8" s="16">
        <f t="shared" si="12"/>
        <v>0</v>
      </c>
      <c r="AY8" s="14">
        <v>0</v>
      </c>
      <c r="AZ8" s="15">
        <v>5</v>
      </c>
      <c r="BA8" s="16">
        <v>5</v>
      </c>
      <c r="BB8" s="16">
        <f t="shared" si="13"/>
        <v>0</v>
      </c>
      <c r="BC8" s="14">
        <v>0</v>
      </c>
      <c r="BD8" s="15">
        <v>0</v>
      </c>
      <c r="BE8" s="16">
        <v>0</v>
      </c>
      <c r="BF8" s="16">
        <f t="shared" si="14"/>
        <v>0</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25</v>
      </c>
      <c r="BU8" s="16">
        <f t="shared" si="19"/>
        <v>0</v>
      </c>
      <c r="BV8" s="16">
        <f t="shared" si="20"/>
        <v>1</v>
      </c>
      <c r="BW8" s="16">
        <f t="shared" si="21"/>
        <v>1</v>
      </c>
      <c r="BX8" s="16">
        <f t="shared" si="22"/>
        <v>0.96153846153846156</v>
      </c>
      <c r="BY8" s="14">
        <f t="shared" si="23"/>
        <v>0.98039215686274506</v>
      </c>
      <c r="CC8" s="75" t="s">
        <v>59</v>
      </c>
      <c r="CD8">
        <f>AVERAGE(BW13:BW14)</f>
        <v>0.7857142857142857</v>
      </c>
      <c r="CE8">
        <f t="shared" ref="CE8:CF8" si="28">AVERAGE(BX13:BX14)</f>
        <v>0.74660633484162897</v>
      </c>
      <c r="CF8">
        <f t="shared" si="28"/>
        <v>0.7622461170848267</v>
      </c>
    </row>
    <row r="9" spans="1:84" x14ac:dyDescent="0.35">
      <c r="A9" s="55" t="s">
        <v>10</v>
      </c>
      <c r="B9" s="108"/>
      <c r="C9" s="17" t="s">
        <v>17</v>
      </c>
      <c r="D9" s="18">
        <v>3</v>
      </c>
      <c r="E9" s="19">
        <v>3</v>
      </c>
      <c r="F9" s="19">
        <f t="shared" si="1"/>
        <v>0</v>
      </c>
      <c r="G9" s="17">
        <v>0</v>
      </c>
      <c r="H9" s="18">
        <v>0</v>
      </c>
      <c r="I9" s="19">
        <v>0</v>
      </c>
      <c r="J9" s="19">
        <f t="shared" si="2"/>
        <v>0</v>
      </c>
      <c r="K9" s="17">
        <v>0</v>
      </c>
      <c r="L9" s="18">
        <v>0</v>
      </c>
      <c r="M9" s="19">
        <v>0</v>
      </c>
      <c r="N9" s="19">
        <f t="shared" si="3"/>
        <v>0</v>
      </c>
      <c r="O9" s="17">
        <v>0</v>
      </c>
      <c r="P9" s="18">
        <v>5</v>
      </c>
      <c r="Q9" s="19">
        <v>5</v>
      </c>
      <c r="R9" s="19">
        <f t="shared" si="4"/>
        <v>0</v>
      </c>
      <c r="S9" s="17">
        <v>0</v>
      </c>
      <c r="T9" s="18">
        <v>0</v>
      </c>
      <c r="U9" s="19">
        <v>0</v>
      </c>
      <c r="V9" s="19">
        <f t="shared" si="5"/>
        <v>0</v>
      </c>
      <c r="W9" s="17">
        <v>0</v>
      </c>
      <c r="X9" s="18">
        <v>0</v>
      </c>
      <c r="Y9" s="19">
        <v>0</v>
      </c>
      <c r="Z9" s="19">
        <f t="shared" si="6"/>
        <v>0</v>
      </c>
      <c r="AA9" s="17">
        <v>0</v>
      </c>
      <c r="AB9" s="18">
        <v>0</v>
      </c>
      <c r="AC9" s="19">
        <v>0</v>
      </c>
      <c r="AD9" s="19">
        <f t="shared" si="7"/>
        <v>0</v>
      </c>
      <c r="AE9" s="17">
        <v>0</v>
      </c>
      <c r="AF9" s="18">
        <v>0</v>
      </c>
      <c r="AG9" s="19">
        <v>0</v>
      </c>
      <c r="AH9" s="19">
        <f t="shared" si="8"/>
        <v>0</v>
      </c>
      <c r="AI9" s="17">
        <v>0</v>
      </c>
      <c r="AJ9" s="18">
        <v>1</v>
      </c>
      <c r="AK9" s="19">
        <v>1</v>
      </c>
      <c r="AL9" s="19">
        <f t="shared" si="9"/>
        <v>0</v>
      </c>
      <c r="AM9" s="17">
        <v>0</v>
      </c>
      <c r="AN9" s="18">
        <v>0</v>
      </c>
      <c r="AO9" s="19">
        <v>0</v>
      </c>
      <c r="AP9" s="19">
        <f t="shared" si="10"/>
        <v>0</v>
      </c>
      <c r="AQ9" s="17">
        <v>0</v>
      </c>
      <c r="AR9" s="18">
        <v>1</v>
      </c>
      <c r="AS9" s="19">
        <v>0</v>
      </c>
      <c r="AT9" s="19">
        <f t="shared" si="11"/>
        <v>1</v>
      </c>
      <c r="AU9" s="17">
        <v>0</v>
      </c>
      <c r="AV9" s="18">
        <v>0</v>
      </c>
      <c r="AW9" s="19">
        <v>0</v>
      </c>
      <c r="AX9" s="19">
        <f t="shared" si="12"/>
        <v>0</v>
      </c>
      <c r="AY9" s="17">
        <v>1</v>
      </c>
      <c r="AZ9" s="18">
        <v>2</v>
      </c>
      <c r="BA9" s="19">
        <v>2</v>
      </c>
      <c r="BB9" s="19">
        <f t="shared" si="13"/>
        <v>0</v>
      </c>
      <c r="BC9" s="17">
        <v>0</v>
      </c>
      <c r="BD9" s="18">
        <v>0</v>
      </c>
      <c r="BE9" s="19">
        <v>0</v>
      </c>
      <c r="BF9" s="19">
        <f t="shared" si="14"/>
        <v>0</v>
      </c>
      <c r="BG9" s="17">
        <v>0</v>
      </c>
      <c r="BH9" s="18">
        <v>0</v>
      </c>
      <c r="BI9" s="19">
        <v>0</v>
      </c>
      <c r="BJ9" s="19">
        <f t="shared" si="15"/>
        <v>0</v>
      </c>
      <c r="BK9" s="17">
        <v>0</v>
      </c>
      <c r="BL9" s="18">
        <v>1</v>
      </c>
      <c r="BM9" s="19">
        <v>0</v>
      </c>
      <c r="BN9" s="19">
        <f t="shared" si="16"/>
        <v>1</v>
      </c>
      <c r="BO9" s="17">
        <v>0</v>
      </c>
      <c r="BP9" s="18">
        <v>0</v>
      </c>
      <c r="BQ9" s="19">
        <v>0</v>
      </c>
      <c r="BR9" s="19">
        <f t="shared" si="17"/>
        <v>0</v>
      </c>
      <c r="BS9" s="17">
        <v>0</v>
      </c>
      <c r="BT9" s="18">
        <f t="shared" si="18"/>
        <v>11</v>
      </c>
      <c r="BU9" s="19">
        <f t="shared" si="19"/>
        <v>2</v>
      </c>
      <c r="BV9" s="19">
        <f t="shared" si="20"/>
        <v>1</v>
      </c>
      <c r="BW9" s="19">
        <f t="shared" si="21"/>
        <v>0.84615384615384615</v>
      </c>
      <c r="BX9" s="19">
        <f t="shared" si="22"/>
        <v>0.91666666666666663</v>
      </c>
      <c r="BY9" s="17">
        <f t="shared" si="23"/>
        <v>0.87999999999999989</v>
      </c>
      <c r="CC9" s="75" t="s">
        <v>60</v>
      </c>
      <c r="CD9">
        <f>AVERAGE(BW15:BW16)</f>
        <v>0.8125</v>
      </c>
      <c r="CE9">
        <f t="shared" ref="CE9:CF9" si="29">AVERAGE(BX15:BX16)</f>
        <v>0.8125</v>
      </c>
      <c r="CF9">
        <f t="shared" si="29"/>
        <v>0.8125</v>
      </c>
    </row>
    <row r="10" spans="1:84" x14ac:dyDescent="0.35">
      <c r="A10" s="55" t="s">
        <v>10</v>
      </c>
      <c r="B10" s="108"/>
      <c r="C10" s="17" t="s">
        <v>18</v>
      </c>
      <c r="D10" s="18">
        <v>3</v>
      </c>
      <c r="E10" s="19">
        <v>3</v>
      </c>
      <c r="F10" s="19">
        <f t="shared" si="1"/>
        <v>0</v>
      </c>
      <c r="G10" s="17">
        <v>0</v>
      </c>
      <c r="H10" s="18">
        <v>0</v>
      </c>
      <c r="I10" s="19">
        <v>0</v>
      </c>
      <c r="J10" s="19">
        <f t="shared" si="2"/>
        <v>0</v>
      </c>
      <c r="K10" s="17">
        <v>0</v>
      </c>
      <c r="L10" s="18">
        <v>0</v>
      </c>
      <c r="M10" s="19">
        <v>0</v>
      </c>
      <c r="N10" s="19">
        <f t="shared" si="3"/>
        <v>0</v>
      </c>
      <c r="O10" s="17">
        <v>0</v>
      </c>
      <c r="P10" s="18">
        <v>5</v>
      </c>
      <c r="Q10" s="19">
        <v>5</v>
      </c>
      <c r="R10" s="19">
        <f t="shared" si="4"/>
        <v>0</v>
      </c>
      <c r="S10" s="17">
        <v>0</v>
      </c>
      <c r="T10" s="18">
        <v>0</v>
      </c>
      <c r="U10" s="19">
        <v>0</v>
      </c>
      <c r="V10" s="19">
        <f t="shared" si="5"/>
        <v>0</v>
      </c>
      <c r="W10" s="17">
        <v>0</v>
      </c>
      <c r="X10" s="18">
        <v>0</v>
      </c>
      <c r="Y10" s="19">
        <v>0</v>
      </c>
      <c r="Z10" s="19">
        <f t="shared" si="6"/>
        <v>0</v>
      </c>
      <c r="AA10" s="17">
        <v>0</v>
      </c>
      <c r="AB10" s="18">
        <v>0</v>
      </c>
      <c r="AC10" s="19">
        <v>0</v>
      </c>
      <c r="AD10" s="19">
        <f t="shared" si="7"/>
        <v>0</v>
      </c>
      <c r="AE10" s="17">
        <v>0</v>
      </c>
      <c r="AF10" s="18">
        <v>0</v>
      </c>
      <c r="AG10" s="19">
        <v>0</v>
      </c>
      <c r="AH10" s="19">
        <f t="shared" si="8"/>
        <v>0</v>
      </c>
      <c r="AI10" s="17">
        <v>0</v>
      </c>
      <c r="AJ10" s="18">
        <v>1</v>
      </c>
      <c r="AK10" s="19">
        <v>1</v>
      </c>
      <c r="AL10" s="19">
        <f t="shared" si="9"/>
        <v>0</v>
      </c>
      <c r="AM10" s="17">
        <v>0</v>
      </c>
      <c r="AN10" s="18">
        <v>0</v>
      </c>
      <c r="AO10" s="19">
        <v>0</v>
      </c>
      <c r="AP10" s="19">
        <f t="shared" si="10"/>
        <v>0</v>
      </c>
      <c r="AQ10" s="17">
        <v>0</v>
      </c>
      <c r="AR10" s="18">
        <v>1</v>
      </c>
      <c r="AS10" s="19">
        <v>0</v>
      </c>
      <c r="AT10" s="19">
        <f t="shared" si="11"/>
        <v>1</v>
      </c>
      <c r="AU10" s="17">
        <v>0</v>
      </c>
      <c r="AV10" s="18">
        <v>0</v>
      </c>
      <c r="AW10" s="19">
        <v>0</v>
      </c>
      <c r="AX10" s="19">
        <f t="shared" si="12"/>
        <v>0</v>
      </c>
      <c r="AY10" s="17">
        <v>1</v>
      </c>
      <c r="AZ10" s="18">
        <v>2</v>
      </c>
      <c r="BA10" s="19">
        <v>2</v>
      </c>
      <c r="BB10" s="19">
        <f t="shared" si="13"/>
        <v>0</v>
      </c>
      <c r="BC10" s="17">
        <v>0</v>
      </c>
      <c r="BD10" s="18">
        <v>0</v>
      </c>
      <c r="BE10" s="19">
        <v>0</v>
      </c>
      <c r="BF10" s="19">
        <f t="shared" si="14"/>
        <v>0</v>
      </c>
      <c r="BG10" s="17">
        <v>0</v>
      </c>
      <c r="BH10" s="18">
        <v>0</v>
      </c>
      <c r="BI10" s="19">
        <v>0</v>
      </c>
      <c r="BJ10" s="19">
        <f t="shared" si="15"/>
        <v>0</v>
      </c>
      <c r="BK10" s="17">
        <v>0</v>
      </c>
      <c r="BL10" s="18">
        <v>1</v>
      </c>
      <c r="BM10" s="19">
        <v>0</v>
      </c>
      <c r="BN10" s="19">
        <f t="shared" si="16"/>
        <v>1</v>
      </c>
      <c r="BO10" s="17">
        <v>0</v>
      </c>
      <c r="BP10" s="18">
        <v>0</v>
      </c>
      <c r="BQ10" s="19">
        <v>0</v>
      </c>
      <c r="BR10" s="19">
        <f t="shared" si="17"/>
        <v>0</v>
      </c>
      <c r="BS10" s="17">
        <v>0</v>
      </c>
      <c r="BT10" s="18">
        <f t="shared" si="18"/>
        <v>11</v>
      </c>
      <c r="BU10" s="19">
        <f t="shared" si="19"/>
        <v>2</v>
      </c>
      <c r="BV10" s="19">
        <f t="shared" si="20"/>
        <v>1</v>
      </c>
      <c r="BW10" s="19">
        <f t="shared" si="21"/>
        <v>0.84615384615384615</v>
      </c>
      <c r="BX10" s="19">
        <f t="shared" si="22"/>
        <v>0.91666666666666663</v>
      </c>
      <c r="BY10" s="17">
        <f t="shared" si="23"/>
        <v>0.87999999999999989</v>
      </c>
      <c r="CC10" s="75" t="s">
        <v>61</v>
      </c>
      <c r="CD10">
        <f>AVERAGE(BW17:BW18)</f>
        <v>0.95</v>
      </c>
      <c r="CE10">
        <f t="shared" ref="CE10:CF10" si="30">AVERAGE(BX17:BX18)</f>
        <v>0.88461538461538458</v>
      </c>
      <c r="CF10">
        <f t="shared" si="30"/>
        <v>0.90846681922196804</v>
      </c>
    </row>
    <row r="11" spans="1:84" x14ac:dyDescent="0.35">
      <c r="A11" s="56" t="s">
        <v>10</v>
      </c>
      <c r="B11" s="108"/>
      <c r="C11" s="20" t="s">
        <v>19</v>
      </c>
      <c r="D11" s="21">
        <v>2</v>
      </c>
      <c r="E11" s="22">
        <v>2</v>
      </c>
      <c r="F11" s="22">
        <f t="shared" si="1"/>
        <v>0</v>
      </c>
      <c r="G11" s="20">
        <v>0</v>
      </c>
      <c r="H11" s="21">
        <v>2</v>
      </c>
      <c r="I11" s="22">
        <v>2</v>
      </c>
      <c r="J11" s="22">
        <f t="shared" si="2"/>
        <v>0</v>
      </c>
      <c r="K11" s="20">
        <v>0</v>
      </c>
      <c r="L11" s="21">
        <v>8</v>
      </c>
      <c r="M11" s="22">
        <v>8</v>
      </c>
      <c r="N11" s="22">
        <f t="shared" si="3"/>
        <v>0</v>
      </c>
      <c r="O11" s="20">
        <v>0</v>
      </c>
      <c r="P11" s="21">
        <v>7</v>
      </c>
      <c r="Q11" s="22">
        <v>7</v>
      </c>
      <c r="R11" s="22">
        <f t="shared" si="4"/>
        <v>0</v>
      </c>
      <c r="S11" s="20">
        <v>2</v>
      </c>
      <c r="T11" s="21">
        <v>0</v>
      </c>
      <c r="U11" s="22">
        <v>0</v>
      </c>
      <c r="V11" s="22">
        <f t="shared" si="5"/>
        <v>0</v>
      </c>
      <c r="W11" s="20">
        <v>0</v>
      </c>
      <c r="X11" s="21">
        <v>1</v>
      </c>
      <c r="Y11" s="22">
        <v>1</v>
      </c>
      <c r="Z11" s="22">
        <f t="shared" si="6"/>
        <v>0</v>
      </c>
      <c r="AA11" s="20">
        <v>0</v>
      </c>
      <c r="AB11" s="21">
        <v>1</v>
      </c>
      <c r="AC11" s="22">
        <v>1</v>
      </c>
      <c r="AD11" s="22">
        <f t="shared" si="7"/>
        <v>0</v>
      </c>
      <c r="AE11" s="20">
        <v>0</v>
      </c>
      <c r="AF11" s="21">
        <v>3</v>
      </c>
      <c r="AG11" s="22">
        <v>0</v>
      </c>
      <c r="AH11" s="22">
        <f t="shared" si="8"/>
        <v>3</v>
      </c>
      <c r="AI11" s="20">
        <v>0</v>
      </c>
      <c r="AJ11" s="21">
        <v>0</v>
      </c>
      <c r="AK11" s="22">
        <v>0</v>
      </c>
      <c r="AL11" s="22">
        <f t="shared" si="9"/>
        <v>0</v>
      </c>
      <c r="AM11" s="20">
        <v>0</v>
      </c>
      <c r="AN11" s="21">
        <v>0</v>
      </c>
      <c r="AO11" s="22">
        <v>0</v>
      </c>
      <c r="AP11" s="22">
        <f t="shared" si="10"/>
        <v>0</v>
      </c>
      <c r="AQ11" s="20">
        <v>0</v>
      </c>
      <c r="AR11" s="21">
        <v>0</v>
      </c>
      <c r="AS11" s="22">
        <v>0</v>
      </c>
      <c r="AT11" s="22">
        <f t="shared" si="11"/>
        <v>0</v>
      </c>
      <c r="AU11" s="20">
        <v>0</v>
      </c>
      <c r="AV11" s="21">
        <v>1</v>
      </c>
      <c r="AW11" s="22">
        <v>1</v>
      </c>
      <c r="AX11" s="22">
        <f t="shared" si="12"/>
        <v>0</v>
      </c>
      <c r="AY11" s="20">
        <v>0</v>
      </c>
      <c r="AZ11" s="21">
        <v>1</v>
      </c>
      <c r="BA11" s="22">
        <v>1</v>
      </c>
      <c r="BB11" s="22">
        <f t="shared" si="13"/>
        <v>0</v>
      </c>
      <c r="BC11" s="20">
        <v>1</v>
      </c>
      <c r="BD11" s="21">
        <v>0</v>
      </c>
      <c r="BE11" s="22">
        <v>0</v>
      </c>
      <c r="BF11" s="22">
        <f t="shared" si="14"/>
        <v>0</v>
      </c>
      <c r="BG11" s="20">
        <v>0</v>
      </c>
      <c r="BH11" s="21">
        <v>0</v>
      </c>
      <c r="BI11" s="22">
        <v>0</v>
      </c>
      <c r="BJ11" s="22">
        <f t="shared" si="15"/>
        <v>0</v>
      </c>
      <c r="BK11" s="20">
        <v>0</v>
      </c>
      <c r="BL11" s="21">
        <v>1</v>
      </c>
      <c r="BM11" s="22">
        <v>1</v>
      </c>
      <c r="BN11" s="22">
        <f t="shared" si="16"/>
        <v>0</v>
      </c>
      <c r="BO11" s="20">
        <v>0</v>
      </c>
      <c r="BP11" s="21">
        <v>0</v>
      </c>
      <c r="BQ11" s="22">
        <v>0</v>
      </c>
      <c r="BR11" s="22">
        <f t="shared" si="17"/>
        <v>0</v>
      </c>
      <c r="BS11" s="20">
        <v>0</v>
      </c>
      <c r="BT11" s="21">
        <f t="shared" si="18"/>
        <v>24</v>
      </c>
      <c r="BU11" s="22">
        <f t="shared" si="19"/>
        <v>3</v>
      </c>
      <c r="BV11" s="22">
        <f t="shared" si="20"/>
        <v>3</v>
      </c>
      <c r="BW11" s="22">
        <f t="shared" si="21"/>
        <v>0.88888888888888884</v>
      </c>
      <c r="BX11" s="22">
        <f t="shared" si="22"/>
        <v>0.88888888888888884</v>
      </c>
      <c r="BY11" s="20">
        <f t="shared" si="23"/>
        <v>0.88888888888888884</v>
      </c>
      <c r="CC11" s="75" t="s">
        <v>62</v>
      </c>
      <c r="CD11">
        <f>AVERAGE(BW19:BW20)</f>
        <v>0.61764705882352944</v>
      </c>
      <c r="CE11">
        <f t="shared" ref="CE11:CF11" si="31">AVERAGE(BX19:BX20)</f>
        <v>0.78021978021978022</v>
      </c>
      <c r="CF11">
        <f t="shared" si="31"/>
        <v>0.68924731182795695</v>
      </c>
    </row>
    <row r="12" spans="1:84" x14ac:dyDescent="0.35">
      <c r="A12" s="56" t="s">
        <v>10</v>
      </c>
      <c r="B12" s="108"/>
      <c r="C12" s="20" t="s">
        <v>20</v>
      </c>
      <c r="D12" s="21">
        <v>2</v>
      </c>
      <c r="E12" s="22">
        <v>2</v>
      </c>
      <c r="F12" s="22">
        <f t="shared" si="1"/>
        <v>0</v>
      </c>
      <c r="G12" s="20">
        <v>0</v>
      </c>
      <c r="H12" s="21">
        <v>2</v>
      </c>
      <c r="I12" s="22">
        <v>2</v>
      </c>
      <c r="J12" s="22">
        <f>H12-I12</f>
        <v>0</v>
      </c>
      <c r="K12" s="20">
        <v>0</v>
      </c>
      <c r="L12" s="21">
        <v>8</v>
      </c>
      <c r="M12" s="22">
        <v>8</v>
      </c>
      <c r="N12" s="22">
        <f t="shared" si="3"/>
        <v>0</v>
      </c>
      <c r="O12" s="20">
        <v>0</v>
      </c>
      <c r="P12" s="21">
        <v>7</v>
      </c>
      <c r="Q12" s="22">
        <v>7</v>
      </c>
      <c r="R12" s="22">
        <f t="shared" si="4"/>
        <v>0</v>
      </c>
      <c r="S12" s="20">
        <v>2</v>
      </c>
      <c r="T12" s="21">
        <v>0</v>
      </c>
      <c r="U12" s="22">
        <v>0</v>
      </c>
      <c r="V12" s="22">
        <f t="shared" si="5"/>
        <v>0</v>
      </c>
      <c r="W12" s="20">
        <v>0</v>
      </c>
      <c r="X12" s="21">
        <v>1</v>
      </c>
      <c r="Y12" s="22">
        <v>1</v>
      </c>
      <c r="Z12" s="22">
        <f t="shared" si="6"/>
        <v>0</v>
      </c>
      <c r="AA12" s="20">
        <v>0</v>
      </c>
      <c r="AB12" s="21">
        <v>1</v>
      </c>
      <c r="AC12" s="22">
        <v>1</v>
      </c>
      <c r="AD12" s="22">
        <f t="shared" si="7"/>
        <v>0</v>
      </c>
      <c r="AE12" s="20">
        <v>0</v>
      </c>
      <c r="AF12" s="21">
        <v>3</v>
      </c>
      <c r="AG12" s="22">
        <v>0</v>
      </c>
      <c r="AH12" s="22">
        <f t="shared" si="8"/>
        <v>3</v>
      </c>
      <c r="AI12" s="20">
        <v>0</v>
      </c>
      <c r="AJ12" s="21">
        <v>0</v>
      </c>
      <c r="AK12" s="22">
        <v>0</v>
      </c>
      <c r="AL12" s="22">
        <f t="shared" si="9"/>
        <v>0</v>
      </c>
      <c r="AM12" s="20">
        <v>0</v>
      </c>
      <c r="AN12" s="21">
        <v>0</v>
      </c>
      <c r="AO12" s="22">
        <v>0</v>
      </c>
      <c r="AP12" s="22">
        <f t="shared" si="10"/>
        <v>0</v>
      </c>
      <c r="AQ12" s="20">
        <v>0</v>
      </c>
      <c r="AR12" s="21">
        <v>0</v>
      </c>
      <c r="AS12" s="22">
        <v>0</v>
      </c>
      <c r="AT12" s="22">
        <f t="shared" si="11"/>
        <v>0</v>
      </c>
      <c r="AU12" s="20">
        <v>0</v>
      </c>
      <c r="AV12" s="21">
        <v>1</v>
      </c>
      <c r="AW12" s="22">
        <v>1</v>
      </c>
      <c r="AX12" s="22">
        <f>AV12-AW12</f>
        <v>0</v>
      </c>
      <c r="AY12" s="20">
        <v>0</v>
      </c>
      <c r="AZ12" s="21">
        <v>1</v>
      </c>
      <c r="BA12" s="22">
        <v>0</v>
      </c>
      <c r="BB12" s="22">
        <f t="shared" si="13"/>
        <v>1</v>
      </c>
      <c r="BC12" s="20">
        <v>1</v>
      </c>
      <c r="BD12" s="21">
        <v>0</v>
      </c>
      <c r="BE12" s="22">
        <v>0</v>
      </c>
      <c r="BF12" s="22">
        <f t="shared" si="14"/>
        <v>0</v>
      </c>
      <c r="BG12" s="20">
        <v>0</v>
      </c>
      <c r="BH12" s="21">
        <v>0</v>
      </c>
      <c r="BI12" s="22">
        <v>0</v>
      </c>
      <c r="BJ12" s="22">
        <f t="shared" si="15"/>
        <v>0</v>
      </c>
      <c r="BK12" s="20">
        <v>0</v>
      </c>
      <c r="BL12" s="21">
        <v>1</v>
      </c>
      <c r="BM12" s="22">
        <v>1</v>
      </c>
      <c r="BN12" s="22">
        <f t="shared" si="16"/>
        <v>0</v>
      </c>
      <c r="BO12" s="20">
        <v>0</v>
      </c>
      <c r="BP12" s="21">
        <v>0</v>
      </c>
      <c r="BQ12" s="22">
        <v>0</v>
      </c>
      <c r="BR12" s="22">
        <f t="shared" si="17"/>
        <v>0</v>
      </c>
      <c r="BS12" s="20">
        <v>0</v>
      </c>
      <c r="BT12" s="21">
        <f t="shared" si="18"/>
        <v>23</v>
      </c>
      <c r="BU12" s="22">
        <f t="shared" si="19"/>
        <v>4</v>
      </c>
      <c r="BV12" s="22">
        <f t="shared" si="20"/>
        <v>3</v>
      </c>
      <c r="BW12" s="22">
        <f t="shared" si="21"/>
        <v>0.85185185185185186</v>
      </c>
      <c r="BX12" s="22">
        <f t="shared" si="22"/>
        <v>0.88461538461538458</v>
      </c>
      <c r="BY12" s="20">
        <f t="shared" si="23"/>
        <v>0.86792452830188682</v>
      </c>
      <c r="CC12" s="75" t="s">
        <v>63</v>
      </c>
      <c r="CD12">
        <f>AVERAGE(BW21:BW22)</f>
        <v>0.8</v>
      </c>
      <c r="CE12">
        <f t="shared" ref="CE12:CF12" si="32">AVERAGE(BX21:BX22)</f>
        <v>0.83333333333333326</v>
      </c>
      <c r="CF12">
        <f t="shared" si="32"/>
        <v>0.80808080808080807</v>
      </c>
    </row>
    <row r="13" spans="1:84" ht="13.5" customHeight="1" x14ac:dyDescent="0.35">
      <c r="A13" s="57" t="s">
        <v>10</v>
      </c>
      <c r="B13" s="108"/>
      <c r="C13" s="23" t="s">
        <v>21</v>
      </c>
      <c r="D13" s="24">
        <v>3</v>
      </c>
      <c r="E13" s="25">
        <v>3</v>
      </c>
      <c r="F13" s="25">
        <f t="shared" si="1"/>
        <v>0</v>
      </c>
      <c r="G13" s="23">
        <v>0</v>
      </c>
      <c r="H13" s="24">
        <v>0</v>
      </c>
      <c r="I13" s="25">
        <v>0</v>
      </c>
      <c r="J13" s="25">
        <f t="shared" si="2"/>
        <v>0</v>
      </c>
      <c r="K13" s="23">
        <v>0</v>
      </c>
      <c r="L13" s="24">
        <v>0</v>
      </c>
      <c r="M13" s="25">
        <v>0</v>
      </c>
      <c r="N13" s="25">
        <f t="shared" si="3"/>
        <v>0</v>
      </c>
      <c r="O13" s="23">
        <v>0</v>
      </c>
      <c r="P13" s="24">
        <v>5</v>
      </c>
      <c r="Q13" s="25">
        <v>5</v>
      </c>
      <c r="R13" s="25">
        <f t="shared" si="4"/>
        <v>0</v>
      </c>
      <c r="S13" s="23">
        <v>2</v>
      </c>
      <c r="T13" s="24">
        <v>0</v>
      </c>
      <c r="U13" s="25">
        <v>0</v>
      </c>
      <c r="V13" s="25">
        <f t="shared" si="5"/>
        <v>0</v>
      </c>
      <c r="W13" s="23">
        <v>0</v>
      </c>
      <c r="X13" s="24">
        <v>0</v>
      </c>
      <c r="Y13" s="25">
        <v>0</v>
      </c>
      <c r="Z13" s="25">
        <f t="shared" si="6"/>
        <v>0</v>
      </c>
      <c r="AA13" s="23">
        <v>0</v>
      </c>
      <c r="AB13" s="24">
        <v>0</v>
      </c>
      <c r="AC13" s="25">
        <v>0</v>
      </c>
      <c r="AD13" s="25">
        <f t="shared" si="7"/>
        <v>0</v>
      </c>
      <c r="AE13" s="23">
        <v>0</v>
      </c>
      <c r="AF13" s="24">
        <v>0</v>
      </c>
      <c r="AG13" s="25">
        <v>0</v>
      </c>
      <c r="AH13" s="25">
        <f t="shared" si="8"/>
        <v>0</v>
      </c>
      <c r="AI13" s="23">
        <v>0</v>
      </c>
      <c r="AJ13" s="24">
        <v>0</v>
      </c>
      <c r="AK13" s="25">
        <v>0</v>
      </c>
      <c r="AL13" s="25">
        <f t="shared" si="9"/>
        <v>0</v>
      </c>
      <c r="AM13" s="23">
        <v>0</v>
      </c>
      <c r="AN13" s="24">
        <v>0</v>
      </c>
      <c r="AO13" s="25">
        <v>0</v>
      </c>
      <c r="AP13" s="25">
        <f t="shared" si="10"/>
        <v>0</v>
      </c>
      <c r="AQ13" s="23">
        <v>2</v>
      </c>
      <c r="AR13" s="24">
        <v>2</v>
      </c>
      <c r="AS13" s="25">
        <v>1</v>
      </c>
      <c r="AT13" s="25">
        <f t="shared" si="11"/>
        <v>1</v>
      </c>
      <c r="AU13" s="23">
        <v>0</v>
      </c>
      <c r="AV13" s="24">
        <v>0</v>
      </c>
      <c r="AW13" s="25">
        <v>0</v>
      </c>
      <c r="AX13" s="25">
        <f t="shared" si="12"/>
        <v>0</v>
      </c>
      <c r="AY13" s="23">
        <v>1</v>
      </c>
      <c r="AZ13" s="24">
        <v>2</v>
      </c>
      <c r="BA13" s="25">
        <v>2</v>
      </c>
      <c r="BB13" s="25">
        <f t="shared" si="13"/>
        <v>0</v>
      </c>
      <c r="BC13" s="23">
        <v>0</v>
      </c>
      <c r="BD13" s="24">
        <v>0</v>
      </c>
      <c r="BE13" s="25">
        <v>0</v>
      </c>
      <c r="BF13" s="25">
        <f t="shared" si="14"/>
        <v>0</v>
      </c>
      <c r="BG13" s="23">
        <v>0</v>
      </c>
      <c r="BH13" s="24">
        <v>0</v>
      </c>
      <c r="BI13" s="25">
        <v>0</v>
      </c>
      <c r="BJ13" s="25">
        <f t="shared" si="15"/>
        <v>0</v>
      </c>
      <c r="BK13" s="23">
        <v>0</v>
      </c>
      <c r="BL13" s="24">
        <v>2</v>
      </c>
      <c r="BM13" s="25">
        <v>0</v>
      </c>
      <c r="BN13" s="25">
        <f t="shared" si="16"/>
        <v>2</v>
      </c>
      <c r="BO13" s="23">
        <v>1</v>
      </c>
      <c r="BP13" s="24">
        <v>0</v>
      </c>
      <c r="BQ13" s="25">
        <v>0</v>
      </c>
      <c r="BR13" s="25">
        <f t="shared" si="17"/>
        <v>0</v>
      </c>
      <c r="BS13" s="23">
        <v>0</v>
      </c>
      <c r="BT13" s="24">
        <f t="shared" si="18"/>
        <v>11</v>
      </c>
      <c r="BU13" s="25">
        <f t="shared" si="19"/>
        <v>3</v>
      </c>
      <c r="BV13" s="25">
        <f t="shared" si="20"/>
        <v>6</v>
      </c>
      <c r="BW13" s="25">
        <f t="shared" si="21"/>
        <v>0.7857142857142857</v>
      </c>
      <c r="BX13" s="25">
        <f t="shared" si="22"/>
        <v>0.6470588235294118</v>
      </c>
      <c r="BY13" s="23">
        <f t="shared" si="23"/>
        <v>0.70967741935483863</v>
      </c>
      <c r="CC13" s="75" t="s">
        <v>64</v>
      </c>
      <c r="CD13">
        <f>AVERAGE(BW23:BW24)</f>
        <v>0.66666666666666674</v>
      </c>
      <c r="CE13">
        <f t="shared" ref="CE13:CF13" si="33">AVERAGE(BX23:BX24)</f>
        <v>0.92121212121212115</v>
      </c>
      <c r="CF13">
        <f t="shared" si="33"/>
        <v>0.76907001044932088</v>
      </c>
    </row>
    <row r="14" spans="1:84" x14ac:dyDescent="0.35">
      <c r="A14" s="57" t="s">
        <v>10</v>
      </c>
      <c r="B14" s="108"/>
      <c r="C14" s="23" t="s">
        <v>22</v>
      </c>
      <c r="D14" s="24">
        <v>3</v>
      </c>
      <c r="E14" s="25">
        <v>3</v>
      </c>
      <c r="F14" s="25">
        <f t="shared" si="1"/>
        <v>0</v>
      </c>
      <c r="G14" s="23">
        <v>0</v>
      </c>
      <c r="H14" s="24">
        <v>0</v>
      </c>
      <c r="I14" s="24">
        <v>0</v>
      </c>
      <c r="J14" s="24">
        <v>0</v>
      </c>
      <c r="K14" s="23">
        <v>0</v>
      </c>
      <c r="L14" s="24">
        <v>0</v>
      </c>
      <c r="M14" s="24">
        <v>0</v>
      </c>
      <c r="N14" s="24">
        <v>0</v>
      </c>
      <c r="O14" s="23">
        <v>0</v>
      </c>
      <c r="P14" s="24">
        <v>5</v>
      </c>
      <c r="Q14" s="25">
        <v>5</v>
      </c>
      <c r="R14" s="25">
        <f t="shared" si="4"/>
        <v>0</v>
      </c>
      <c r="S14" s="23">
        <v>0</v>
      </c>
      <c r="T14" s="24">
        <v>0</v>
      </c>
      <c r="U14" s="25">
        <v>0</v>
      </c>
      <c r="V14" s="25">
        <v>0</v>
      </c>
      <c r="W14" s="23">
        <v>0</v>
      </c>
      <c r="X14" s="24">
        <v>0</v>
      </c>
      <c r="Y14" s="24">
        <v>0</v>
      </c>
      <c r="Z14" s="24">
        <f>X14-Y14</f>
        <v>0</v>
      </c>
      <c r="AA14" s="23">
        <v>0</v>
      </c>
      <c r="AB14" s="24">
        <v>0</v>
      </c>
      <c r="AC14" s="24">
        <v>0</v>
      </c>
      <c r="AD14" s="24">
        <f>AB14-AC14</f>
        <v>0</v>
      </c>
      <c r="AE14" s="23">
        <v>0</v>
      </c>
      <c r="AF14" s="24">
        <v>0</v>
      </c>
      <c r="AG14" s="24">
        <v>0</v>
      </c>
      <c r="AH14" s="24">
        <f>AF14-AG14</f>
        <v>0</v>
      </c>
      <c r="AI14" s="23">
        <v>0</v>
      </c>
      <c r="AJ14" s="24">
        <v>0</v>
      </c>
      <c r="AK14" s="24">
        <v>0</v>
      </c>
      <c r="AL14" s="24">
        <f>AJ14-AK14</f>
        <v>0</v>
      </c>
      <c r="AM14" s="23">
        <v>0</v>
      </c>
      <c r="AN14" s="24">
        <v>0</v>
      </c>
      <c r="AO14" s="24">
        <v>0</v>
      </c>
      <c r="AP14" s="24">
        <f>AN14-AO14</f>
        <v>0</v>
      </c>
      <c r="AQ14" s="23">
        <v>0</v>
      </c>
      <c r="AR14" s="24">
        <v>2</v>
      </c>
      <c r="AS14" s="25">
        <v>1</v>
      </c>
      <c r="AT14" s="25">
        <f t="shared" si="11"/>
        <v>1</v>
      </c>
      <c r="AU14" s="23">
        <v>0</v>
      </c>
      <c r="AV14" s="24">
        <v>0</v>
      </c>
      <c r="AW14" s="25">
        <v>0</v>
      </c>
      <c r="AX14" s="25">
        <f t="shared" si="12"/>
        <v>0</v>
      </c>
      <c r="AY14" s="23">
        <v>1</v>
      </c>
      <c r="AZ14" s="24">
        <v>2</v>
      </c>
      <c r="BA14" s="25">
        <v>2</v>
      </c>
      <c r="BB14" s="25">
        <f t="shared" si="13"/>
        <v>0</v>
      </c>
      <c r="BC14" s="23">
        <v>0</v>
      </c>
      <c r="BD14" s="24">
        <v>0</v>
      </c>
      <c r="BE14" s="25">
        <v>0</v>
      </c>
      <c r="BF14" s="25">
        <f t="shared" si="14"/>
        <v>0</v>
      </c>
      <c r="BG14" s="23">
        <v>0</v>
      </c>
      <c r="BH14" s="24">
        <v>0</v>
      </c>
      <c r="BI14" s="25">
        <v>0</v>
      </c>
      <c r="BJ14" s="25">
        <f t="shared" si="15"/>
        <v>0</v>
      </c>
      <c r="BK14" s="23">
        <v>0</v>
      </c>
      <c r="BL14" s="24">
        <v>2</v>
      </c>
      <c r="BM14" s="25">
        <v>0</v>
      </c>
      <c r="BN14" s="25">
        <f t="shared" si="16"/>
        <v>2</v>
      </c>
      <c r="BO14" s="23">
        <v>1</v>
      </c>
      <c r="BP14" s="24">
        <v>0</v>
      </c>
      <c r="BQ14" s="25">
        <v>0</v>
      </c>
      <c r="BR14" s="25">
        <f t="shared" si="17"/>
        <v>0</v>
      </c>
      <c r="BS14" s="23">
        <v>0</v>
      </c>
      <c r="BT14" s="24">
        <f t="shared" si="18"/>
        <v>11</v>
      </c>
      <c r="BU14" s="25">
        <f t="shared" si="19"/>
        <v>3</v>
      </c>
      <c r="BV14" s="25">
        <f t="shared" si="20"/>
        <v>2</v>
      </c>
      <c r="BW14" s="25">
        <f t="shared" si="21"/>
        <v>0.7857142857142857</v>
      </c>
      <c r="BX14" s="25">
        <f t="shared" si="22"/>
        <v>0.84615384615384615</v>
      </c>
      <c r="BY14" s="23">
        <f t="shared" si="23"/>
        <v>0.81481481481481477</v>
      </c>
      <c r="CC14" s="75" t="s">
        <v>65</v>
      </c>
      <c r="CD14">
        <f>AVERAGE(BW25:BW26)</f>
        <v>1</v>
      </c>
      <c r="CE14">
        <f t="shared" ref="CE14:CF14" si="34">AVERAGE(BX25:BX26)</f>
        <v>0.9375</v>
      </c>
      <c r="CF14">
        <f t="shared" si="34"/>
        <v>0.96666666666666667</v>
      </c>
    </row>
    <row r="15" spans="1:84" x14ac:dyDescent="0.35">
      <c r="A15" s="58" t="s">
        <v>10</v>
      </c>
      <c r="B15" s="108"/>
      <c r="C15" s="26" t="s">
        <v>23</v>
      </c>
      <c r="D15" s="27">
        <v>2</v>
      </c>
      <c r="E15" s="28">
        <v>2</v>
      </c>
      <c r="F15" s="28">
        <f t="shared" si="1"/>
        <v>0</v>
      </c>
      <c r="G15" s="26">
        <v>0</v>
      </c>
      <c r="H15" s="27">
        <v>0</v>
      </c>
      <c r="I15" s="27">
        <v>0</v>
      </c>
      <c r="J15" s="27">
        <f t="shared" si="2"/>
        <v>0</v>
      </c>
      <c r="K15" s="26">
        <v>0</v>
      </c>
      <c r="L15" s="27">
        <v>0</v>
      </c>
      <c r="M15" s="27">
        <v>0</v>
      </c>
      <c r="N15" s="27">
        <f t="shared" si="3"/>
        <v>0</v>
      </c>
      <c r="O15" s="26">
        <v>0</v>
      </c>
      <c r="P15" s="27">
        <v>3</v>
      </c>
      <c r="Q15" s="28">
        <v>3</v>
      </c>
      <c r="R15" s="28">
        <f t="shared" si="4"/>
        <v>0</v>
      </c>
      <c r="S15" s="26">
        <v>1</v>
      </c>
      <c r="T15" s="27">
        <v>0</v>
      </c>
      <c r="U15" s="28">
        <v>0</v>
      </c>
      <c r="V15" s="28">
        <f t="shared" si="5"/>
        <v>0</v>
      </c>
      <c r="W15" s="26">
        <v>0</v>
      </c>
      <c r="X15" s="27">
        <v>0</v>
      </c>
      <c r="Y15" s="27">
        <v>0</v>
      </c>
      <c r="Z15" s="27">
        <f t="shared" si="6"/>
        <v>0</v>
      </c>
      <c r="AA15" s="26">
        <v>0</v>
      </c>
      <c r="AB15" s="27">
        <v>0</v>
      </c>
      <c r="AC15" s="27">
        <v>0</v>
      </c>
      <c r="AD15" s="27">
        <f t="shared" si="7"/>
        <v>0</v>
      </c>
      <c r="AE15" s="26">
        <v>0</v>
      </c>
      <c r="AF15" s="27">
        <v>0</v>
      </c>
      <c r="AG15" s="27">
        <v>0</v>
      </c>
      <c r="AH15" s="27">
        <f t="shared" si="8"/>
        <v>0</v>
      </c>
      <c r="AI15" s="26">
        <v>0</v>
      </c>
      <c r="AJ15" s="27">
        <v>0</v>
      </c>
      <c r="AK15" s="27">
        <v>0</v>
      </c>
      <c r="AL15" s="27">
        <f t="shared" si="9"/>
        <v>0</v>
      </c>
      <c r="AM15" s="26">
        <v>0</v>
      </c>
      <c r="AN15" s="27">
        <v>0</v>
      </c>
      <c r="AO15" s="27">
        <v>0</v>
      </c>
      <c r="AP15" s="27">
        <f t="shared" si="10"/>
        <v>0</v>
      </c>
      <c r="AQ15" s="26">
        <v>0</v>
      </c>
      <c r="AR15" s="27">
        <v>1</v>
      </c>
      <c r="AS15" s="28">
        <v>0</v>
      </c>
      <c r="AT15" s="28">
        <f t="shared" si="11"/>
        <v>1</v>
      </c>
      <c r="AU15" s="26">
        <v>0</v>
      </c>
      <c r="AV15" s="27">
        <v>0</v>
      </c>
      <c r="AW15" s="28">
        <v>0</v>
      </c>
      <c r="AX15" s="28">
        <f t="shared" si="12"/>
        <v>0</v>
      </c>
      <c r="AY15" s="26">
        <v>1</v>
      </c>
      <c r="AZ15" s="27">
        <v>1</v>
      </c>
      <c r="BA15" s="28">
        <v>1</v>
      </c>
      <c r="BB15" s="28">
        <f t="shared" si="13"/>
        <v>0</v>
      </c>
      <c r="BC15" s="26">
        <v>0</v>
      </c>
      <c r="BD15" s="27">
        <v>0</v>
      </c>
      <c r="BE15" s="28">
        <v>0</v>
      </c>
      <c r="BF15" s="28">
        <f t="shared" si="14"/>
        <v>0</v>
      </c>
      <c r="BG15" s="26">
        <v>0</v>
      </c>
      <c r="BH15" s="27">
        <v>0</v>
      </c>
      <c r="BI15" s="28">
        <v>0</v>
      </c>
      <c r="BJ15" s="28">
        <f t="shared" si="15"/>
        <v>0</v>
      </c>
      <c r="BK15" s="26">
        <v>0</v>
      </c>
      <c r="BL15" s="27">
        <v>1</v>
      </c>
      <c r="BM15" s="28">
        <v>0</v>
      </c>
      <c r="BN15" s="28">
        <f t="shared" si="16"/>
        <v>1</v>
      </c>
      <c r="BO15" s="26">
        <v>0</v>
      </c>
      <c r="BP15" s="27">
        <v>0</v>
      </c>
      <c r="BQ15" s="28">
        <v>0</v>
      </c>
      <c r="BR15" s="28">
        <f t="shared" si="17"/>
        <v>0</v>
      </c>
      <c r="BS15" s="26">
        <v>0</v>
      </c>
      <c r="BT15" s="27">
        <f t="shared" si="18"/>
        <v>6</v>
      </c>
      <c r="BU15" s="28">
        <f t="shared" si="19"/>
        <v>2</v>
      </c>
      <c r="BV15" s="28">
        <f t="shared" si="20"/>
        <v>2</v>
      </c>
      <c r="BW15" s="28">
        <f t="shared" si="21"/>
        <v>0.75</v>
      </c>
      <c r="BX15" s="28">
        <f t="shared" si="22"/>
        <v>0.75</v>
      </c>
      <c r="BY15" s="26">
        <f t="shared" si="23"/>
        <v>0.75</v>
      </c>
      <c r="CC15" s="75" t="s">
        <v>66</v>
      </c>
      <c r="CD15">
        <f>AVERAGE(BW27:BW28)</f>
        <v>0.41176470588235292</v>
      </c>
      <c r="CE15">
        <f t="shared" ref="CE15:CF15" si="35">AVERAGE(BX27:BX28)</f>
        <v>0.60227272727272729</v>
      </c>
      <c r="CF15">
        <f t="shared" si="35"/>
        <v>0.48891625615763556</v>
      </c>
    </row>
    <row r="16" spans="1:84" x14ac:dyDescent="0.35">
      <c r="A16" s="58" t="s">
        <v>10</v>
      </c>
      <c r="B16" s="108"/>
      <c r="C16" s="26" t="s">
        <v>24</v>
      </c>
      <c r="D16" s="27">
        <v>2</v>
      </c>
      <c r="E16" s="28">
        <v>2</v>
      </c>
      <c r="F16" s="28">
        <f t="shared" si="1"/>
        <v>0</v>
      </c>
      <c r="G16" s="26">
        <v>0</v>
      </c>
      <c r="H16" s="27">
        <v>0</v>
      </c>
      <c r="I16" s="27">
        <v>0</v>
      </c>
      <c r="J16" s="27">
        <f t="shared" si="2"/>
        <v>0</v>
      </c>
      <c r="K16" s="26">
        <v>0</v>
      </c>
      <c r="L16" s="27">
        <v>0</v>
      </c>
      <c r="M16" s="27">
        <v>0</v>
      </c>
      <c r="N16" s="27">
        <f t="shared" si="3"/>
        <v>0</v>
      </c>
      <c r="O16" s="26">
        <v>0</v>
      </c>
      <c r="P16" s="27">
        <v>3</v>
      </c>
      <c r="Q16" s="28">
        <v>3</v>
      </c>
      <c r="R16" s="28">
        <f t="shared" si="4"/>
        <v>0</v>
      </c>
      <c r="S16" s="26">
        <v>0</v>
      </c>
      <c r="T16" s="27">
        <v>0</v>
      </c>
      <c r="U16" s="28">
        <v>0</v>
      </c>
      <c r="V16" s="28">
        <f t="shared" si="5"/>
        <v>0</v>
      </c>
      <c r="W16" s="26">
        <v>0</v>
      </c>
      <c r="X16" s="27">
        <v>0</v>
      </c>
      <c r="Y16" s="27">
        <v>0</v>
      </c>
      <c r="Z16" s="27">
        <v>0</v>
      </c>
      <c r="AA16" s="26">
        <v>0</v>
      </c>
      <c r="AB16" s="27">
        <v>0</v>
      </c>
      <c r="AC16" s="27">
        <v>0</v>
      </c>
      <c r="AD16" s="27">
        <f t="shared" si="7"/>
        <v>0</v>
      </c>
      <c r="AE16" s="26">
        <v>0</v>
      </c>
      <c r="AF16" s="27">
        <v>0</v>
      </c>
      <c r="AG16" s="27">
        <v>0</v>
      </c>
      <c r="AH16" s="27">
        <f t="shared" si="8"/>
        <v>0</v>
      </c>
      <c r="AI16" s="26">
        <v>0</v>
      </c>
      <c r="AJ16" s="27">
        <v>0</v>
      </c>
      <c r="AK16" s="27">
        <v>0</v>
      </c>
      <c r="AL16" s="27">
        <f t="shared" si="9"/>
        <v>0</v>
      </c>
      <c r="AM16" s="26">
        <v>0</v>
      </c>
      <c r="AN16" s="27">
        <v>0</v>
      </c>
      <c r="AO16" s="27">
        <v>0</v>
      </c>
      <c r="AP16" s="27">
        <f t="shared" si="10"/>
        <v>0</v>
      </c>
      <c r="AQ16" s="26">
        <v>0</v>
      </c>
      <c r="AR16" s="27">
        <v>1</v>
      </c>
      <c r="AS16" s="28">
        <v>0</v>
      </c>
      <c r="AT16" s="28">
        <f t="shared" si="11"/>
        <v>1</v>
      </c>
      <c r="AU16" s="26">
        <v>0</v>
      </c>
      <c r="AV16" s="27">
        <v>0</v>
      </c>
      <c r="AW16" s="28">
        <v>0</v>
      </c>
      <c r="AX16" s="28">
        <f t="shared" si="12"/>
        <v>0</v>
      </c>
      <c r="AY16" s="26">
        <v>1</v>
      </c>
      <c r="AZ16" s="27">
        <v>1</v>
      </c>
      <c r="BA16" s="28">
        <v>1</v>
      </c>
      <c r="BB16" s="28">
        <f t="shared" si="13"/>
        <v>0</v>
      </c>
      <c r="BC16" s="26">
        <v>0</v>
      </c>
      <c r="BD16" s="27">
        <v>0</v>
      </c>
      <c r="BE16" s="28">
        <v>0</v>
      </c>
      <c r="BF16" s="28">
        <f t="shared" si="14"/>
        <v>0</v>
      </c>
      <c r="BG16" s="26">
        <v>0</v>
      </c>
      <c r="BH16" s="27">
        <v>0</v>
      </c>
      <c r="BI16" s="28">
        <v>0</v>
      </c>
      <c r="BJ16" s="28">
        <f t="shared" si="15"/>
        <v>0</v>
      </c>
      <c r="BK16" s="26">
        <v>0</v>
      </c>
      <c r="BL16" s="27">
        <v>1</v>
      </c>
      <c r="BM16" s="28">
        <v>1</v>
      </c>
      <c r="BN16" s="28">
        <f>BL16-BM16</f>
        <v>0</v>
      </c>
      <c r="BO16" s="26">
        <v>0</v>
      </c>
      <c r="BP16" s="27">
        <v>0</v>
      </c>
      <c r="BQ16" s="28">
        <v>0</v>
      </c>
      <c r="BR16" s="28">
        <f t="shared" si="17"/>
        <v>0</v>
      </c>
      <c r="BS16" s="26">
        <v>0</v>
      </c>
      <c r="BT16" s="27">
        <f t="shared" si="18"/>
        <v>7</v>
      </c>
      <c r="BU16" s="28">
        <f t="shared" si="19"/>
        <v>1</v>
      </c>
      <c r="BV16" s="28">
        <f t="shared" si="20"/>
        <v>1</v>
      </c>
      <c r="BW16" s="28">
        <f t="shared" si="21"/>
        <v>0.875</v>
      </c>
      <c r="BX16" s="28">
        <f t="shared" si="22"/>
        <v>0.875</v>
      </c>
      <c r="BY16" s="26">
        <f t="shared" si="23"/>
        <v>0.875</v>
      </c>
      <c r="CC16" s="75" t="s">
        <v>67</v>
      </c>
      <c r="CD16">
        <f>AVERAGE(BW29:BW30)</f>
        <v>0.85</v>
      </c>
      <c r="CE16">
        <f t="shared" ref="CE16:CF16" si="36">AVERAGE(BX29:BX30)</f>
        <v>0.95454545454545459</v>
      </c>
      <c r="CF16">
        <f t="shared" si="36"/>
        <v>0.88795518207282909</v>
      </c>
    </row>
    <row r="17" spans="1:84" x14ac:dyDescent="0.35">
      <c r="A17" s="59" t="s">
        <v>10</v>
      </c>
      <c r="B17" s="108"/>
      <c r="C17" s="29" t="s">
        <v>25</v>
      </c>
      <c r="D17" s="30">
        <v>2</v>
      </c>
      <c r="E17" s="31">
        <v>2</v>
      </c>
      <c r="F17" s="31">
        <f t="shared" si="1"/>
        <v>0</v>
      </c>
      <c r="G17" s="29">
        <v>0</v>
      </c>
      <c r="H17" s="30">
        <v>0</v>
      </c>
      <c r="I17" s="31">
        <v>0</v>
      </c>
      <c r="J17" s="31">
        <f t="shared" si="2"/>
        <v>0</v>
      </c>
      <c r="K17" s="29">
        <v>0</v>
      </c>
      <c r="L17" s="30">
        <v>0</v>
      </c>
      <c r="M17" s="31">
        <v>0</v>
      </c>
      <c r="N17" s="31">
        <f t="shared" si="3"/>
        <v>0</v>
      </c>
      <c r="O17" s="29">
        <v>0</v>
      </c>
      <c r="P17" s="30">
        <v>3</v>
      </c>
      <c r="Q17" s="31">
        <v>3</v>
      </c>
      <c r="R17" s="31">
        <f t="shared" si="4"/>
        <v>0</v>
      </c>
      <c r="S17" s="29">
        <v>0</v>
      </c>
      <c r="T17" s="30">
        <v>0</v>
      </c>
      <c r="U17" s="31">
        <v>0</v>
      </c>
      <c r="V17" s="31">
        <f t="shared" si="5"/>
        <v>0</v>
      </c>
      <c r="W17" s="29">
        <v>3</v>
      </c>
      <c r="X17" s="30">
        <v>1</v>
      </c>
      <c r="Y17" s="31">
        <v>1</v>
      </c>
      <c r="Z17" s="31">
        <f t="shared" si="6"/>
        <v>0</v>
      </c>
      <c r="AA17" s="29">
        <v>0</v>
      </c>
      <c r="AB17" s="30">
        <v>1</v>
      </c>
      <c r="AC17" s="31">
        <v>1</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0</v>
      </c>
      <c r="AW17" s="31">
        <v>0</v>
      </c>
      <c r="AX17" s="31">
        <f t="shared" si="12"/>
        <v>0</v>
      </c>
      <c r="AY17" s="29">
        <v>0</v>
      </c>
      <c r="AZ17" s="30">
        <v>1</v>
      </c>
      <c r="BA17" s="31">
        <v>1</v>
      </c>
      <c r="BB17" s="31">
        <f t="shared" si="13"/>
        <v>0</v>
      </c>
      <c r="BC17" s="29">
        <v>0</v>
      </c>
      <c r="BD17" s="30">
        <v>0</v>
      </c>
      <c r="BE17" s="31">
        <v>0</v>
      </c>
      <c r="BF17" s="31">
        <f t="shared" si="14"/>
        <v>0</v>
      </c>
      <c r="BG17" s="29">
        <v>0</v>
      </c>
      <c r="BH17" s="30">
        <v>0</v>
      </c>
      <c r="BI17" s="31">
        <v>0</v>
      </c>
      <c r="BJ17" s="31">
        <f t="shared" si="15"/>
        <v>0</v>
      </c>
      <c r="BK17" s="29">
        <v>0</v>
      </c>
      <c r="BL17" s="30">
        <v>0</v>
      </c>
      <c r="BM17" s="31">
        <v>0</v>
      </c>
      <c r="BN17" s="31">
        <f t="shared" si="16"/>
        <v>0</v>
      </c>
      <c r="BO17" s="29">
        <v>0</v>
      </c>
      <c r="BP17" s="30">
        <v>1</v>
      </c>
      <c r="BQ17" s="31">
        <v>1</v>
      </c>
      <c r="BR17" s="31">
        <f t="shared" si="17"/>
        <v>0</v>
      </c>
      <c r="BS17" s="29">
        <v>0</v>
      </c>
      <c r="BT17" s="30">
        <f t="shared" si="18"/>
        <v>10</v>
      </c>
      <c r="BU17" s="31">
        <f t="shared" si="19"/>
        <v>0</v>
      </c>
      <c r="BV17" s="31">
        <f t="shared" si="20"/>
        <v>3</v>
      </c>
      <c r="BW17" s="31">
        <f t="shared" si="21"/>
        <v>1</v>
      </c>
      <c r="BX17" s="31">
        <f t="shared" si="22"/>
        <v>0.76923076923076927</v>
      </c>
      <c r="BY17" s="29">
        <f t="shared" si="23"/>
        <v>0.86956521739130443</v>
      </c>
      <c r="CC17" s="75" t="s">
        <v>42</v>
      </c>
      <c r="CD17">
        <f>AVERAGE(CD3:CD16)</f>
        <v>0.80623482298902471</v>
      </c>
      <c r="CE17">
        <f t="shared" ref="CE17:CF17" si="37">AVERAGE(CE3:CE16)</f>
        <v>0.86805107824015393</v>
      </c>
      <c r="CF17">
        <f t="shared" si="37"/>
        <v>0.82864129636178308</v>
      </c>
    </row>
    <row r="18" spans="1:84" x14ac:dyDescent="0.35">
      <c r="A18" s="59" t="s">
        <v>10</v>
      </c>
      <c r="B18" s="108"/>
      <c r="C18" s="29" t="s">
        <v>26</v>
      </c>
      <c r="D18" s="30">
        <v>2</v>
      </c>
      <c r="E18" s="31">
        <v>2</v>
      </c>
      <c r="F18" s="31">
        <f t="shared" si="1"/>
        <v>0</v>
      </c>
      <c r="G18" s="29">
        <v>0</v>
      </c>
      <c r="H18" s="30">
        <v>0</v>
      </c>
      <c r="I18" s="31">
        <v>0</v>
      </c>
      <c r="J18" s="31">
        <f t="shared" si="2"/>
        <v>0</v>
      </c>
      <c r="K18" s="29">
        <v>0</v>
      </c>
      <c r="L18" s="30">
        <v>0</v>
      </c>
      <c r="M18" s="31">
        <v>0</v>
      </c>
      <c r="N18" s="31">
        <f t="shared" si="3"/>
        <v>0</v>
      </c>
      <c r="O18" s="29">
        <v>0</v>
      </c>
      <c r="P18" s="30">
        <v>3</v>
      </c>
      <c r="Q18" s="31">
        <v>3</v>
      </c>
      <c r="R18" s="31">
        <f t="shared" si="4"/>
        <v>0</v>
      </c>
      <c r="S18" s="29">
        <v>0</v>
      </c>
      <c r="T18" s="30">
        <v>0</v>
      </c>
      <c r="U18" s="31">
        <v>0</v>
      </c>
      <c r="V18" s="31">
        <f t="shared" si="5"/>
        <v>0</v>
      </c>
      <c r="W18" s="29">
        <v>0</v>
      </c>
      <c r="X18" s="30">
        <v>1</v>
      </c>
      <c r="Y18" s="31">
        <v>1</v>
      </c>
      <c r="Z18" s="31">
        <f t="shared" si="6"/>
        <v>0</v>
      </c>
      <c r="AA18" s="29">
        <v>0</v>
      </c>
      <c r="AB18" s="30">
        <v>1</v>
      </c>
      <c r="AC18" s="31">
        <v>1</v>
      </c>
      <c r="AD18" s="31">
        <f t="shared" si="7"/>
        <v>0</v>
      </c>
      <c r="AE18" s="29">
        <v>0</v>
      </c>
      <c r="AF18" s="30">
        <v>1</v>
      </c>
      <c r="AG18" s="31">
        <v>0</v>
      </c>
      <c r="AH18" s="31">
        <f t="shared" si="8"/>
        <v>1</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0</v>
      </c>
      <c r="AW18" s="31">
        <v>0</v>
      </c>
      <c r="AX18" s="31">
        <f t="shared" si="12"/>
        <v>0</v>
      </c>
      <c r="AY18" s="29">
        <v>0</v>
      </c>
      <c r="AZ18" s="30">
        <v>1</v>
      </c>
      <c r="BA18" s="31">
        <v>1</v>
      </c>
      <c r="BB18" s="31">
        <f t="shared" si="13"/>
        <v>0</v>
      </c>
      <c r="BC18" s="29">
        <v>0</v>
      </c>
      <c r="BD18" s="30">
        <v>0</v>
      </c>
      <c r="BE18" s="31">
        <v>0</v>
      </c>
      <c r="BF18" s="31">
        <f t="shared" si="14"/>
        <v>0</v>
      </c>
      <c r="BG18" s="29">
        <v>0</v>
      </c>
      <c r="BH18" s="30">
        <v>0</v>
      </c>
      <c r="BI18" s="31">
        <v>0</v>
      </c>
      <c r="BJ18" s="31">
        <f t="shared" si="15"/>
        <v>0</v>
      </c>
      <c r="BK18" s="29">
        <v>0</v>
      </c>
      <c r="BL18" s="30">
        <v>0</v>
      </c>
      <c r="BM18" s="31">
        <v>0</v>
      </c>
      <c r="BN18" s="31">
        <f>BL18-BM18</f>
        <v>0</v>
      </c>
      <c r="BO18" s="29">
        <v>0</v>
      </c>
      <c r="BP18" s="30">
        <v>1</v>
      </c>
      <c r="BQ18" s="31">
        <v>1</v>
      </c>
      <c r="BR18" s="31">
        <f t="shared" si="17"/>
        <v>0</v>
      </c>
      <c r="BS18" s="29">
        <v>0</v>
      </c>
      <c r="BT18" s="30">
        <f t="shared" si="18"/>
        <v>9</v>
      </c>
      <c r="BU18" s="31">
        <f t="shared" si="19"/>
        <v>1</v>
      </c>
      <c r="BV18" s="31">
        <f t="shared" si="20"/>
        <v>0</v>
      </c>
      <c r="BW18" s="31">
        <f t="shared" si="21"/>
        <v>0.9</v>
      </c>
      <c r="BX18" s="31">
        <f t="shared" si="22"/>
        <v>1</v>
      </c>
      <c r="BY18" s="29">
        <f t="shared" si="23"/>
        <v>0.94736842105263164</v>
      </c>
    </row>
    <row r="19" spans="1:84" x14ac:dyDescent="0.35">
      <c r="A19" s="60" t="s">
        <v>10</v>
      </c>
      <c r="B19" s="108"/>
      <c r="C19" s="32" t="s">
        <v>27</v>
      </c>
      <c r="D19" s="33">
        <v>3</v>
      </c>
      <c r="E19" s="34">
        <v>3</v>
      </c>
      <c r="F19" s="34">
        <f t="shared" si="1"/>
        <v>0</v>
      </c>
      <c r="G19" s="32">
        <v>0</v>
      </c>
      <c r="H19" s="33">
        <v>0</v>
      </c>
      <c r="I19" s="34">
        <v>0</v>
      </c>
      <c r="J19" s="34">
        <f t="shared" si="2"/>
        <v>0</v>
      </c>
      <c r="K19" s="32">
        <v>0</v>
      </c>
      <c r="L19" s="33">
        <v>0</v>
      </c>
      <c r="M19" s="34">
        <v>0</v>
      </c>
      <c r="N19" s="34">
        <f t="shared" si="3"/>
        <v>0</v>
      </c>
      <c r="O19" s="32">
        <v>0</v>
      </c>
      <c r="P19" s="33">
        <v>3</v>
      </c>
      <c r="Q19" s="34">
        <v>3</v>
      </c>
      <c r="R19" s="34">
        <f t="shared" si="4"/>
        <v>0</v>
      </c>
      <c r="S19" s="32">
        <v>0</v>
      </c>
      <c r="T19" s="33">
        <v>0</v>
      </c>
      <c r="U19" s="34">
        <v>0</v>
      </c>
      <c r="V19" s="34">
        <f t="shared" si="5"/>
        <v>0</v>
      </c>
      <c r="W19" s="32">
        <v>0</v>
      </c>
      <c r="X19" s="33">
        <v>2</v>
      </c>
      <c r="Y19" s="34">
        <v>1</v>
      </c>
      <c r="Z19" s="34">
        <f t="shared" si="6"/>
        <v>1</v>
      </c>
      <c r="AA19" s="32">
        <v>0</v>
      </c>
      <c r="AB19" s="33">
        <v>2</v>
      </c>
      <c r="AC19" s="34">
        <v>1</v>
      </c>
      <c r="AD19" s="34">
        <f t="shared" si="7"/>
        <v>1</v>
      </c>
      <c r="AE19" s="32">
        <v>0</v>
      </c>
      <c r="AF19" s="33">
        <v>2</v>
      </c>
      <c r="AG19" s="34">
        <v>0</v>
      </c>
      <c r="AH19" s="34">
        <f t="shared" si="8"/>
        <v>2</v>
      </c>
      <c r="AI19" s="32">
        <v>0</v>
      </c>
      <c r="AJ19" s="33">
        <v>0</v>
      </c>
      <c r="AK19" s="34">
        <v>0</v>
      </c>
      <c r="AL19" s="34">
        <f t="shared" si="9"/>
        <v>0</v>
      </c>
      <c r="AM19" s="32">
        <v>0</v>
      </c>
      <c r="AN19" s="33">
        <v>0</v>
      </c>
      <c r="AO19" s="34">
        <v>0</v>
      </c>
      <c r="AP19" s="34">
        <f t="shared" si="10"/>
        <v>0</v>
      </c>
      <c r="AQ19" s="32">
        <v>1</v>
      </c>
      <c r="AR19" s="33">
        <v>0</v>
      </c>
      <c r="AS19" s="34">
        <v>0</v>
      </c>
      <c r="AT19" s="34">
        <f t="shared" si="11"/>
        <v>0</v>
      </c>
      <c r="AU19" s="32">
        <v>1</v>
      </c>
      <c r="AV19" s="33">
        <v>0</v>
      </c>
      <c r="AW19" s="34">
        <v>0</v>
      </c>
      <c r="AX19" s="34">
        <f t="shared" si="12"/>
        <v>0</v>
      </c>
      <c r="AY19" s="32">
        <v>0</v>
      </c>
      <c r="AZ19" s="33">
        <v>2</v>
      </c>
      <c r="BA19" s="34">
        <v>2</v>
      </c>
      <c r="BB19" s="34">
        <f t="shared" si="13"/>
        <v>0</v>
      </c>
      <c r="BC19" s="32">
        <v>0</v>
      </c>
      <c r="BD19" s="33">
        <v>0</v>
      </c>
      <c r="BE19" s="34">
        <v>0</v>
      </c>
      <c r="BF19" s="34">
        <f t="shared" si="14"/>
        <v>0</v>
      </c>
      <c r="BG19" s="32">
        <v>0</v>
      </c>
      <c r="BH19" s="33">
        <v>1</v>
      </c>
      <c r="BI19" s="34">
        <v>0</v>
      </c>
      <c r="BJ19" s="34">
        <f t="shared" si="15"/>
        <v>1</v>
      </c>
      <c r="BK19" s="32">
        <v>0</v>
      </c>
      <c r="BL19" s="33">
        <v>0</v>
      </c>
      <c r="BM19" s="34">
        <v>0</v>
      </c>
      <c r="BN19" s="34">
        <f t="shared" si="16"/>
        <v>0</v>
      </c>
      <c r="BO19" s="32">
        <v>2</v>
      </c>
      <c r="BP19" s="33">
        <v>2</v>
      </c>
      <c r="BQ19" s="34">
        <v>0</v>
      </c>
      <c r="BR19" s="34">
        <f t="shared" si="17"/>
        <v>2</v>
      </c>
      <c r="BS19" s="32">
        <v>0</v>
      </c>
      <c r="BT19" s="33">
        <f t="shared" si="18"/>
        <v>10</v>
      </c>
      <c r="BU19" s="34">
        <f t="shared" si="19"/>
        <v>7</v>
      </c>
      <c r="BV19" s="34">
        <f t="shared" si="20"/>
        <v>4</v>
      </c>
      <c r="BW19" s="34">
        <f t="shared" si="21"/>
        <v>0.58823529411764708</v>
      </c>
      <c r="BX19" s="34">
        <f t="shared" si="22"/>
        <v>0.7142857142857143</v>
      </c>
      <c r="BY19" s="32">
        <f t="shared" si="23"/>
        <v>0.64516129032258063</v>
      </c>
    </row>
    <row r="20" spans="1:84" x14ac:dyDescent="0.35">
      <c r="A20" s="60" t="s">
        <v>10</v>
      </c>
      <c r="B20" s="108"/>
      <c r="C20" s="32" t="s">
        <v>28</v>
      </c>
      <c r="D20" s="33">
        <v>3</v>
      </c>
      <c r="E20" s="34">
        <v>3</v>
      </c>
      <c r="F20" s="34">
        <f t="shared" si="1"/>
        <v>0</v>
      </c>
      <c r="G20" s="32">
        <v>0</v>
      </c>
      <c r="H20" s="33">
        <v>0</v>
      </c>
      <c r="I20" s="34">
        <v>0</v>
      </c>
      <c r="J20" s="34">
        <f t="shared" si="2"/>
        <v>0</v>
      </c>
      <c r="K20" s="32">
        <v>0</v>
      </c>
      <c r="L20" s="33">
        <v>0</v>
      </c>
      <c r="M20" s="34">
        <v>0</v>
      </c>
      <c r="N20" s="34">
        <f t="shared" si="3"/>
        <v>0</v>
      </c>
      <c r="O20" s="32">
        <v>0</v>
      </c>
      <c r="P20" s="33">
        <v>3</v>
      </c>
      <c r="Q20" s="34">
        <v>3</v>
      </c>
      <c r="R20" s="34">
        <f t="shared" si="4"/>
        <v>0</v>
      </c>
      <c r="S20" s="32">
        <v>0</v>
      </c>
      <c r="T20" s="33">
        <v>0</v>
      </c>
      <c r="U20" s="34">
        <v>0</v>
      </c>
      <c r="V20" s="34">
        <f t="shared" si="5"/>
        <v>0</v>
      </c>
      <c r="W20" s="32">
        <v>0</v>
      </c>
      <c r="X20" s="33">
        <v>2</v>
      </c>
      <c r="Y20" s="34">
        <v>2</v>
      </c>
      <c r="Z20" s="34">
        <f t="shared" si="6"/>
        <v>0</v>
      </c>
      <c r="AA20" s="32">
        <v>0</v>
      </c>
      <c r="AB20" s="33">
        <v>2</v>
      </c>
      <c r="AC20" s="34">
        <v>2</v>
      </c>
      <c r="AD20" s="34">
        <f t="shared" si="7"/>
        <v>0</v>
      </c>
      <c r="AE20" s="32">
        <v>0</v>
      </c>
      <c r="AF20" s="33">
        <v>2</v>
      </c>
      <c r="AG20" s="34">
        <v>0</v>
      </c>
      <c r="AH20" s="34">
        <f t="shared" si="8"/>
        <v>2</v>
      </c>
      <c r="AI20" s="32">
        <v>0</v>
      </c>
      <c r="AJ20" s="33">
        <v>0</v>
      </c>
      <c r="AK20" s="34">
        <v>0</v>
      </c>
      <c r="AL20" s="34">
        <f t="shared" si="9"/>
        <v>0</v>
      </c>
      <c r="AM20" s="32">
        <v>0</v>
      </c>
      <c r="AN20" s="33">
        <v>0</v>
      </c>
      <c r="AO20" s="34">
        <v>0</v>
      </c>
      <c r="AP20" s="34">
        <f t="shared" si="10"/>
        <v>0</v>
      </c>
      <c r="AQ20" s="32">
        <v>1</v>
      </c>
      <c r="AR20" s="33">
        <v>0</v>
      </c>
      <c r="AS20" s="34">
        <v>0</v>
      </c>
      <c r="AT20" s="34">
        <f t="shared" si="11"/>
        <v>0</v>
      </c>
      <c r="AU20" s="32">
        <v>0</v>
      </c>
      <c r="AV20" s="33">
        <v>0</v>
      </c>
      <c r="AW20" s="34">
        <v>0</v>
      </c>
      <c r="AX20" s="34">
        <f t="shared" si="12"/>
        <v>0</v>
      </c>
      <c r="AY20" s="32">
        <v>0</v>
      </c>
      <c r="AZ20" s="33">
        <v>2</v>
      </c>
      <c r="BA20" s="34">
        <v>1</v>
      </c>
      <c r="BB20" s="34">
        <f t="shared" si="13"/>
        <v>1</v>
      </c>
      <c r="BC20" s="32">
        <v>0</v>
      </c>
      <c r="BD20" s="33">
        <v>0</v>
      </c>
      <c r="BE20" s="34">
        <v>0</v>
      </c>
      <c r="BF20" s="34">
        <f t="shared" si="14"/>
        <v>0</v>
      </c>
      <c r="BG20" s="32">
        <v>0</v>
      </c>
      <c r="BH20" s="33">
        <v>1</v>
      </c>
      <c r="BI20" s="34">
        <v>0</v>
      </c>
      <c r="BJ20" s="34">
        <f t="shared" si="15"/>
        <v>1</v>
      </c>
      <c r="BK20" s="32">
        <v>0</v>
      </c>
      <c r="BL20" s="33">
        <v>0</v>
      </c>
      <c r="BM20" s="34">
        <v>0</v>
      </c>
      <c r="BN20" s="34">
        <f t="shared" si="16"/>
        <v>0</v>
      </c>
      <c r="BO20" s="32">
        <v>1</v>
      </c>
      <c r="BP20" s="33">
        <v>2</v>
      </c>
      <c r="BQ20" s="34">
        <v>0</v>
      </c>
      <c r="BR20" s="34">
        <f t="shared" si="17"/>
        <v>2</v>
      </c>
      <c r="BS20" s="32">
        <v>0</v>
      </c>
      <c r="BT20" s="33">
        <f t="shared" si="18"/>
        <v>11</v>
      </c>
      <c r="BU20" s="34">
        <f t="shared" si="19"/>
        <v>6</v>
      </c>
      <c r="BV20" s="34">
        <f t="shared" si="20"/>
        <v>2</v>
      </c>
      <c r="BW20" s="34">
        <f t="shared" si="21"/>
        <v>0.6470588235294118</v>
      </c>
      <c r="BX20" s="34">
        <f t="shared" si="22"/>
        <v>0.84615384615384615</v>
      </c>
      <c r="BY20" s="32">
        <f t="shared" si="23"/>
        <v>0.73333333333333339</v>
      </c>
    </row>
    <row r="21" spans="1:84" x14ac:dyDescent="0.35">
      <c r="A21" s="61" t="s">
        <v>10</v>
      </c>
      <c r="B21" s="108"/>
      <c r="C21" s="35" t="s">
        <v>29</v>
      </c>
      <c r="D21" s="36">
        <v>2</v>
      </c>
      <c r="E21" s="37">
        <v>2</v>
      </c>
      <c r="F21" s="37">
        <f t="shared" si="1"/>
        <v>0</v>
      </c>
      <c r="G21" s="35">
        <v>0</v>
      </c>
      <c r="H21" s="36">
        <v>0</v>
      </c>
      <c r="I21" s="37">
        <v>0</v>
      </c>
      <c r="J21" s="37">
        <f t="shared" si="2"/>
        <v>0</v>
      </c>
      <c r="K21" s="35">
        <v>0</v>
      </c>
      <c r="L21" s="36">
        <v>0</v>
      </c>
      <c r="M21" s="37">
        <v>0</v>
      </c>
      <c r="N21" s="37">
        <f t="shared" si="3"/>
        <v>0</v>
      </c>
      <c r="O21" s="35">
        <v>0</v>
      </c>
      <c r="P21" s="36">
        <v>3</v>
      </c>
      <c r="Q21" s="37">
        <v>3</v>
      </c>
      <c r="R21" s="37">
        <f t="shared" si="4"/>
        <v>0</v>
      </c>
      <c r="S21" s="35">
        <v>0</v>
      </c>
      <c r="T21" s="36">
        <v>0</v>
      </c>
      <c r="U21" s="37">
        <v>0</v>
      </c>
      <c r="V21" s="37">
        <f t="shared" si="5"/>
        <v>0</v>
      </c>
      <c r="W21" s="35">
        <v>0</v>
      </c>
      <c r="X21" s="36">
        <v>1</v>
      </c>
      <c r="Y21" s="37">
        <v>1</v>
      </c>
      <c r="Z21" s="37">
        <f t="shared" si="6"/>
        <v>0</v>
      </c>
      <c r="AA21" s="35">
        <v>0</v>
      </c>
      <c r="AB21" s="36">
        <v>1</v>
      </c>
      <c r="AC21" s="37">
        <v>0</v>
      </c>
      <c r="AD21" s="37">
        <f t="shared" si="7"/>
        <v>1</v>
      </c>
      <c r="AE21" s="35">
        <v>0</v>
      </c>
      <c r="AF21" s="36">
        <v>1</v>
      </c>
      <c r="AG21" s="37">
        <v>0</v>
      </c>
      <c r="AH21" s="37">
        <f t="shared" si="8"/>
        <v>1</v>
      </c>
      <c r="AI21" s="35">
        <v>0</v>
      </c>
      <c r="AJ21" s="36">
        <v>0</v>
      </c>
      <c r="AK21" s="37">
        <v>0</v>
      </c>
      <c r="AL21" s="37">
        <f t="shared" si="9"/>
        <v>0</v>
      </c>
      <c r="AM21" s="35">
        <v>0</v>
      </c>
      <c r="AN21" s="36">
        <v>0</v>
      </c>
      <c r="AO21" s="37">
        <v>0</v>
      </c>
      <c r="AP21" s="37">
        <f t="shared" si="10"/>
        <v>0</v>
      </c>
      <c r="AQ21" s="35">
        <v>0</v>
      </c>
      <c r="AR21" s="36">
        <v>0</v>
      </c>
      <c r="AS21" s="37">
        <v>0</v>
      </c>
      <c r="AT21" s="37">
        <f t="shared" si="11"/>
        <v>0</v>
      </c>
      <c r="AU21" s="35">
        <v>0</v>
      </c>
      <c r="AV21" s="36">
        <v>0</v>
      </c>
      <c r="AW21" s="37">
        <v>0</v>
      </c>
      <c r="AX21" s="37">
        <f t="shared" si="12"/>
        <v>0</v>
      </c>
      <c r="AY21" s="35">
        <v>0</v>
      </c>
      <c r="AZ21" s="36">
        <v>1</v>
      </c>
      <c r="BA21" s="37">
        <v>1</v>
      </c>
      <c r="BB21" s="37">
        <f t="shared" si="13"/>
        <v>0</v>
      </c>
      <c r="BC21" s="35">
        <v>0</v>
      </c>
      <c r="BD21" s="36">
        <v>0</v>
      </c>
      <c r="BE21" s="37">
        <v>0</v>
      </c>
      <c r="BF21" s="37">
        <f t="shared" si="14"/>
        <v>0</v>
      </c>
      <c r="BG21" s="35">
        <v>0</v>
      </c>
      <c r="BH21" s="36">
        <v>0</v>
      </c>
      <c r="BI21" s="37">
        <v>0</v>
      </c>
      <c r="BJ21" s="37">
        <f t="shared" si="15"/>
        <v>0</v>
      </c>
      <c r="BK21" s="35">
        <v>0</v>
      </c>
      <c r="BL21" s="36">
        <v>0</v>
      </c>
      <c r="BM21" s="37">
        <v>0</v>
      </c>
      <c r="BN21" s="37">
        <f t="shared" si="16"/>
        <v>0</v>
      </c>
      <c r="BO21" s="35">
        <v>0</v>
      </c>
      <c r="BP21" s="36">
        <v>1</v>
      </c>
      <c r="BQ21" s="37">
        <v>1</v>
      </c>
      <c r="BR21" s="37">
        <f t="shared" si="17"/>
        <v>0</v>
      </c>
      <c r="BS21" s="35">
        <v>0</v>
      </c>
      <c r="BT21" s="36">
        <f t="shared" si="18"/>
        <v>8</v>
      </c>
      <c r="BU21" s="37">
        <f t="shared" si="19"/>
        <v>2</v>
      </c>
      <c r="BV21" s="37">
        <f t="shared" si="20"/>
        <v>0</v>
      </c>
      <c r="BW21" s="37">
        <f t="shared" si="21"/>
        <v>0.8</v>
      </c>
      <c r="BX21" s="37">
        <f t="shared" si="22"/>
        <v>1</v>
      </c>
      <c r="BY21" s="35">
        <f t="shared" si="23"/>
        <v>0.88888888888888895</v>
      </c>
    </row>
    <row r="22" spans="1:84" x14ac:dyDescent="0.35">
      <c r="A22" s="61" t="s">
        <v>10</v>
      </c>
      <c r="B22" s="108"/>
      <c r="C22" s="35" t="s">
        <v>30</v>
      </c>
      <c r="D22" s="36">
        <v>2</v>
      </c>
      <c r="E22" s="37">
        <v>2</v>
      </c>
      <c r="F22" s="37">
        <f t="shared" si="1"/>
        <v>0</v>
      </c>
      <c r="G22" s="35">
        <v>0</v>
      </c>
      <c r="H22" s="36">
        <v>0</v>
      </c>
      <c r="I22" s="37">
        <v>0</v>
      </c>
      <c r="J22" s="37">
        <f t="shared" si="2"/>
        <v>0</v>
      </c>
      <c r="K22" s="35">
        <v>0</v>
      </c>
      <c r="L22" s="36">
        <v>0</v>
      </c>
      <c r="M22" s="37">
        <v>0</v>
      </c>
      <c r="N22" s="37">
        <f t="shared" si="3"/>
        <v>0</v>
      </c>
      <c r="O22" s="35">
        <v>0</v>
      </c>
      <c r="P22" s="36">
        <v>3</v>
      </c>
      <c r="Q22" s="37">
        <v>3</v>
      </c>
      <c r="R22" s="37">
        <f t="shared" si="4"/>
        <v>0</v>
      </c>
      <c r="S22" s="35">
        <v>0</v>
      </c>
      <c r="T22" s="36">
        <v>0</v>
      </c>
      <c r="U22" s="37">
        <v>0</v>
      </c>
      <c r="V22" s="37">
        <f t="shared" si="5"/>
        <v>0</v>
      </c>
      <c r="W22" s="35">
        <v>3</v>
      </c>
      <c r="X22" s="36">
        <v>1</v>
      </c>
      <c r="Y22" s="37">
        <v>1</v>
      </c>
      <c r="Z22" s="37">
        <f t="shared" si="6"/>
        <v>0</v>
      </c>
      <c r="AA22" s="35">
        <v>0</v>
      </c>
      <c r="AB22" s="36">
        <v>1</v>
      </c>
      <c r="AC22" s="37">
        <v>1</v>
      </c>
      <c r="AD22" s="37">
        <f t="shared" si="7"/>
        <v>0</v>
      </c>
      <c r="AE22" s="35">
        <v>0</v>
      </c>
      <c r="AF22" s="36">
        <v>1</v>
      </c>
      <c r="AG22" s="37">
        <v>0</v>
      </c>
      <c r="AH22" s="37">
        <f t="shared" si="8"/>
        <v>1</v>
      </c>
      <c r="AI22" s="35">
        <v>0</v>
      </c>
      <c r="AJ22" s="36">
        <v>0</v>
      </c>
      <c r="AK22" s="37">
        <v>0</v>
      </c>
      <c r="AL22" s="37">
        <f t="shared" si="9"/>
        <v>0</v>
      </c>
      <c r="AM22" s="35">
        <v>0</v>
      </c>
      <c r="AN22" s="36">
        <v>0</v>
      </c>
      <c r="AO22" s="37">
        <v>0</v>
      </c>
      <c r="AP22" s="37">
        <f t="shared" si="10"/>
        <v>0</v>
      </c>
      <c r="AQ22" s="35">
        <v>0</v>
      </c>
      <c r="AR22" s="36">
        <v>0</v>
      </c>
      <c r="AS22" s="37">
        <v>0</v>
      </c>
      <c r="AT22" s="37">
        <f t="shared" si="11"/>
        <v>0</v>
      </c>
      <c r="AU22" s="35">
        <v>0</v>
      </c>
      <c r="AV22" s="36">
        <v>0</v>
      </c>
      <c r="AW22" s="37">
        <v>0</v>
      </c>
      <c r="AX22" s="37">
        <f t="shared" si="12"/>
        <v>0</v>
      </c>
      <c r="AY22" s="35">
        <v>1</v>
      </c>
      <c r="AZ22" s="36">
        <v>1</v>
      </c>
      <c r="BA22" s="37">
        <v>1</v>
      </c>
      <c r="BB22" s="37">
        <f t="shared" si="13"/>
        <v>0</v>
      </c>
      <c r="BC22" s="35">
        <v>0</v>
      </c>
      <c r="BD22" s="36">
        <v>0</v>
      </c>
      <c r="BE22" s="37">
        <v>0</v>
      </c>
      <c r="BF22" s="37">
        <f t="shared" si="14"/>
        <v>0</v>
      </c>
      <c r="BG22" s="35">
        <v>0</v>
      </c>
      <c r="BH22" s="36">
        <v>0</v>
      </c>
      <c r="BI22" s="37">
        <v>0</v>
      </c>
      <c r="BJ22" s="37">
        <f t="shared" si="15"/>
        <v>0</v>
      </c>
      <c r="BK22" s="35">
        <v>0</v>
      </c>
      <c r="BL22" s="36">
        <v>0</v>
      </c>
      <c r="BM22" s="37">
        <v>0</v>
      </c>
      <c r="BN22" s="37">
        <f t="shared" si="16"/>
        <v>0</v>
      </c>
      <c r="BO22" s="35">
        <v>0</v>
      </c>
      <c r="BP22" s="36">
        <v>1</v>
      </c>
      <c r="BQ22" s="37">
        <v>0</v>
      </c>
      <c r="BR22" s="37">
        <f t="shared" si="17"/>
        <v>1</v>
      </c>
      <c r="BS22" s="35">
        <v>0</v>
      </c>
      <c r="BT22" s="36">
        <f t="shared" si="18"/>
        <v>8</v>
      </c>
      <c r="BU22" s="37">
        <f t="shared" si="19"/>
        <v>2</v>
      </c>
      <c r="BV22" s="37">
        <f t="shared" si="20"/>
        <v>4</v>
      </c>
      <c r="BW22" s="37">
        <f t="shared" si="21"/>
        <v>0.8</v>
      </c>
      <c r="BX22" s="37">
        <f t="shared" si="22"/>
        <v>0.66666666666666663</v>
      </c>
      <c r="BY22" s="35">
        <f t="shared" si="23"/>
        <v>0.72727272727272718</v>
      </c>
    </row>
    <row r="23" spans="1:84" x14ac:dyDescent="0.35">
      <c r="A23" s="62" t="s">
        <v>10</v>
      </c>
      <c r="B23" s="108"/>
      <c r="C23" s="38" t="s">
        <v>31</v>
      </c>
      <c r="D23" s="39">
        <v>4</v>
      </c>
      <c r="E23" s="40">
        <v>4</v>
      </c>
      <c r="F23" s="40">
        <f t="shared" si="1"/>
        <v>0</v>
      </c>
      <c r="G23" s="38">
        <v>0</v>
      </c>
      <c r="H23" s="39">
        <v>0</v>
      </c>
      <c r="I23" s="40">
        <v>0</v>
      </c>
      <c r="J23" s="40">
        <f t="shared" si="2"/>
        <v>0</v>
      </c>
      <c r="K23" s="38">
        <v>0</v>
      </c>
      <c r="L23" s="39">
        <v>0</v>
      </c>
      <c r="M23" s="40">
        <v>0</v>
      </c>
      <c r="N23" s="40">
        <f t="shared" si="3"/>
        <v>0</v>
      </c>
      <c r="O23" s="38">
        <v>0</v>
      </c>
      <c r="P23" s="39">
        <v>0</v>
      </c>
      <c r="Q23" s="40">
        <v>0</v>
      </c>
      <c r="R23" s="40">
        <f t="shared" si="4"/>
        <v>0</v>
      </c>
      <c r="S23" s="38">
        <v>0</v>
      </c>
      <c r="T23" s="39">
        <v>0</v>
      </c>
      <c r="U23" s="40">
        <v>0</v>
      </c>
      <c r="V23" s="40">
        <f t="shared" si="5"/>
        <v>0</v>
      </c>
      <c r="W23" s="38">
        <v>0</v>
      </c>
      <c r="X23" s="39">
        <v>4</v>
      </c>
      <c r="Y23" s="40">
        <v>4</v>
      </c>
      <c r="Z23" s="40">
        <f t="shared" si="6"/>
        <v>0</v>
      </c>
      <c r="AA23" s="38">
        <v>0</v>
      </c>
      <c r="AB23" s="39">
        <v>1</v>
      </c>
      <c r="AC23" s="40">
        <v>1</v>
      </c>
      <c r="AD23" s="40">
        <f t="shared" si="7"/>
        <v>0</v>
      </c>
      <c r="AE23" s="38">
        <v>0</v>
      </c>
      <c r="AF23" s="39">
        <v>2</v>
      </c>
      <c r="AG23" s="40">
        <v>0</v>
      </c>
      <c r="AH23" s="40">
        <f t="shared" si="8"/>
        <v>2</v>
      </c>
      <c r="AI23" s="38">
        <v>0</v>
      </c>
      <c r="AJ23" s="39">
        <v>1</v>
      </c>
      <c r="AK23" s="40">
        <v>1</v>
      </c>
      <c r="AL23" s="40">
        <f t="shared" si="9"/>
        <v>0</v>
      </c>
      <c r="AM23" s="38">
        <v>0</v>
      </c>
      <c r="AN23" s="39">
        <v>1</v>
      </c>
      <c r="AO23" s="40">
        <v>1</v>
      </c>
      <c r="AP23" s="40">
        <f t="shared" si="10"/>
        <v>0</v>
      </c>
      <c r="AQ23" s="38">
        <v>0</v>
      </c>
      <c r="AR23" s="39">
        <v>0</v>
      </c>
      <c r="AS23" s="40">
        <v>0</v>
      </c>
      <c r="AT23" s="40">
        <f t="shared" si="11"/>
        <v>0</v>
      </c>
      <c r="AU23" s="38">
        <v>1</v>
      </c>
      <c r="AV23" s="39">
        <v>0</v>
      </c>
      <c r="AW23" s="40">
        <v>0</v>
      </c>
      <c r="AX23" s="40">
        <f t="shared" si="12"/>
        <v>0</v>
      </c>
      <c r="AY23" s="38">
        <v>0</v>
      </c>
      <c r="AZ23" s="39">
        <v>3</v>
      </c>
      <c r="BA23" s="40">
        <v>3</v>
      </c>
      <c r="BB23" s="40">
        <f t="shared" si="13"/>
        <v>0</v>
      </c>
      <c r="BC23" s="38">
        <v>0</v>
      </c>
      <c r="BD23" s="39">
        <v>0</v>
      </c>
      <c r="BE23" s="40">
        <v>0</v>
      </c>
      <c r="BF23" s="40">
        <f t="shared" si="14"/>
        <v>0</v>
      </c>
      <c r="BG23" s="38">
        <v>0</v>
      </c>
      <c r="BH23" s="39">
        <v>1</v>
      </c>
      <c r="BI23" s="40">
        <v>0</v>
      </c>
      <c r="BJ23" s="40">
        <f t="shared" si="15"/>
        <v>1</v>
      </c>
      <c r="BK23" s="38">
        <v>0</v>
      </c>
      <c r="BL23" s="39">
        <v>0</v>
      </c>
      <c r="BM23" s="40">
        <v>0</v>
      </c>
      <c r="BN23" s="40">
        <f t="shared" si="16"/>
        <v>0</v>
      </c>
      <c r="BO23" s="38">
        <v>0</v>
      </c>
      <c r="BP23" s="39">
        <v>1</v>
      </c>
      <c r="BQ23" s="40">
        <v>0</v>
      </c>
      <c r="BR23" s="40">
        <f t="shared" si="17"/>
        <v>1</v>
      </c>
      <c r="BS23" s="38">
        <v>0</v>
      </c>
      <c r="BT23" s="39">
        <f t="shared" si="18"/>
        <v>14</v>
      </c>
      <c r="BU23" s="40">
        <f t="shared" si="19"/>
        <v>4</v>
      </c>
      <c r="BV23" s="40">
        <f t="shared" si="20"/>
        <v>1</v>
      </c>
      <c r="BW23" s="40">
        <f t="shared" si="21"/>
        <v>0.77777777777777779</v>
      </c>
      <c r="BX23" s="40">
        <f t="shared" si="22"/>
        <v>0.93333333333333335</v>
      </c>
      <c r="BY23" s="38">
        <f t="shared" si="23"/>
        <v>0.84848484848484851</v>
      </c>
    </row>
    <row r="24" spans="1:84" x14ac:dyDescent="0.35">
      <c r="A24" s="62" t="s">
        <v>10</v>
      </c>
      <c r="B24" s="108"/>
      <c r="C24" s="38" t="s">
        <v>32</v>
      </c>
      <c r="D24" s="39">
        <v>4</v>
      </c>
      <c r="E24" s="40">
        <v>3</v>
      </c>
      <c r="F24" s="40">
        <f t="shared" si="1"/>
        <v>1</v>
      </c>
      <c r="G24" s="38">
        <v>0</v>
      </c>
      <c r="H24" s="39">
        <v>0</v>
      </c>
      <c r="I24" s="40">
        <v>0</v>
      </c>
      <c r="J24" s="40">
        <v>0</v>
      </c>
      <c r="K24" s="38">
        <v>0</v>
      </c>
      <c r="L24" s="39">
        <v>0</v>
      </c>
      <c r="M24" s="40">
        <v>0</v>
      </c>
      <c r="N24" s="40">
        <f t="shared" si="3"/>
        <v>0</v>
      </c>
      <c r="O24" s="38">
        <v>0</v>
      </c>
      <c r="P24" s="39">
        <v>0</v>
      </c>
      <c r="Q24" s="40">
        <v>0</v>
      </c>
      <c r="R24" s="40">
        <f t="shared" si="4"/>
        <v>0</v>
      </c>
      <c r="S24" s="38">
        <v>0</v>
      </c>
      <c r="T24" s="39">
        <v>0</v>
      </c>
      <c r="U24" s="40">
        <v>0</v>
      </c>
      <c r="V24" s="40">
        <f t="shared" si="5"/>
        <v>0</v>
      </c>
      <c r="W24" s="38">
        <v>0</v>
      </c>
      <c r="X24" s="39">
        <v>4</v>
      </c>
      <c r="Y24" s="40">
        <v>3</v>
      </c>
      <c r="Z24" s="40">
        <f t="shared" si="6"/>
        <v>1</v>
      </c>
      <c r="AA24" s="38">
        <v>1</v>
      </c>
      <c r="AB24" s="39">
        <v>1</v>
      </c>
      <c r="AC24" s="40">
        <v>0</v>
      </c>
      <c r="AD24" s="40">
        <f t="shared" si="7"/>
        <v>1</v>
      </c>
      <c r="AE24" s="38">
        <v>0</v>
      </c>
      <c r="AF24" s="39">
        <v>2</v>
      </c>
      <c r="AG24" s="40">
        <v>0</v>
      </c>
      <c r="AH24" s="40">
        <f t="shared" si="8"/>
        <v>2</v>
      </c>
      <c r="AI24" s="38">
        <v>0</v>
      </c>
      <c r="AJ24" s="39">
        <v>1</v>
      </c>
      <c r="AK24" s="40">
        <v>1</v>
      </c>
      <c r="AL24" s="40">
        <f t="shared" si="9"/>
        <v>0</v>
      </c>
      <c r="AM24" s="38">
        <v>0</v>
      </c>
      <c r="AN24" s="39">
        <v>1</v>
      </c>
      <c r="AO24" s="40">
        <v>1</v>
      </c>
      <c r="AP24" s="40">
        <f t="shared" si="10"/>
        <v>0</v>
      </c>
      <c r="AQ24" s="38">
        <v>0</v>
      </c>
      <c r="AR24" s="39">
        <v>0</v>
      </c>
      <c r="AS24" s="40">
        <v>0</v>
      </c>
      <c r="AT24" s="40">
        <f t="shared" si="11"/>
        <v>0</v>
      </c>
      <c r="AU24" s="38">
        <v>0</v>
      </c>
      <c r="AV24" s="39">
        <v>0</v>
      </c>
      <c r="AW24" s="40">
        <v>0</v>
      </c>
      <c r="AX24" s="40">
        <f t="shared" si="12"/>
        <v>0</v>
      </c>
      <c r="AY24" s="38">
        <v>0</v>
      </c>
      <c r="AZ24" s="39">
        <v>3</v>
      </c>
      <c r="BA24" s="40">
        <v>2</v>
      </c>
      <c r="BB24" s="40">
        <f t="shared" si="13"/>
        <v>1</v>
      </c>
      <c r="BC24" s="38">
        <v>0</v>
      </c>
      <c r="BD24" s="39">
        <v>0</v>
      </c>
      <c r="BE24" s="40">
        <v>0</v>
      </c>
      <c r="BF24" s="40">
        <f t="shared" si="14"/>
        <v>0</v>
      </c>
      <c r="BG24" s="38">
        <v>0</v>
      </c>
      <c r="BH24" s="39">
        <v>1</v>
      </c>
      <c r="BI24" s="40">
        <v>0</v>
      </c>
      <c r="BJ24" s="40">
        <f t="shared" si="15"/>
        <v>1</v>
      </c>
      <c r="BK24" s="38">
        <v>0</v>
      </c>
      <c r="BL24" s="39">
        <v>0</v>
      </c>
      <c r="BM24" s="40">
        <v>0</v>
      </c>
      <c r="BN24" s="40">
        <f t="shared" si="16"/>
        <v>0</v>
      </c>
      <c r="BO24" s="38">
        <v>0</v>
      </c>
      <c r="BP24" s="39">
        <v>1</v>
      </c>
      <c r="BQ24" s="40">
        <v>0</v>
      </c>
      <c r="BR24" s="40">
        <f t="shared" si="17"/>
        <v>1</v>
      </c>
      <c r="BS24" s="38">
        <v>0</v>
      </c>
      <c r="BT24" s="39">
        <f t="shared" si="18"/>
        <v>10</v>
      </c>
      <c r="BU24" s="40">
        <f t="shared" si="19"/>
        <v>8</v>
      </c>
      <c r="BV24" s="40">
        <f t="shared" si="20"/>
        <v>1</v>
      </c>
      <c r="BW24" s="40">
        <f t="shared" si="21"/>
        <v>0.55555555555555558</v>
      </c>
      <c r="BX24" s="40">
        <f t="shared" si="22"/>
        <v>0.90909090909090906</v>
      </c>
      <c r="BY24" s="38">
        <f t="shared" si="23"/>
        <v>0.68965517241379315</v>
      </c>
    </row>
    <row r="25" spans="1:84" x14ac:dyDescent="0.35">
      <c r="A25" s="63" t="s">
        <v>10</v>
      </c>
      <c r="B25" s="108"/>
      <c r="C25" s="41" t="s">
        <v>33</v>
      </c>
      <c r="D25" s="42">
        <v>1</v>
      </c>
      <c r="E25" s="43">
        <v>1</v>
      </c>
      <c r="F25" s="43">
        <f t="shared" si="1"/>
        <v>0</v>
      </c>
      <c r="G25" s="41">
        <v>0</v>
      </c>
      <c r="H25" s="42">
        <v>0</v>
      </c>
      <c r="I25" s="43">
        <v>0</v>
      </c>
      <c r="J25" s="43">
        <f t="shared" si="2"/>
        <v>0</v>
      </c>
      <c r="K25" s="41">
        <v>0</v>
      </c>
      <c r="L25" s="42">
        <v>0</v>
      </c>
      <c r="M25" s="43">
        <v>0</v>
      </c>
      <c r="N25" s="43">
        <f t="shared" si="3"/>
        <v>0</v>
      </c>
      <c r="O25" s="41">
        <v>0</v>
      </c>
      <c r="P25" s="42">
        <v>0</v>
      </c>
      <c r="Q25" s="43">
        <v>0</v>
      </c>
      <c r="R25" s="43">
        <f t="shared" si="4"/>
        <v>0</v>
      </c>
      <c r="S25" s="41">
        <v>0</v>
      </c>
      <c r="T25" s="42">
        <v>0</v>
      </c>
      <c r="U25" s="43">
        <v>0</v>
      </c>
      <c r="V25" s="43">
        <f t="shared" si="5"/>
        <v>0</v>
      </c>
      <c r="W25" s="41">
        <v>0</v>
      </c>
      <c r="X25" s="42">
        <v>2</v>
      </c>
      <c r="Y25" s="43">
        <v>2</v>
      </c>
      <c r="Z25" s="43">
        <f t="shared" si="6"/>
        <v>0</v>
      </c>
      <c r="AA25" s="41">
        <v>0</v>
      </c>
      <c r="AB25" s="42">
        <v>0</v>
      </c>
      <c r="AC25" s="43">
        <v>0</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0</v>
      </c>
      <c r="AS25" s="43">
        <v>0</v>
      </c>
      <c r="AT25" s="43">
        <f t="shared" si="11"/>
        <v>0</v>
      </c>
      <c r="AU25" s="41">
        <v>0</v>
      </c>
      <c r="AV25" s="42">
        <v>0</v>
      </c>
      <c r="AW25" s="43">
        <v>0</v>
      </c>
      <c r="AX25" s="43">
        <f t="shared" si="12"/>
        <v>0</v>
      </c>
      <c r="AY25" s="41">
        <v>0</v>
      </c>
      <c r="AZ25" s="42">
        <v>0</v>
      </c>
      <c r="BA25" s="43">
        <v>0</v>
      </c>
      <c r="BB25" s="43">
        <f t="shared" si="13"/>
        <v>0</v>
      </c>
      <c r="BC25" s="41">
        <v>0</v>
      </c>
      <c r="BD25" s="42">
        <v>2</v>
      </c>
      <c r="BE25" s="43">
        <v>2</v>
      </c>
      <c r="BF25" s="43">
        <f t="shared" si="14"/>
        <v>0</v>
      </c>
      <c r="BG25" s="41">
        <v>0</v>
      </c>
      <c r="BH25" s="42">
        <v>0</v>
      </c>
      <c r="BI25" s="43">
        <v>0</v>
      </c>
      <c r="BJ25" s="43">
        <f t="shared" si="15"/>
        <v>0</v>
      </c>
      <c r="BK25" s="41">
        <v>0</v>
      </c>
      <c r="BL25" s="42">
        <v>0</v>
      </c>
      <c r="BM25" s="43">
        <v>0</v>
      </c>
      <c r="BN25" s="43">
        <f t="shared" si="16"/>
        <v>0</v>
      </c>
      <c r="BO25" s="41">
        <v>0</v>
      </c>
      <c r="BP25" s="42">
        <v>0</v>
      </c>
      <c r="BQ25" s="43">
        <v>0</v>
      </c>
      <c r="BR25" s="43">
        <f t="shared" si="17"/>
        <v>0</v>
      </c>
      <c r="BS25" s="41">
        <v>0</v>
      </c>
      <c r="BT25" s="42">
        <f t="shared" si="18"/>
        <v>7</v>
      </c>
      <c r="BU25" s="43">
        <f t="shared" si="19"/>
        <v>0</v>
      </c>
      <c r="BV25" s="43">
        <f t="shared" si="20"/>
        <v>0</v>
      </c>
      <c r="BW25" s="43">
        <f t="shared" si="21"/>
        <v>1</v>
      </c>
      <c r="BX25" s="43">
        <f t="shared" si="22"/>
        <v>1</v>
      </c>
      <c r="BY25" s="41">
        <f t="shared" si="23"/>
        <v>1</v>
      </c>
    </row>
    <row r="26" spans="1:84" x14ac:dyDescent="0.35">
      <c r="A26" s="63" t="s">
        <v>10</v>
      </c>
      <c r="B26" s="108"/>
      <c r="C26" s="41" t="s">
        <v>34</v>
      </c>
      <c r="D26" s="42">
        <v>1</v>
      </c>
      <c r="E26" s="43">
        <v>1</v>
      </c>
      <c r="F26" s="43">
        <f t="shared" si="1"/>
        <v>0</v>
      </c>
      <c r="G26" s="41">
        <v>0</v>
      </c>
      <c r="H26" s="42">
        <v>0</v>
      </c>
      <c r="I26" s="43">
        <v>0</v>
      </c>
      <c r="J26" s="43">
        <f t="shared" si="2"/>
        <v>0</v>
      </c>
      <c r="K26" s="41">
        <v>0</v>
      </c>
      <c r="L26" s="42">
        <v>0</v>
      </c>
      <c r="M26" s="43">
        <v>0</v>
      </c>
      <c r="N26" s="43">
        <f t="shared" si="3"/>
        <v>0</v>
      </c>
      <c r="O26" s="41">
        <v>0</v>
      </c>
      <c r="P26" s="42">
        <v>0</v>
      </c>
      <c r="Q26" s="43">
        <v>0</v>
      </c>
      <c r="R26" s="43">
        <f t="shared" si="4"/>
        <v>0</v>
      </c>
      <c r="S26" s="41">
        <v>0</v>
      </c>
      <c r="T26" s="42">
        <v>0</v>
      </c>
      <c r="U26" s="43">
        <v>0</v>
      </c>
      <c r="V26" s="43">
        <f t="shared" si="5"/>
        <v>0</v>
      </c>
      <c r="W26" s="41">
        <v>0</v>
      </c>
      <c r="X26" s="42">
        <v>2</v>
      </c>
      <c r="Y26" s="43">
        <v>2</v>
      </c>
      <c r="Z26" s="43">
        <f t="shared" si="6"/>
        <v>0</v>
      </c>
      <c r="AA26" s="41">
        <v>0</v>
      </c>
      <c r="AB26" s="42">
        <v>0</v>
      </c>
      <c r="AC26" s="43">
        <v>0</v>
      </c>
      <c r="AD26" s="43">
        <f t="shared" si="7"/>
        <v>0</v>
      </c>
      <c r="AE26" s="41">
        <v>0</v>
      </c>
      <c r="AF26" s="42">
        <v>2</v>
      </c>
      <c r="AG26" s="43">
        <v>2</v>
      </c>
      <c r="AH26" s="43">
        <f t="shared" si="8"/>
        <v>0</v>
      </c>
      <c r="AI26" s="41">
        <v>0</v>
      </c>
      <c r="AJ26" s="42">
        <v>0</v>
      </c>
      <c r="AK26" s="43">
        <v>0</v>
      </c>
      <c r="AL26" s="43">
        <f t="shared" si="9"/>
        <v>0</v>
      </c>
      <c r="AM26" s="41">
        <v>1</v>
      </c>
      <c r="AN26" s="42">
        <v>0</v>
      </c>
      <c r="AO26" s="43">
        <v>0</v>
      </c>
      <c r="AP26" s="43">
        <f t="shared" si="10"/>
        <v>0</v>
      </c>
      <c r="AQ26" s="41">
        <v>0</v>
      </c>
      <c r="AR26" s="42">
        <v>0</v>
      </c>
      <c r="AS26" s="43">
        <v>0</v>
      </c>
      <c r="AT26" s="43">
        <f t="shared" si="11"/>
        <v>0</v>
      </c>
      <c r="AU26" s="41">
        <v>0</v>
      </c>
      <c r="AV26" s="42">
        <v>0</v>
      </c>
      <c r="AW26" s="43">
        <v>0</v>
      </c>
      <c r="AX26" s="43">
        <f t="shared" si="12"/>
        <v>0</v>
      </c>
      <c r="AY26" s="41">
        <v>0</v>
      </c>
      <c r="AZ26" s="42">
        <v>0</v>
      </c>
      <c r="BA26" s="43">
        <v>0</v>
      </c>
      <c r="BB26" s="43">
        <f t="shared" si="13"/>
        <v>0</v>
      </c>
      <c r="BC26" s="41">
        <v>0</v>
      </c>
      <c r="BD26" s="42">
        <v>2</v>
      </c>
      <c r="BE26" s="43">
        <v>2</v>
      </c>
      <c r="BF26" s="43">
        <f t="shared" si="14"/>
        <v>0</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7</v>
      </c>
      <c r="BU26" s="43">
        <f t="shared" si="19"/>
        <v>0</v>
      </c>
      <c r="BV26" s="43">
        <f t="shared" si="20"/>
        <v>1</v>
      </c>
      <c r="BW26" s="43">
        <f t="shared" si="21"/>
        <v>1</v>
      </c>
      <c r="BX26" s="43">
        <f t="shared" si="22"/>
        <v>0.875</v>
      </c>
      <c r="BY26" s="41">
        <f t="shared" si="23"/>
        <v>0.93333333333333335</v>
      </c>
    </row>
    <row r="27" spans="1:84" x14ac:dyDescent="0.35">
      <c r="A27" s="47" t="s">
        <v>10</v>
      </c>
      <c r="B27" s="108"/>
      <c r="C27" s="44" t="s">
        <v>35</v>
      </c>
      <c r="D27" s="45">
        <v>2</v>
      </c>
      <c r="E27" s="46">
        <v>2</v>
      </c>
      <c r="F27" s="46">
        <f t="shared" si="1"/>
        <v>0</v>
      </c>
      <c r="G27" s="44">
        <v>0</v>
      </c>
      <c r="H27" s="45">
        <v>2</v>
      </c>
      <c r="I27" s="46">
        <v>0</v>
      </c>
      <c r="J27" s="46">
        <f t="shared" si="2"/>
        <v>2</v>
      </c>
      <c r="K27" s="44">
        <v>0</v>
      </c>
      <c r="L27" s="45">
        <v>2</v>
      </c>
      <c r="M27" s="46">
        <v>0</v>
      </c>
      <c r="N27" s="46">
        <f t="shared" si="3"/>
        <v>2</v>
      </c>
      <c r="O27" s="44">
        <v>0</v>
      </c>
      <c r="P27" s="45">
        <v>2</v>
      </c>
      <c r="Q27" s="46">
        <v>2</v>
      </c>
      <c r="R27" s="46">
        <f t="shared" si="4"/>
        <v>0</v>
      </c>
      <c r="S27" s="44">
        <v>0</v>
      </c>
      <c r="T27" s="45">
        <v>2</v>
      </c>
      <c r="U27" s="46">
        <v>0</v>
      </c>
      <c r="V27" s="46">
        <f t="shared" si="5"/>
        <v>2</v>
      </c>
      <c r="W27" s="44">
        <v>0</v>
      </c>
      <c r="X27" s="45">
        <v>1</v>
      </c>
      <c r="Y27" s="46">
        <v>1</v>
      </c>
      <c r="Z27" s="46">
        <f t="shared" si="6"/>
        <v>0</v>
      </c>
      <c r="AA27" s="44">
        <v>1</v>
      </c>
      <c r="AB27" s="45">
        <v>0</v>
      </c>
      <c r="AC27" s="46">
        <v>0</v>
      </c>
      <c r="AD27" s="46">
        <f t="shared" si="7"/>
        <v>0</v>
      </c>
      <c r="AE27" s="44">
        <v>1</v>
      </c>
      <c r="AF27" s="45">
        <v>3</v>
      </c>
      <c r="AG27" s="46">
        <v>0</v>
      </c>
      <c r="AH27" s="46">
        <f t="shared" si="8"/>
        <v>3</v>
      </c>
      <c r="AI27" s="44">
        <v>0</v>
      </c>
      <c r="AJ27" s="45">
        <v>0</v>
      </c>
      <c r="AK27" s="46">
        <v>0</v>
      </c>
      <c r="AL27" s="46">
        <f t="shared" si="9"/>
        <v>0</v>
      </c>
      <c r="AM27" s="44">
        <v>0</v>
      </c>
      <c r="AN27" s="45">
        <v>0</v>
      </c>
      <c r="AO27" s="46">
        <v>0</v>
      </c>
      <c r="AP27" s="46">
        <f t="shared" si="10"/>
        <v>0</v>
      </c>
      <c r="AQ27" s="44">
        <v>0</v>
      </c>
      <c r="AR27" s="45">
        <v>0</v>
      </c>
      <c r="AS27" s="46">
        <v>0</v>
      </c>
      <c r="AT27" s="46">
        <f t="shared" si="11"/>
        <v>0</v>
      </c>
      <c r="AU27" s="44">
        <v>1</v>
      </c>
      <c r="AV27" s="45">
        <v>1</v>
      </c>
      <c r="AW27" s="46">
        <v>0</v>
      </c>
      <c r="AX27" s="46">
        <f t="shared" si="12"/>
        <v>1</v>
      </c>
      <c r="AY27" s="44">
        <v>1</v>
      </c>
      <c r="AZ27" s="45">
        <v>1</v>
      </c>
      <c r="BA27" s="46">
        <v>0</v>
      </c>
      <c r="BB27" s="46">
        <f t="shared" si="13"/>
        <v>1</v>
      </c>
      <c r="BC27" s="44">
        <v>2</v>
      </c>
      <c r="BD27" s="45">
        <v>0</v>
      </c>
      <c r="BE27" s="46">
        <v>0</v>
      </c>
      <c r="BF27" s="46">
        <f t="shared" si="14"/>
        <v>0</v>
      </c>
      <c r="BG27" s="44">
        <v>0</v>
      </c>
      <c r="BH27" s="45">
        <v>0</v>
      </c>
      <c r="BI27" s="46">
        <v>0</v>
      </c>
      <c r="BJ27" s="46">
        <f t="shared" si="15"/>
        <v>0</v>
      </c>
      <c r="BK27" s="44">
        <v>0</v>
      </c>
      <c r="BL27" s="45">
        <v>1</v>
      </c>
      <c r="BM27" s="46">
        <v>0</v>
      </c>
      <c r="BN27" s="46">
        <f t="shared" si="16"/>
        <v>1</v>
      </c>
      <c r="BO27" s="44">
        <v>0</v>
      </c>
      <c r="BP27" s="45">
        <v>0</v>
      </c>
      <c r="BQ27" s="46">
        <v>0</v>
      </c>
      <c r="BR27" s="46">
        <f t="shared" si="17"/>
        <v>0</v>
      </c>
      <c r="BS27" s="44">
        <v>0</v>
      </c>
      <c r="BT27" s="45">
        <f t="shared" si="18"/>
        <v>5</v>
      </c>
      <c r="BU27" s="46">
        <f t="shared" si="19"/>
        <v>12</v>
      </c>
      <c r="BV27" s="46">
        <f t="shared" si="20"/>
        <v>6</v>
      </c>
      <c r="BW27" s="46">
        <f t="shared" si="21"/>
        <v>0.29411764705882354</v>
      </c>
      <c r="BX27" s="46">
        <f t="shared" si="22"/>
        <v>0.45454545454545453</v>
      </c>
      <c r="BY27" s="44">
        <f t="shared" si="23"/>
        <v>0.35714285714285715</v>
      </c>
    </row>
    <row r="28" spans="1:84" x14ac:dyDescent="0.35">
      <c r="A28" s="47" t="s">
        <v>10</v>
      </c>
      <c r="B28" s="108"/>
      <c r="C28" s="44" t="s">
        <v>36</v>
      </c>
      <c r="D28" s="45">
        <v>2</v>
      </c>
      <c r="E28" s="46">
        <v>2</v>
      </c>
      <c r="F28" s="46">
        <f t="shared" si="1"/>
        <v>0</v>
      </c>
      <c r="G28" s="44">
        <v>0</v>
      </c>
      <c r="H28" s="45">
        <v>2</v>
      </c>
      <c r="I28" s="46">
        <v>0</v>
      </c>
      <c r="J28" s="46">
        <f t="shared" si="2"/>
        <v>2</v>
      </c>
      <c r="K28" s="44">
        <v>0</v>
      </c>
      <c r="L28" s="45">
        <v>2</v>
      </c>
      <c r="M28" s="46">
        <v>0</v>
      </c>
      <c r="N28" s="46">
        <f t="shared" si="3"/>
        <v>2</v>
      </c>
      <c r="O28" s="44">
        <v>0</v>
      </c>
      <c r="P28" s="45">
        <v>2</v>
      </c>
      <c r="Q28" s="46">
        <v>2</v>
      </c>
      <c r="R28" s="46">
        <f t="shared" si="4"/>
        <v>0</v>
      </c>
      <c r="S28" s="44">
        <v>0</v>
      </c>
      <c r="T28" s="45">
        <v>2</v>
      </c>
      <c r="U28" s="46">
        <v>2</v>
      </c>
      <c r="V28" s="46">
        <f t="shared" si="5"/>
        <v>0</v>
      </c>
      <c r="W28" s="44">
        <v>0</v>
      </c>
      <c r="X28" s="45">
        <v>1</v>
      </c>
      <c r="Y28" s="46">
        <v>1</v>
      </c>
      <c r="Z28" s="46">
        <f t="shared" si="6"/>
        <v>0</v>
      </c>
      <c r="AA28" s="44">
        <v>1</v>
      </c>
      <c r="AB28" s="45">
        <v>0</v>
      </c>
      <c r="AC28" s="46">
        <v>0</v>
      </c>
      <c r="AD28" s="46">
        <f t="shared" si="7"/>
        <v>0</v>
      </c>
      <c r="AE28" s="44">
        <v>1</v>
      </c>
      <c r="AF28" s="45">
        <v>3</v>
      </c>
      <c r="AG28" s="46">
        <v>1</v>
      </c>
      <c r="AH28" s="46">
        <f t="shared" si="8"/>
        <v>2</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1</v>
      </c>
      <c r="AW28" s="46">
        <v>0</v>
      </c>
      <c r="AX28" s="46">
        <f t="shared" si="12"/>
        <v>1</v>
      </c>
      <c r="AY28" s="44">
        <v>0</v>
      </c>
      <c r="AZ28" s="45">
        <v>1</v>
      </c>
      <c r="BA28" s="46">
        <v>1</v>
      </c>
      <c r="BB28" s="46">
        <f t="shared" si="13"/>
        <v>0</v>
      </c>
      <c r="BC28" s="44">
        <v>0</v>
      </c>
      <c r="BD28" s="45">
        <v>0</v>
      </c>
      <c r="BE28" s="46">
        <v>0</v>
      </c>
      <c r="BF28" s="46">
        <f t="shared" si="14"/>
        <v>0</v>
      </c>
      <c r="BG28" s="44">
        <v>0</v>
      </c>
      <c r="BH28" s="45">
        <v>0</v>
      </c>
      <c r="BI28" s="46">
        <v>0</v>
      </c>
      <c r="BJ28" s="46">
        <f t="shared" si="15"/>
        <v>0</v>
      </c>
      <c r="BK28" s="44">
        <v>0</v>
      </c>
      <c r="BL28" s="45">
        <v>1</v>
      </c>
      <c r="BM28" s="46">
        <v>0</v>
      </c>
      <c r="BN28" s="46">
        <f t="shared" si="16"/>
        <v>1</v>
      </c>
      <c r="BO28" s="44">
        <v>0</v>
      </c>
      <c r="BP28" s="45">
        <v>0</v>
      </c>
      <c r="BQ28" s="46">
        <v>0</v>
      </c>
      <c r="BR28" s="46">
        <f t="shared" si="17"/>
        <v>0</v>
      </c>
      <c r="BS28" s="44">
        <v>1</v>
      </c>
      <c r="BT28" s="45">
        <f t="shared" si="18"/>
        <v>9</v>
      </c>
      <c r="BU28" s="46">
        <f t="shared" si="19"/>
        <v>8</v>
      </c>
      <c r="BV28" s="46">
        <f t="shared" si="20"/>
        <v>3</v>
      </c>
      <c r="BW28" s="46">
        <f t="shared" si="21"/>
        <v>0.52941176470588236</v>
      </c>
      <c r="BX28" s="46">
        <f t="shared" si="22"/>
        <v>0.75</v>
      </c>
      <c r="BY28" s="44">
        <f t="shared" si="23"/>
        <v>0.62068965517241392</v>
      </c>
    </row>
    <row r="29" spans="1:84" x14ac:dyDescent="0.35">
      <c r="A29" s="64" t="s">
        <v>10</v>
      </c>
      <c r="B29" s="108"/>
      <c r="C29" s="48" t="s">
        <v>37</v>
      </c>
      <c r="D29" s="49">
        <v>1</v>
      </c>
      <c r="E29" s="50">
        <v>1</v>
      </c>
      <c r="F29" s="50">
        <f t="shared" si="1"/>
        <v>0</v>
      </c>
      <c r="G29" s="48">
        <v>0</v>
      </c>
      <c r="H29" s="49">
        <v>0</v>
      </c>
      <c r="I29" s="50">
        <v>0</v>
      </c>
      <c r="J29" s="50">
        <f t="shared" si="2"/>
        <v>0</v>
      </c>
      <c r="K29" s="48">
        <v>0</v>
      </c>
      <c r="L29" s="49">
        <v>0</v>
      </c>
      <c r="M29" s="50">
        <v>0</v>
      </c>
      <c r="N29" s="50">
        <f t="shared" si="3"/>
        <v>0</v>
      </c>
      <c r="O29" s="48">
        <v>0</v>
      </c>
      <c r="P29" s="49">
        <v>4</v>
      </c>
      <c r="Q29" s="50">
        <v>4</v>
      </c>
      <c r="R29" s="50">
        <f t="shared" si="4"/>
        <v>0</v>
      </c>
      <c r="S29" s="48">
        <v>0</v>
      </c>
      <c r="T29" s="49">
        <v>3</v>
      </c>
      <c r="U29" s="50">
        <v>0</v>
      </c>
      <c r="V29" s="50">
        <f t="shared" si="5"/>
        <v>3</v>
      </c>
      <c r="W29" s="48">
        <v>0</v>
      </c>
      <c r="X29" s="49">
        <v>1</v>
      </c>
      <c r="Y29" s="50">
        <v>1</v>
      </c>
      <c r="Z29" s="50">
        <f t="shared" si="6"/>
        <v>0</v>
      </c>
      <c r="AA29" s="48">
        <v>0</v>
      </c>
      <c r="AB29" s="49">
        <v>0</v>
      </c>
      <c r="AC29" s="50">
        <v>0</v>
      </c>
      <c r="AD29" s="50">
        <f t="shared" si="7"/>
        <v>0</v>
      </c>
      <c r="AE29" s="48">
        <v>0</v>
      </c>
      <c r="AF29" s="49">
        <v>1</v>
      </c>
      <c r="AG29" s="50">
        <v>1</v>
      </c>
      <c r="AH29" s="50">
        <f t="shared" si="8"/>
        <v>0</v>
      </c>
      <c r="AI29" s="48">
        <v>0</v>
      </c>
      <c r="AJ29" s="49">
        <v>0</v>
      </c>
      <c r="AK29" s="50">
        <v>0</v>
      </c>
      <c r="AL29" s="50">
        <f t="shared" si="9"/>
        <v>0</v>
      </c>
      <c r="AM29" s="48">
        <v>0</v>
      </c>
      <c r="AN29" s="49">
        <v>0</v>
      </c>
      <c r="AO29" s="50">
        <v>0</v>
      </c>
      <c r="AP29" s="50">
        <f t="shared" si="10"/>
        <v>0</v>
      </c>
      <c r="AQ29" s="48">
        <v>0</v>
      </c>
      <c r="AR29" s="49">
        <v>0</v>
      </c>
      <c r="AS29" s="50">
        <v>0</v>
      </c>
      <c r="AT29" s="50">
        <f t="shared" si="11"/>
        <v>0</v>
      </c>
      <c r="AU29" s="48">
        <v>0</v>
      </c>
      <c r="AV29" s="49">
        <v>0</v>
      </c>
      <c r="AW29" s="50">
        <v>0</v>
      </c>
      <c r="AX29" s="50">
        <f t="shared" si="12"/>
        <v>0</v>
      </c>
      <c r="AY29" s="48">
        <v>0</v>
      </c>
      <c r="AZ29" s="49">
        <v>0</v>
      </c>
      <c r="BA29" s="50">
        <v>0</v>
      </c>
      <c r="BB29" s="50">
        <f t="shared" si="13"/>
        <v>0</v>
      </c>
      <c r="BC29" s="48">
        <v>0</v>
      </c>
      <c r="BD29" s="49">
        <v>0</v>
      </c>
      <c r="BE29" s="50">
        <v>0</v>
      </c>
      <c r="BF29" s="50">
        <f t="shared" si="14"/>
        <v>0</v>
      </c>
      <c r="BG29" s="48">
        <v>0</v>
      </c>
      <c r="BH29" s="49">
        <v>0</v>
      </c>
      <c r="BI29" s="50">
        <v>0</v>
      </c>
      <c r="BJ29" s="50">
        <f t="shared" si="15"/>
        <v>0</v>
      </c>
      <c r="BK29" s="48">
        <v>0</v>
      </c>
      <c r="BL29" s="49">
        <v>0</v>
      </c>
      <c r="BM29" s="50">
        <v>0</v>
      </c>
      <c r="BN29" s="50">
        <f t="shared" si="16"/>
        <v>0</v>
      </c>
      <c r="BO29" s="48">
        <v>0</v>
      </c>
      <c r="BP29" s="49">
        <v>0</v>
      </c>
      <c r="BQ29" s="50">
        <v>0</v>
      </c>
      <c r="BR29" s="50">
        <f t="shared" si="17"/>
        <v>0</v>
      </c>
      <c r="BS29" s="48">
        <v>0</v>
      </c>
      <c r="BT29" s="49">
        <f t="shared" si="18"/>
        <v>7</v>
      </c>
      <c r="BU29" s="50">
        <f t="shared" si="19"/>
        <v>3</v>
      </c>
      <c r="BV29" s="50">
        <f t="shared" si="20"/>
        <v>0</v>
      </c>
      <c r="BW29" s="50">
        <f t="shared" si="21"/>
        <v>0.7</v>
      </c>
      <c r="BX29" s="50">
        <f t="shared" si="22"/>
        <v>1</v>
      </c>
      <c r="BY29" s="48">
        <f t="shared" si="23"/>
        <v>0.82352941176470584</v>
      </c>
    </row>
    <row r="30" spans="1:84" ht="15" thickBot="1" x14ac:dyDescent="0.4">
      <c r="A30" s="50" t="s">
        <v>10</v>
      </c>
      <c r="B30" s="108"/>
      <c r="C30" s="48" t="s">
        <v>38</v>
      </c>
      <c r="D30" s="73">
        <v>1</v>
      </c>
      <c r="E30" s="74">
        <v>1</v>
      </c>
      <c r="F30" s="74">
        <f t="shared" si="1"/>
        <v>0</v>
      </c>
      <c r="G30" s="72">
        <v>0</v>
      </c>
      <c r="H30" s="73">
        <v>0</v>
      </c>
      <c r="I30" s="74">
        <v>0</v>
      </c>
      <c r="J30" s="74">
        <f t="shared" si="2"/>
        <v>0</v>
      </c>
      <c r="K30" s="72">
        <v>0</v>
      </c>
      <c r="L30" s="73">
        <v>0</v>
      </c>
      <c r="M30" s="74">
        <v>0</v>
      </c>
      <c r="N30" s="74">
        <f t="shared" si="3"/>
        <v>0</v>
      </c>
      <c r="O30" s="72">
        <v>0</v>
      </c>
      <c r="P30" s="73">
        <v>4</v>
      </c>
      <c r="Q30" s="74">
        <v>4</v>
      </c>
      <c r="R30" s="74">
        <f t="shared" si="4"/>
        <v>0</v>
      </c>
      <c r="S30" s="72">
        <v>0</v>
      </c>
      <c r="T30" s="73">
        <v>3</v>
      </c>
      <c r="U30" s="74">
        <v>3</v>
      </c>
      <c r="V30" s="74">
        <f t="shared" si="5"/>
        <v>0</v>
      </c>
      <c r="W30" s="72">
        <v>1</v>
      </c>
      <c r="X30" s="73">
        <v>1</v>
      </c>
      <c r="Y30" s="74">
        <v>1</v>
      </c>
      <c r="Z30" s="74">
        <f t="shared" si="6"/>
        <v>0</v>
      </c>
      <c r="AA30" s="72">
        <v>0</v>
      </c>
      <c r="AB30" s="73">
        <v>0</v>
      </c>
      <c r="AC30" s="74">
        <v>0</v>
      </c>
      <c r="AD30" s="74">
        <v>0</v>
      </c>
      <c r="AE30" s="72">
        <v>0</v>
      </c>
      <c r="AF30" s="73">
        <v>1</v>
      </c>
      <c r="AG30" s="74">
        <v>1</v>
      </c>
      <c r="AH30" s="74">
        <f t="shared" si="8"/>
        <v>0</v>
      </c>
      <c r="AI30" s="72">
        <v>0</v>
      </c>
      <c r="AJ30" s="73">
        <v>0</v>
      </c>
      <c r="AK30" s="74">
        <v>0</v>
      </c>
      <c r="AL30" s="74">
        <f t="shared" si="9"/>
        <v>0</v>
      </c>
      <c r="AM30" s="72">
        <v>0</v>
      </c>
      <c r="AN30" s="73">
        <v>0</v>
      </c>
      <c r="AO30" s="74">
        <v>0</v>
      </c>
      <c r="AP30" s="74">
        <f t="shared" si="10"/>
        <v>0</v>
      </c>
      <c r="AQ30" s="72">
        <v>0</v>
      </c>
      <c r="AR30" s="73">
        <v>0</v>
      </c>
      <c r="AS30" s="74">
        <v>0</v>
      </c>
      <c r="AT30" s="74">
        <f t="shared" si="11"/>
        <v>0</v>
      </c>
      <c r="AU30" s="72">
        <v>0</v>
      </c>
      <c r="AV30" s="73">
        <v>0</v>
      </c>
      <c r="AW30" s="74">
        <v>0</v>
      </c>
      <c r="AX30" s="74">
        <f t="shared" si="12"/>
        <v>0</v>
      </c>
      <c r="AY30" s="72">
        <v>0</v>
      </c>
      <c r="AZ30" s="73">
        <v>0</v>
      </c>
      <c r="BA30" s="74">
        <v>0</v>
      </c>
      <c r="BB30" s="74">
        <f t="shared" si="13"/>
        <v>0</v>
      </c>
      <c r="BC30" s="72">
        <v>0</v>
      </c>
      <c r="BD30" s="73">
        <v>0</v>
      </c>
      <c r="BE30" s="74">
        <v>0</v>
      </c>
      <c r="BF30" s="74">
        <f t="shared" si="14"/>
        <v>0</v>
      </c>
      <c r="BG30" s="72">
        <v>0</v>
      </c>
      <c r="BH30" s="73">
        <v>0</v>
      </c>
      <c r="BI30" s="74">
        <v>0</v>
      </c>
      <c r="BJ30" s="74">
        <f t="shared" si="15"/>
        <v>0</v>
      </c>
      <c r="BK30" s="72">
        <v>0</v>
      </c>
      <c r="BL30" s="73">
        <v>0</v>
      </c>
      <c r="BM30" s="74">
        <v>0</v>
      </c>
      <c r="BN30" s="74">
        <f t="shared" si="16"/>
        <v>0</v>
      </c>
      <c r="BO30" s="72">
        <v>0</v>
      </c>
      <c r="BP30" s="73">
        <v>0</v>
      </c>
      <c r="BQ30" s="74">
        <v>0</v>
      </c>
      <c r="BR30" s="74">
        <f t="shared" si="17"/>
        <v>0</v>
      </c>
      <c r="BS30" s="72">
        <v>0</v>
      </c>
      <c r="BT30" s="73">
        <f t="shared" si="18"/>
        <v>10</v>
      </c>
      <c r="BU30" s="74">
        <f t="shared" si="19"/>
        <v>0</v>
      </c>
      <c r="BV30" s="74">
        <f t="shared" si="20"/>
        <v>1</v>
      </c>
      <c r="BW30" s="74">
        <f t="shared" si="21"/>
        <v>1</v>
      </c>
      <c r="BX30" s="74">
        <f t="shared" si="22"/>
        <v>0.90909090909090906</v>
      </c>
      <c r="BY30" s="72">
        <f t="shared" si="23"/>
        <v>0.95238095238095233</v>
      </c>
    </row>
    <row r="31" spans="1:84" ht="15" thickTop="1" x14ac:dyDescent="0.35">
      <c r="C31" s="4" t="s">
        <v>88</v>
      </c>
      <c r="D31" s="51">
        <f>SUM(D3:D30)</f>
        <v>74</v>
      </c>
      <c r="E31" s="51">
        <f t="shared" ref="E31:BP31" si="38">SUM(E3:E30)</f>
        <v>73</v>
      </c>
      <c r="F31" s="51">
        <f t="shared" si="38"/>
        <v>1</v>
      </c>
      <c r="G31" s="51">
        <f t="shared" si="38"/>
        <v>0</v>
      </c>
      <c r="H31" s="51">
        <f t="shared" si="38"/>
        <v>8</v>
      </c>
      <c r="I31" s="51">
        <f t="shared" si="38"/>
        <v>4</v>
      </c>
      <c r="J31" s="51">
        <f t="shared" si="38"/>
        <v>4</v>
      </c>
      <c r="K31" s="51">
        <f t="shared" si="38"/>
        <v>0</v>
      </c>
      <c r="L31" s="51">
        <f t="shared" si="38"/>
        <v>20</v>
      </c>
      <c r="M31" s="51">
        <f t="shared" si="38"/>
        <v>16</v>
      </c>
      <c r="N31" s="51">
        <f t="shared" si="38"/>
        <v>4</v>
      </c>
      <c r="O31" s="51">
        <f t="shared" si="38"/>
        <v>0</v>
      </c>
      <c r="P31" s="51">
        <f t="shared" si="38"/>
        <v>100</v>
      </c>
      <c r="Q31" s="51">
        <f t="shared" si="38"/>
        <v>100</v>
      </c>
      <c r="R31" s="51">
        <f t="shared" si="38"/>
        <v>0</v>
      </c>
      <c r="S31" s="51">
        <f t="shared" si="38"/>
        <v>7</v>
      </c>
      <c r="T31" s="51">
        <f t="shared" si="38"/>
        <v>14</v>
      </c>
      <c r="U31" s="51">
        <f t="shared" si="38"/>
        <v>7</v>
      </c>
      <c r="V31" s="51">
        <f t="shared" si="38"/>
        <v>7</v>
      </c>
      <c r="W31" s="51">
        <f t="shared" si="38"/>
        <v>7</v>
      </c>
      <c r="X31" s="51">
        <f t="shared" si="38"/>
        <v>34</v>
      </c>
      <c r="Y31" s="51">
        <f t="shared" si="38"/>
        <v>32</v>
      </c>
      <c r="Z31" s="51">
        <f t="shared" si="38"/>
        <v>2</v>
      </c>
      <c r="AA31" s="51">
        <f t="shared" si="38"/>
        <v>3</v>
      </c>
      <c r="AB31" s="51">
        <f t="shared" si="38"/>
        <v>16</v>
      </c>
      <c r="AC31" s="51">
        <f t="shared" si="38"/>
        <v>13</v>
      </c>
      <c r="AD31" s="51">
        <f t="shared" si="38"/>
        <v>3</v>
      </c>
      <c r="AE31" s="51">
        <f t="shared" si="38"/>
        <v>4</v>
      </c>
      <c r="AF31" s="51">
        <f t="shared" si="38"/>
        <v>36</v>
      </c>
      <c r="AG31" s="51">
        <f t="shared" si="38"/>
        <v>8</v>
      </c>
      <c r="AH31" s="51">
        <f t="shared" si="38"/>
        <v>28</v>
      </c>
      <c r="AI31" s="51">
        <f t="shared" si="38"/>
        <v>0</v>
      </c>
      <c r="AJ31" s="51">
        <f t="shared" si="38"/>
        <v>22</v>
      </c>
      <c r="AK31" s="51">
        <f t="shared" si="38"/>
        <v>22</v>
      </c>
      <c r="AL31" s="51">
        <f t="shared" si="38"/>
        <v>0</v>
      </c>
      <c r="AM31" s="51">
        <f t="shared" si="38"/>
        <v>2</v>
      </c>
      <c r="AN31" s="51">
        <f t="shared" si="38"/>
        <v>2</v>
      </c>
      <c r="AO31" s="51">
        <f t="shared" si="38"/>
        <v>2</v>
      </c>
      <c r="AP31" s="51">
        <f t="shared" si="38"/>
        <v>0</v>
      </c>
      <c r="AQ31" s="51">
        <f t="shared" si="38"/>
        <v>4</v>
      </c>
      <c r="AR31" s="51">
        <f t="shared" si="38"/>
        <v>8</v>
      </c>
      <c r="AS31" s="51">
        <f t="shared" si="38"/>
        <v>2</v>
      </c>
      <c r="AT31" s="51">
        <f t="shared" si="38"/>
        <v>6</v>
      </c>
      <c r="AU31" s="51">
        <f t="shared" si="38"/>
        <v>3</v>
      </c>
      <c r="AV31" s="51">
        <f t="shared" si="38"/>
        <v>4</v>
      </c>
      <c r="AW31" s="51">
        <f t="shared" si="38"/>
        <v>2</v>
      </c>
      <c r="AX31" s="51">
        <f t="shared" si="38"/>
        <v>2</v>
      </c>
      <c r="AY31" s="51">
        <f t="shared" si="38"/>
        <v>8</v>
      </c>
      <c r="AZ31" s="51">
        <f t="shared" si="38"/>
        <v>46</v>
      </c>
      <c r="BA31" s="51">
        <f t="shared" si="38"/>
        <v>41</v>
      </c>
      <c r="BB31" s="51">
        <f t="shared" si="38"/>
        <v>5</v>
      </c>
      <c r="BC31" s="51">
        <f t="shared" si="38"/>
        <v>5</v>
      </c>
      <c r="BD31" s="51">
        <f t="shared" si="38"/>
        <v>6</v>
      </c>
      <c r="BE31" s="51">
        <f t="shared" si="38"/>
        <v>4</v>
      </c>
      <c r="BF31" s="51">
        <f t="shared" si="38"/>
        <v>2</v>
      </c>
      <c r="BG31" s="51">
        <f t="shared" si="38"/>
        <v>0</v>
      </c>
      <c r="BH31" s="51">
        <f t="shared" si="38"/>
        <v>4</v>
      </c>
      <c r="BI31" s="51">
        <f t="shared" si="38"/>
        <v>0</v>
      </c>
      <c r="BJ31" s="51">
        <f t="shared" si="38"/>
        <v>4</v>
      </c>
      <c r="BK31" s="51">
        <f t="shared" si="38"/>
        <v>0</v>
      </c>
      <c r="BL31" s="51">
        <f t="shared" si="38"/>
        <v>12</v>
      </c>
      <c r="BM31" s="51">
        <f t="shared" si="38"/>
        <v>3</v>
      </c>
      <c r="BN31" s="51">
        <f t="shared" si="38"/>
        <v>9</v>
      </c>
      <c r="BO31" s="51">
        <f t="shared" si="38"/>
        <v>5</v>
      </c>
      <c r="BP31" s="51">
        <f t="shared" si="38"/>
        <v>10</v>
      </c>
      <c r="BQ31" s="51">
        <f t="shared" ref="BQ31:BS31" si="39">SUM(BQ3:BQ30)</f>
        <v>3</v>
      </c>
      <c r="BR31" s="51">
        <f t="shared" si="39"/>
        <v>7</v>
      </c>
      <c r="BS31" s="51">
        <f t="shared" si="39"/>
        <v>1</v>
      </c>
    </row>
    <row r="33" spans="3:71" x14ac:dyDescent="0.35">
      <c r="C33" s="76" t="s">
        <v>7</v>
      </c>
      <c r="D33" s="112">
        <f>IFERROR(E31/(E31+F31),"")</f>
        <v>0.98648648648648651</v>
      </c>
      <c r="E33" s="113"/>
      <c r="F33" s="113"/>
      <c r="G33" s="114"/>
      <c r="H33" s="112">
        <f t="shared" ref="H33" si="40">IFERROR(I31/(I31+J31),"")</f>
        <v>0.5</v>
      </c>
      <c r="I33" s="113"/>
      <c r="J33" s="113"/>
      <c r="K33" s="114"/>
      <c r="L33" s="112">
        <f t="shared" ref="L33" si="41">IFERROR(M31/(M31+N31),"")</f>
        <v>0.8</v>
      </c>
      <c r="M33" s="113"/>
      <c r="N33" s="113"/>
      <c r="O33" s="114"/>
      <c r="P33" s="112">
        <f t="shared" ref="P33" si="42">IFERROR(Q31/(Q31+R31),"")</f>
        <v>1</v>
      </c>
      <c r="Q33" s="113"/>
      <c r="R33" s="113"/>
      <c r="S33" s="114"/>
      <c r="T33" s="112">
        <f t="shared" ref="T33" si="43">IFERROR(U31/(U31+V31),"")</f>
        <v>0.5</v>
      </c>
      <c r="U33" s="113"/>
      <c r="V33" s="113"/>
      <c r="W33" s="114"/>
      <c r="X33" s="112">
        <f t="shared" ref="X33" si="44">IFERROR(Y31/(Y31+Z31),"")</f>
        <v>0.94117647058823528</v>
      </c>
      <c r="Y33" s="113"/>
      <c r="Z33" s="113"/>
      <c r="AA33" s="114"/>
      <c r="AB33" s="112">
        <f t="shared" ref="AB33" si="45">IFERROR(AC31/(AC31+AD31),"")</f>
        <v>0.8125</v>
      </c>
      <c r="AC33" s="113"/>
      <c r="AD33" s="113"/>
      <c r="AE33" s="114"/>
      <c r="AF33" s="112">
        <f t="shared" ref="AF33" si="46">IFERROR(AG31/(AG31+AH31),"")</f>
        <v>0.22222222222222221</v>
      </c>
      <c r="AG33" s="113"/>
      <c r="AH33" s="113"/>
      <c r="AI33" s="114"/>
      <c r="AJ33" s="112">
        <f t="shared" ref="AJ33" si="47">IFERROR(AK31/(AK31+AL31),"")</f>
        <v>1</v>
      </c>
      <c r="AK33" s="113"/>
      <c r="AL33" s="113"/>
      <c r="AM33" s="114"/>
      <c r="AN33" s="112">
        <f t="shared" ref="AN33" si="48">IFERROR(AO31/(AO31+AP31),"")</f>
        <v>1</v>
      </c>
      <c r="AO33" s="113"/>
      <c r="AP33" s="113"/>
      <c r="AQ33" s="114"/>
      <c r="AR33" s="112">
        <f t="shared" ref="AR33" si="49">IFERROR(AS31/(AS31+AT31),"")</f>
        <v>0.25</v>
      </c>
      <c r="AS33" s="113"/>
      <c r="AT33" s="113"/>
      <c r="AU33" s="114"/>
      <c r="AV33" s="112">
        <f t="shared" ref="AV33" si="50">IFERROR(AW31/(AW31+AX31),"")</f>
        <v>0.5</v>
      </c>
      <c r="AW33" s="113"/>
      <c r="AX33" s="113"/>
      <c r="AY33" s="114"/>
      <c r="AZ33" s="112">
        <f t="shared" ref="AZ33" si="51">IFERROR(BA31/(BA31+BB31),"")</f>
        <v>0.89130434782608692</v>
      </c>
      <c r="BA33" s="113"/>
      <c r="BB33" s="113"/>
      <c r="BC33" s="114"/>
      <c r="BD33" s="112">
        <f t="shared" ref="BD33" si="52">IFERROR(BE31/(BE31+BF31),"")</f>
        <v>0.66666666666666663</v>
      </c>
      <c r="BE33" s="113"/>
      <c r="BF33" s="113"/>
      <c r="BG33" s="114"/>
      <c r="BH33" s="112">
        <f t="shared" ref="BH33" si="53">IFERROR(BI31/(BI31+BJ31),"")</f>
        <v>0</v>
      </c>
      <c r="BI33" s="113"/>
      <c r="BJ33" s="113"/>
      <c r="BK33" s="114"/>
      <c r="BL33" s="112">
        <f t="shared" ref="BL33" si="54">IFERROR(BM31/(BM31+BN31),"")</f>
        <v>0.25</v>
      </c>
      <c r="BM33" s="113"/>
      <c r="BN33" s="113"/>
      <c r="BO33" s="114"/>
      <c r="BP33" s="112">
        <f t="shared" ref="BP33" si="55">IFERROR(BQ31/(BQ31+BR31),"")</f>
        <v>0.3</v>
      </c>
      <c r="BQ33" s="113"/>
      <c r="BR33" s="113"/>
      <c r="BS33" s="114"/>
    </row>
    <row r="34" spans="3:71" x14ac:dyDescent="0.35">
      <c r="C34" s="76" t="s">
        <v>117</v>
      </c>
      <c r="D34" s="112">
        <f>IFERROR(E31/(E31+G31),"")</f>
        <v>1</v>
      </c>
      <c r="E34" s="113"/>
      <c r="F34" s="113"/>
      <c r="G34" s="114"/>
      <c r="H34" s="112">
        <f t="shared" ref="H34" si="56">IFERROR(I31/(I31+K31),"")</f>
        <v>1</v>
      </c>
      <c r="I34" s="113"/>
      <c r="J34" s="113"/>
      <c r="K34" s="114"/>
      <c r="L34" s="112">
        <f t="shared" ref="L34" si="57">IFERROR(M31/(M31+O31),"")</f>
        <v>1</v>
      </c>
      <c r="M34" s="113"/>
      <c r="N34" s="113"/>
      <c r="O34" s="114"/>
      <c r="P34" s="112">
        <f t="shared" ref="P34" si="58">IFERROR(Q31/(Q31+S31),"")</f>
        <v>0.93457943925233644</v>
      </c>
      <c r="Q34" s="113"/>
      <c r="R34" s="113"/>
      <c r="S34" s="114"/>
      <c r="T34" s="112">
        <f t="shared" ref="T34" si="59">IFERROR(U31/(U31+W31),"")</f>
        <v>0.5</v>
      </c>
      <c r="U34" s="113"/>
      <c r="V34" s="113"/>
      <c r="W34" s="114"/>
      <c r="X34" s="112">
        <f t="shared" ref="X34" si="60">IFERROR(Y31/(Y31+AA31),"")</f>
        <v>0.91428571428571426</v>
      </c>
      <c r="Y34" s="113"/>
      <c r="Z34" s="113"/>
      <c r="AA34" s="114"/>
      <c r="AB34" s="112">
        <f t="shared" ref="AB34" si="61">IFERROR(AC31/(AC31+AE31),"")</f>
        <v>0.76470588235294112</v>
      </c>
      <c r="AC34" s="113"/>
      <c r="AD34" s="113"/>
      <c r="AE34" s="114"/>
      <c r="AF34" s="112">
        <f t="shared" ref="AF34" si="62">IFERROR(AG31/(AG31+AI31),"")</f>
        <v>1</v>
      </c>
      <c r="AG34" s="113"/>
      <c r="AH34" s="113"/>
      <c r="AI34" s="114"/>
      <c r="AJ34" s="112">
        <f t="shared" ref="AJ34" si="63">IFERROR(AK31/(AK31+AM31),"")</f>
        <v>0.91666666666666663</v>
      </c>
      <c r="AK34" s="113"/>
      <c r="AL34" s="113"/>
      <c r="AM34" s="114"/>
      <c r="AN34" s="112">
        <f t="shared" ref="AN34" si="64">IFERROR(AO31/(AO31+AQ31),"")</f>
        <v>0.33333333333333331</v>
      </c>
      <c r="AO34" s="113"/>
      <c r="AP34" s="113"/>
      <c r="AQ34" s="114"/>
      <c r="AR34" s="112">
        <f t="shared" ref="AR34" si="65">IFERROR(AS31/(AS31+AU31),"")</f>
        <v>0.4</v>
      </c>
      <c r="AS34" s="113"/>
      <c r="AT34" s="113"/>
      <c r="AU34" s="114"/>
      <c r="AV34" s="112">
        <f t="shared" ref="AV34" si="66">IFERROR(AW31/(AW31+AY31),"")</f>
        <v>0.2</v>
      </c>
      <c r="AW34" s="113"/>
      <c r="AX34" s="113"/>
      <c r="AY34" s="114"/>
      <c r="AZ34" s="112">
        <f t="shared" ref="AZ34" si="67">IFERROR(BA31/(BA31+BC31),"")</f>
        <v>0.89130434782608692</v>
      </c>
      <c r="BA34" s="113"/>
      <c r="BB34" s="113"/>
      <c r="BC34" s="114"/>
      <c r="BD34" s="112">
        <f t="shared" ref="BD34" si="68">IFERROR(BE31/(BE31+BG31),"")</f>
        <v>1</v>
      </c>
      <c r="BE34" s="113"/>
      <c r="BF34" s="113"/>
      <c r="BG34" s="114"/>
      <c r="BH34" s="112" t="str">
        <f t="shared" ref="BH34" si="69">IFERROR(BI31/(BI31+BK31),"")</f>
        <v/>
      </c>
      <c r="BI34" s="113"/>
      <c r="BJ34" s="113"/>
      <c r="BK34" s="114"/>
      <c r="BL34" s="112">
        <f t="shared" ref="BL34" si="70">IFERROR(BM31/(BM31+BO31),"")</f>
        <v>0.375</v>
      </c>
      <c r="BM34" s="113"/>
      <c r="BN34" s="113"/>
      <c r="BO34" s="114"/>
      <c r="BP34" s="112">
        <f t="shared" ref="BP34" si="71">IFERROR(BQ31/(BQ31+BS31),"")</f>
        <v>0.75</v>
      </c>
      <c r="BQ34" s="113"/>
      <c r="BR34" s="113"/>
      <c r="BS34" s="114"/>
    </row>
    <row r="35" spans="3:71" x14ac:dyDescent="0.35">
      <c r="C35" s="76" t="s">
        <v>8</v>
      </c>
      <c r="D35" s="112">
        <f>IFERROR(2*D33*D34/(D33+D34),IF(AND(D33=0,D34=0),0,""))</f>
        <v>0.99319727891156473</v>
      </c>
      <c r="E35" s="113"/>
      <c r="F35" s="113"/>
      <c r="G35" s="114"/>
      <c r="H35" s="112">
        <f t="shared" ref="H35" si="72">IFERROR(2*H33*H34/(H33+H34),IF(AND(H33=0,H34=0),0,""))</f>
        <v>0.66666666666666663</v>
      </c>
      <c r="I35" s="113"/>
      <c r="J35" s="113"/>
      <c r="K35" s="114"/>
      <c r="L35" s="112">
        <f t="shared" ref="L35" si="73">IFERROR(2*L33*L34/(L33+L34),IF(AND(L33=0,L34=0),0,""))</f>
        <v>0.88888888888888895</v>
      </c>
      <c r="M35" s="113"/>
      <c r="N35" s="113"/>
      <c r="O35" s="114"/>
      <c r="P35" s="112">
        <f t="shared" ref="P35" si="74">IFERROR(2*P33*P34/(P33+P34),IF(AND(P33=0,P34=0),0,""))</f>
        <v>0.96618357487922701</v>
      </c>
      <c r="Q35" s="113"/>
      <c r="R35" s="113"/>
      <c r="S35" s="114"/>
      <c r="T35" s="112">
        <f t="shared" ref="T35" si="75">IFERROR(2*T33*T34/(T33+T34),IF(AND(T33=0,T34=0),0,""))</f>
        <v>0.5</v>
      </c>
      <c r="U35" s="113"/>
      <c r="V35" s="113"/>
      <c r="W35" s="114"/>
      <c r="X35" s="112">
        <f t="shared" ref="X35" si="76">IFERROR(2*X33*X34/(X33+X34),IF(AND(X33=0,X34=0),0,""))</f>
        <v>0.92753623188405787</v>
      </c>
      <c r="Y35" s="113"/>
      <c r="Z35" s="113"/>
      <c r="AA35" s="114"/>
      <c r="AB35" s="112">
        <f t="shared" ref="AB35" si="77">IFERROR(2*AB33*AB34/(AB33+AB34),IF(AND(AB33=0,AB34=0),0,""))</f>
        <v>0.78787878787878796</v>
      </c>
      <c r="AC35" s="113"/>
      <c r="AD35" s="113"/>
      <c r="AE35" s="114"/>
      <c r="AF35" s="112">
        <f t="shared" ref="AF35" si="78">IFERROR(2*AF33*AF34/(AF33+AF34),IF(AND(AF33=0,AF34=0),0,""))</f>
        <v>0.36363636363636359</v>
      </c>
      <c r="AG35" s="113"/>
      <c r="AH35" s="113"/>
      <c r="AI35" s="114"/>
      <c r="AJ35" s="112">
        <f t="shared" ref="AJ35" si="79">IFERROR(2*AJ33*AJ34/(AJ33+AJ34),IF(AND(AJ33=0,AJ34=0),0,""))</f>
        <v>0.95652173913043481</v>
      </c>
      <c r="AK35" s="113"/>
      <c r="AL35" s="113"/>
      <c r="AM35" s="114"/>
      <c r="AN35" s="112">
        <f t="shared" ref="AN35" si="80">IFERROR(2*AN33*AN34/(AN33+AN34),IF(AND(AN33=0,AN34=0),0,""))</f>
        <v>0.5</v>
      </c>
      <c r="AO35" s="113"/>
      <c r="AP35" s="113"/>
      <c r="AQ35" s="114"/>
      <c r="AR35" s="112">
        <f t="shared" ref="AR35" si="81">IFERROR(2*AR33*AR34/(AR33+AR34),IF(AND(AR33=0,AR34=0),0,""))</f>
        <v>0.30769230769230771</v>
      </c>
      <c r="AS35" s="113"/>
      <c r="AT35" s="113"/>
      <c r="AU35" s="114"/>
      <c r="AV35" s="112">
        <f t="shared" ref="AV35" si="82">IFERROR(2*AV33*AV34/(AV33+AV34),IF(AND(AV33=0,AV34=0),0,""))</f>
        <v>0.28571428571428575</v>
      </c>
      <c r="AW35" s="113"/>
      <c r="AX35" s="113"/>
      <c r="AY35" s="114"/>
      <c r="AZ35" s="112">
        <f t="shared" ref="AZ35" si="83">IFERROR(2*AZ33*AZ34/(AZ33+AZ34),IF(AND(AZ33=0,AZ34=0),0,""))</f>
        <v>0.89130434782608692</v>
      </c>
      <c r="BA35" s="113"/>
      <c r="BB35" s="113"/>
      <c r="BC35" s="114"/>
      <c r="BD35" s="112">
        <f t="shared" ref="BD35" si="84">IFERROR(2*BD33*BD34/(BD33+BD34),IF(AND(BD33=0,BD34=0),0,""))</f>
        <v>0.8</v>
      </c>
      <c r="BE35" s="113"/>
      <c r="BF35" s="113"/>
      <c r="BG35" s="114"/>
      <c r="BH35" s="112" t="str">
        <f t="shared" ref="BH35" si="85">IFERROR(2*BH33*BH34/(BH33+BH34),IF(AND(BH33=0,BH34=0),0,""))</f>
        <v/>
      </c>
      <c r="BI35" s="113"/>
      <c r="BJ35" s="113"/>
      <c r="BK35" s="114"/>
      <c r="BL35" s="112">
        <f t="shared" ref="BL35" si="86">IFERROR(2*BL33*BL34/(BL33+BL34),IF(AND(BL33=0,BL34=0),0,""))</f>
        <v>0.3</v>
      </c>
      <c r="BM35" s="113"/>
      <c r="BN35" s="113"/>
      <c r="BO35" s="114"/>
      <c r="BP35" s="112">
        <f t="shared" ref="BP35" si="87">IFERROR(2*BP33*BP34/(BP33+BP34),IF(AND(BP33=0,BP34=0),0,""))</f>
        <v>0.42857142857142849</v>
      </c>
      <c r="BQ35" s="113"/>
      <c r="BR35" s="113"/>
      <c r="BS35" s="114"/>
    </row>
  </sheetData>
  <mergeCells count="82">
    <mergeCell ref="BL35:BO35"/>
    <mergeCell ref="BP35:BS35"/>
    <mergeCell ref="BH34:BK34"/>
    <mergeCell ref="BL34:BO34"/>
    <mergeCell ref="BP34:BS34"/>
    <mergeCell ref="D35:G35"/>
    <mergeCell ref="H35:K35"/>
    <mergeCell ref="L35:O35"/>
    <mergeCell ref="P35:S35"/>
    <mergeCell ref="T35:W35"/>
    <mergeCell ref="X35:AA35"/>
    <mergeCell ref="AB35:AE35"/>
    <mergeCell ref="AF35:AI35"/>
    <mergeCell ref="AJ35:AM35"/>
    <mergeCell ref="AN35:AQ35"/>
    <mergeCell ref="AR35:AU35"/>
    <mergeCell ref="AV35:AY35"/>
    <mergeCell ref="AZ35:BC35"/>
    <mergeCell ref="BL33:BO33"/>
    <mergeCell ref="BP33:BS33"/>
    <mergeCell ref="AR34:AU34"/>
    <mergeCell ref="AV34:AY34"/>
    <mergeCell ref="AZ34:BC34"/>
    <mergeCell ref="BD34:BG34"/>
    <mergeCell ref="AR33:AU33"/>
    <mergeCell ref="AV33:AY33"/>
    <mergeCell ref="AZ33:BC33"/>
    <mergeCell ref="BD33:BG33"/>
    <mergeCell ref="BH33:BK33"/>
    <mergeCell ref="BD35:BG35"/>
    <mergeCell ref="BH35:BK35"/>
    <mergeCell ref="D34:G34"/>
    <mergeCell ref="H34:K34"/>
    <mergeCell ref="L34:O34"/>
    <mergeCell ref="P34:S34"/>
    <mergeCell ref="T34:W34"/>
    <mergeCell ref="X34:AA34"/>
    <mergeCell ref="AB34:AE34"/>
    <mergeCell ref="AF34:AI34"/>
    <mergeCell ref="AJ34:AM34"/>
    <mergeCell ref="AN34:AQ34"/>
    <mergeCell ref="X33:AA33"/>
    <mergeCell ref="AB33:AE33"/>
    <mergeCell ref="AF33:AI33"/>
    <mergeCell ref="AJ33:AM33"/>
    <mergeCell ref="AN33:AQ33"/>
    <mergeCell ref="D33:G33"/>
    <mergeCell ref="H33:K33"/>
    <mergeCell ref="L33:O33"/>
    <mergeCell ref="P33:S33"/>
    <mergeCell ref="T33:W33"/>
    <mergeCell ref="AZ1:BC1"/>
    <mergeCell ref="BD1:BG1"/>
    <mergeCell ref="BY1:BY2"/>
    <mergeCell ref="BL1:BO1"/>
    <mergeCell ref="BP1:BS1"/>
    <mergeCell ref="BT1:BT2"/>
    <mergeCell ref="BU1:BU2"/>
    <mergeCell ref="BV1:BV2"/>
    <mergeCell ref="BW1:BW2"/>
    <mergeCell ref="BX1:BX2"/>
    <mergeCell ref="A1:A2"/>
    <mergeCell ref="B1:B2"/>
    <mergeCell ref="C1:C2"/>
    <mergeCell ref="D1:G1"/>
    <mergeCell ref="H1:K1"/>
    <mergeCell ref="CC1:CC2"/>
    <mergeCell ref="CD1:CD2"/>
    <mergeCell ref="CE1:CE2"/>
    <mergeCell ref="CF1:CF2"/>
    <mergeCell ref="B3:B30"/>
    <mergeCell ref="L1:O1"/>
    <mergeCell ref="BH1:BK1"/>
    <mergeCell ref="P1:S1"/>
    <mergeCell ref="T1:W1"/>
    <mergeCell ref="X1:AA1"/>
    <mergeCell ref="AB1:AE1"/>
    <mergeCell ref="AF1:AI1"/>
    <mergeCell ref="AJ1:AM1"/>
    <mergeCell ref="AN1:AQ1"/>
    <mergeCell ref="AR1:AU1"/>
    <mergeCell ref="AV1:AY1"/>
  </mergeCells>
  <phoneticPr fontId="3"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BD10-C0FB-4CA1-9C58-DF8A90A9D4BE}">
  <dimension ref="A1:CF35"/>
  <sheetViews>
    <sheetView zoomScale="79" zoomScaleNormal="79" workbookViewId="0">
      <pane ySplit="2" topLeftCell="A3" activePane="bottomLeft" state="frozen"/>
      <selection activeCell="AW40" sqref="AW40"/>
      <selection pane="bottomLeft" activeCell="C34" sqref="C34"/>
    </sheetView>
  </sheetViews>
  <sheetFormatPr defaultRowHeight="14.5" x14ac:dyDescent="0.35"/>
  <cols>
    <col min="1" max="1" width="11.1796875" customWidth="1"/>
    <col min="2" max="2" width="35.26953125" customWidth="1"/>
    <col min="3" max="3" width="13.7265625"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7.7265625" customWidth="1"/>
    <col min="72" max="72" width="9" customWidth="1"/>
    <col min="76" max="76" width="10.453125" customWidth="1"/>
    <col min="81" max="81" width="12.90625" bestFit="1" customWidth="1"/>
    <col min="83" max="83" width="12.36328125" bestFit="1" customWidth="1"/>
  </cols>
  <sheetData>
    <row r="1" spans="1:84" ht="15.5" thickTop="1" thickBot="1" x14ac:dyDescent="0.4">
      <c r="A1" s="92" t="s">
        <v>0</v>
      </c>
      <c r="B1" s="103" t="s">
        <v>1</v>
      </c>
      <c r="C1" s="96" t="s">
        <v>2</v>
      </c>
      <c r="D1" s="115" t="s">
        <v>3</v>
      </c>
      <c r="E1" s="101"/>
      <c r="F1" s="101"/>
      <c r="G1" s="102"/>
      <c r="H1" s="115" t="s">
        <v>71</v>
      </c>
      <c r="I1" s="101"/>
      <c r="J1" s="101"/>
      <c r="K1" s="102"/>
      <c r="L1" s="115" t="s">
        <v>72</v>
      </c>
      <c r="M1" s="101"/>
      <c r="N1" s="101"/>
      <c r="O1" s="102"/>
      <c r="P1" s="115" t="s">
        <v>73</v>
      </c>
      <c r="Q1" s="101"/>
      <c r="R1" s="101"/>
      <c r="S1" s="102"/>
      <c r="T1" s="115" t="s">
        <v>74</v>
      </c>
      <c r="U1" s="101"/>
      <c r="V1" s="101"/>
      <c r="W1" s="102"/>
      <c r="X1" s="115" t="s">
        <v>75</v>
      </c>
      <c r="Y1" s="101"/>
      <c r="Z1" s="101"/>
      <c r="AA1" s="102"/>
      <c r="AB1" s="115" t="s">
        <v>76</v>
      </c>
      <c r="AC1" s="101"/>
      <c r="AD1" s="101"/>
      <c r="AE1" s="102"/>
      <c r="AF1" s="115" t="s">
        <v>77</v>
      </c>
      <c r="AG1" s="101"/>
      <c r="AH1" s="101"/>
      <c r="AI1" s="102"/>
      <c r="AJ1" s="115" t="s">
        <v>78</v>
      </c>
      <c r="AK1" s="101"/>
      <c r="AL1" s="101"/>
      <c r="AM1" s="102"/>
      <c r="AN1" s="115" t="s">
        <v>79</v>
      </c>
      <c r="AO1" s="101"/>
      <c r="AP1" s="101"/>
      <c r="AQ1" s="102"/>
      <c r="AR1" s="115" t="s">
        <v>80</v>
      </c>
      <c r="AS1" s="101"/>
      <c r="AT1" s="101"/>
      <c r="AU1" s="102"/>
      <c r="AV1" s="115" t="s">
        <v>81</v>
      </c>
      <c r="AW1" s="101"/>
      <c r="AX1" s="101"/>
      <c r="AY1" s="116"/>
      <c r="AZ1" s="104" t="s">
        <v>82</v>
      </c>
      <c r="BA1" s="101"/>
      <c r="BB1" s="101"/>
      <c r="BC1" s="102"/>
      <c r="BD1" s="115" t="s">
        <v>83</v>
      </c>
      <c r="BE1" s="101"/>
      <c r="BF1" s="101"/>
      <c r="BG1" s="102"/>
      <c r="BH1" s="115" t="s">
        <v>84</v>
      </c>
      <c r="BI1" s="101"/>
      <c r="BJ1" s="101"/>
      <c r="BK1" s="102"/>
      <c r="BL1" s="115" t="s">
        <v>85</v>
      </c>
      <c r="BM1" s="101"/>
      <c r="BN1" s="101"/>
      <c r="BO1" s="102"/>
      <c r="BP1" s="115" t="s">
        <v>86</v>
      </c>
      <c r="BQ1" s="101"/>
      <c r="BR1" s="101"/>
      <c r="BS1" s="102"/>
      <c r="BT1" s="109" t="s">
        <v>4</v>
      </c>
      <c r="BU1" s="103" t="s">
        <v>5</v>
      </c>
      <c r="BV1" s="103" t="s">
        <v>6</v>
      </c>
      <c r="BW1" s="103" t="s">
        <v>7</v>
      </c>
      <c r="BX1" s="103" t="s">
        <v>117</v>
      </c>
      <c r="BY1" s="96" t="s">
        <v>8</v>
      </c>
      <c r="CC1" s="91" t="s">
        <v>2</v>
      </c>
      <c r="CD1" s="91" t="str">
        <f>BW1</f>
        <v>Recall</v>
      </c>
      <c r="CE1" s="91" t="str">
        <f>BX1</f>
        <v>Precision</v>
      </c>
      <c r="CF1" s="91" t="str">
        <f>BY1</f>
        <v>F1</v>
      </c>
    </row>
    <row r="2" spans="1:84" ht="15.5" thickTop="1" thickBot="1" x14ac:dyDescent="0.4">
      <c r="A2" s="93"/>
      <c r="B2" s="117"/>
      <c r="C2" s="106"/>
      <c r="D2" s="5" t="s">
        <v>9</v>
      </c>
      <c r="E2" s="1" t="s">
        <v>4</v>
      </c>
      <c r="F2" s="1" t="s">
        <v>5</v>
      </c>
      <c r="G2" s="2" t="s">
        <v>6</v>
      </c>
      <c r="H2" s="1" t="s">
        <v>9</v>
      </c>
      <c r="I2" s="3" t="s">
        <v>4</v>
      </c>
      <c r="J2" s="3" t="s">
        <v>5</v>
      </c>
      <c r="K2" s="2" t="s">
        <v>6</v>
      </c>
      <c r="L2" s="1" t="s">
        <v>9</v>
      </c>
      <c r="M2" s="3" t="s">
        <v>4</v>
      </c>
      <c r="N2" s="3" t="s">
        <v>5</v>
      </c>
      <c r="O2" s="2" t="s">
        <v>6</v>
      </c>
      <c r="P2" s="1" t="s">
        <v>9</v>
      </c>
      <c r="Q2" s="3" t="s">
        <v>4</v>
      </c>
      <c r="R2" s="3" t="s">
        <v>5</v>
      </c>
      <c r="S2" s="2" t="s">
        <v>6</v>
      </c>
      <c r="T2" s="1" t="s">
        <v>9</v>
      </c>
      <c r="U2" s="3" t="s">
        <v>4</v>
      </c>
      <c r="V2" s="3" t="s">
        <v>5</v>
      </c>
      <c r="W2" s="2" t="s">
        <v>6</v>
      </c>
      <c r="X2" s="1" t="s">
        <v>9</v>
      </c>
      <c r="Y2" s="3" t="s">
        <v>4</v>
      </c>
      <c r="Z2" s="3" t="s">
        <v>5</v>
      </c>
      <c r="AA2" s="2" t="s">
        <v>6</v>
      </c>
      <c r="AB2" s="1" t="s">
        <v>9</v>
      </c>
      <c r="AC2" s="3" t="s">
        <v>4</v>
      </c>
      <c r="AD2" s="3" t="s">
        <v>5</v>
      </c>
      <c r="AE2" s="2" t="s">
        <v>6</v>
      </c>
      <c r="AF2" s="1" t="s">
        <v>9</v>
      </c>
      <c r="AG2" s="3" t="s">
        <v>4</v>
      </c>
      <c r="AH2" s="3" t="s">
        <v>5</v>
      </c>
      <c r="AI2" s="2" t="s">
        <v>6</v>
      </c>
      <c r="AJ2" s="1" t="s">
        <v>9</v>
      </c>
      <c r="AK2" s="3" t="s">
        <v>4</v>
      </c>
      <c r="AL2" s="3" t="s">
        <v>5</v>
      </c>
      <c r="AM2" s="2" t="s">
        <v>6</v>
      </c>
      <c r="AN2" s="1" t="s">
        <v>9</v>
      </c>
      <c r="AO2" s="3" t="s">
        <v>4</v>
      </c>
      <c r="AP2" s="3" t="s">
        <v>5</v>
      </c>
      <c r="AQ2" s="2" t="s">
        <v>6</v>
      </c>
      <c r="AR2" s="1" t="s">
        <v>9</v>
      </c>
      <c r="AS2" s="3" t="s">
        <v>4</v>
      </c>
      <c r="AT2" s="3" t="s">
        <v>5</v>
      </c>
      <c r="AU2" s="2" t="s">
        <v>6</v>
      </c>
      <c r="AV2" s="1" t="s">
        <v>9</v>
      </c>
      <c r="AW2" s="3" t="s">
        <v>4</v>
      </c>
      <c r="AX2" s="3" t="s">
        <v>5</v>
      </c>
      <c r="AY2" s="68" t="s">
        <v>6</v>
      </c>
      <c r="AZ2" s="66" t="s">
        <v>9</v>
      </c>
      <c r="BA2" s="67" t="s">
        <v>4</v>
      </c>
      <c r="BB2" s="67" t="s">
        <v>5</v>
      </c>
      <c r="BC2" s="68" t="s">
        <v>6</v>
      </c>
      <c r="BD2" s="5" t="s">
        <v>9</v>
      </c>
      <c r="BE2" s="3" t="s">
        <v>4</v>
      </c>
      <c r="BF2" s="3" t="s">
        <v>5</v>
      </c>
      <c r="BG2" s="2" t="s">
        <v>6</v>
      </c>
      <c r="BH2" s="1" t="s">
        <v>9</v>
      </c>
      <c r="BI2" s="3" t="s">
        <v>4</v>
      </c>
      <c r="BJ2" s="3" t="s">
        <v>5</v>
      </c>
      <c r="BK2" s="2" t="s">
        <v>6</v>
      </c>
      <c r="BL2" s="1" t="s">
        <v>9</v>
      </c>
      <c r="BM2" s="3" t="s">
        <v>4</v>
      </c>
      <c r="BN2" s="3" t="s">
        <v>5</v>
      </c>
      <c r="BO2" s="2" t="s">
        <v>6</v>
      </c>
      <c r="BP2" s="1" t="s">
        <v>9</v>
      </c>
      <c r="BQ2" s="3" t="s">
        <v>4</v>
      </c>
      <c r="BR2" s="3" t="s">
        <v>5</v>
      </c>
      <c r="BS2" s="2" t="s">
        <v>6</v>
      </c>
      <c r="BT2" s="110"/>
      <c r="BU2" s="105"/>
      <c r="BV2" s="105"/>
      <c r="BW2" s="105"/>
      <c r="BX2" s="105"/>
      <c r="BY2" s="106"/>
      <c r="CC2" s="91"/>
      <c r="CD2" s="91"/>
      <c r="CE2" s="91"/>
      <c r="CF2" s="91"/>
    </row>
    <row r="3" spans="1:84" ht="15" customHeight="1" thickTop="1" x14ac:dyDescent="0.35">
      <c r="A3" s="52" t="s">
        <v>10</v>
      </c>
      <c r="B3" s="107" t="s">
        <v>40</v>
      </c>
      <c r="C3" s="6" t="s">
        <v>11</v>
      </c>
      <c r="D3" s="7">
        <v>2</v>
      </c>
      <c r="E3" s="8">
        <v>2</v>
      </c>
      <c r="F3" s="8">
        <f>D3-E3</f>
        <v>0</v>
      </c>
      <c r="G3" s="6">
        <v>0</v>
      </c>
      <c r="H3" s="9">
        <v>0</v>
      </c>
      <c r="I3" s="8">
        <v>0</v>
      </c>
      <c r="J3" s="8">
        <f>H3-I3</f>
        <v>0</v>
      </c>
      <c r="K3" s="6">
        <v>0</v>
      </c>
      <c r="L3" s="9">
        <v>0</v>
      </c>
      <c r="M3" s="8">
        <v>0</v>
      </c>
      <c r="N3" s="8">
        <f>L3-M3</f>
        <v>0</v>
      </c>
      <c r="O3" s="6">
        <v>0</v>
      </c>
      <c r="P3" s="9">
        <v>2</v>
      </c>
      <c r="Q3" s="8">
        <v>2</v>
      </c>
      <c r="R3" s="8">
        <f>P3-Q3</f>
        <v>0</v>
      </c>
      <c r="S3" s="6">
        <v>0</v>
      </c>
      <c r="T3" s="9">
        <v>2</v>
      </c>
      <c r="U3" s="8">
        <v>2</v>
      </c>
      <c r="V3" s="8">
        <f>T3-U3</f>
        <v>0</v>
      </c>
      <c r="W3" s="6">
        <v>0</v>
      </c>
      <c r="X3" s="9">
        <v>3</v>
      </c>
      <c r="Y3" s="8">
        <v>3</v>
      </c>
      <c r="Z3" s="8">
        <f>X3-Y3</f>
        <v>0</v>
      </c>
      <c r="AA3" s="6">
        <v>0</v>
      </c>
      <c r="AB3" s="9">
        <v>2</v>
      </c>
      <c r="AC3" s="8">
        <v>2</v>
      </c>
      <c r="AD3" s="8">
        <f>AB3-AC3</f>
        <v>0</v>
      </c>
      <c r="AE3" s="6">
        <v>0</v>
      </c>
      <c r="AF3" s="9">
        <v>3</v>
      </c>
      <c r="AG3" s="8">
        <v>0</v>
      </c>
      <c r="AH3" s="8">
        <f>AF3-AG3</f>
        <v>3</v>
      </c>
      <c r="AI3" s="6">
        <v>0</v>
      </c>
      <c r="AJ3" s="9">
        <v>1</v>
      </c>
      <c r="AK3" s="8">
        <v>1</v>
      </c>
      <c r="AL3" s="8">
        <f>AJ3-AK3</f>
        <v>0</v>
      </c>
      <c r="AM3" s="6">
        <v>0</v>
      </c>
      <c r="AN3" s="9">
        <v>0</v>
      </c>
      <c r="AO3" s="8">
        <v>0</v>
      </c>
      <c r="AP3" s="8">
        <f>AN3-AO3</f>
        <v>0</v>
      </c>
      <c r="AQ3" s="6">
        <v>0</v>
      </c>
      <c r="AR3" s="9">
        <v>0</v>
      </c>
      <c r="AS3" s="8">
        <v>0</v>
      </c>
      <c r="AT3" s="8">
        <f>AR3-AS3</f>
        <v>0</v>
      </c>
      <c r="AU3" s="6">
        <v>0</v>
      </c>
      <c r="AV3" s="9">
        <v>0</v>
      </c>
      <c r="AW3" s="8">
        <v>0</v>
      </c>
      <c r="AX3" s="8">
        <f>AV3-AW3</f>
        <v>0</v>
      </c>
      <c r="AY3" s="6">
        <v>0</v>
      </c>
      <c r="AZ3" s="7">
        <v>1</v>
      </c>
      <c r="BA3" s="10">
        <v>1</v>
      </c>
      <c r="BB3" s="10">
        <f>AZ3-BA3</f>
        <v>0</v>
      </c>
      <c r="BC3" s="70">
        <v>0</v>
      </c>
      <c r="BD3" s="7">
        <v>1</v>
      </c>
      <c r="BE3" s="8">
        <v>1</v>
      </c>
      <c r="BF3" s="8">
        <f>BD3-BE3</f>
        <v>0</v>
      </c>
      <c r="BG3" s="6">
        <v>0</v>
      </c>
      <c r="BH3" s="9">
        <v>0</v>
      </c>
      <c r="BI3" s="8">
        <v>0</v>
      </c>
      <c r="BJ3" s="8">
        <f>BH3-BI3</f>
        <v>0</v>
      </c>
      <c r="BK3" s="6">
        <v>0</v>
      </c>
      <c r="BL3" s="9">
        <v>0</v>
      </c>
      <c r="BM3" s="8">
        <v>0</v>
      </c>
      <c r="BN3" s="8">
        <f>BL3-BM3</f>
        <v>0</v>
      </c>
      <c r="BO3" s="6">
        <v>0</v>
      </c>
      <c r="BP3" s="9">
        <v>0</v>
      </c>
      <c r="BQ3" s="8">
        <v>0</v>
      </c>
      <c r="BR3" s="8">
        <f>BP3-BQ3</f>
        <v>0</v>
      </c>
      <c r="BS3" s="6">
        <v>0</v>
      </c>
      <c r="BT3" s="9">
        <f>SUM(E3,I3,M3,Q3,U3,Y3,AC3,AG3,AK3,AO3,AS3,AW3,BE3,BI3,BM3,BQ3,BA3)</f>
        <v>14</v>
      </c>
      <c r="BU3" s="8">
        <f>SUM(BR3,BN3,BJ3,BF3,AX3,AT3,AP3,AL3,AH3,AD3,Z3,V3,R3,N3,J3,F3,BB3)</f>
        <v>3</v>
      </c>
      <c r="BV3" s="10">
        <f>SUM(BS3,BO3,BK3,BG3,AY3,AU3,AQ3,AM3,AI3,AE3,AA3,W3,S3,O3,K3,G3, BC3)</f>
        <v>0</v>
      </c>
      <c r="BW3" s="8">
        <f>BT3/(BT3+BU3)</f>
        <v>0.82352941176470584</v>
      </c>
      <c r="BX3" s="8">
        <f>BT3/(BT3+BV3)</f>
        <v>1</v>
      </c>
      <c r="BY3" s="6">
        <f>2*(BX3*BW3)/(BX3+BW3)</f>
        <v>0.90322580645161288</v>
      </c>
      <c r="CC3" s="75" t="s">
        <v>54</v>
      </c>
      <c r="CD3">
        <f>AVERAGE(BW3:BW4)</f>
        <v>0.76470588235294112</v>
      </c>
      <c r="CE3">
        <f>AVERAGE(BX3:BX4)</f>
        <v>1</v>
      </c>
      <c r="CF3">
        <f t="shared" ref="CF3" si="0">AVERAGE(BY3:BY4)</f>
        <v>0.8654060066740823</v>
      </c>
    </row>
    <row r="4" spans="1:84" x14ac:dyDescent="0.35">
      <c r="A4" s="52" t="s">
        <v>10</v>
      </c>
      <c r="B4" s="108"/>
      <c r="C4" s="70" t="s">
        <v>12</v>
      </c>
      <c r="D4" s="7">
        <v>2</v>
      </c>
      <c r="E4" s="10">
        <v>2</v>
      </c>
      <c r="F4" s="10">
        <f t="shared" ref="F4:F30" si="1">D4-E4</f>
        <v>0</v>
      </c>
      <c r="G4" s="70">
        <v>0</v>
      </c>
      <c r="H4" s="7">
        <v>0</v>
      </c>
      <c r="I4" s="10">
        <v>0</v>
      </c>
      <c r="J4" s="10">
        <f t="shared" ref="J4:J30" si="2">H4-I4</f>
        <v>0</v>
      </c>
      <c r="K4" s="70">
        <v>0</v>
      </c>
      <c r="L4" s="7">
        <v>0</v>
      </c>
      <c r="M4" s="10">
        <v>0</v>
      </c>
      <c r="N4" s="10">
        <f t="shared" ref="N4:N30" si="3">L4-M4</f>
        <v>0</v>
      </c>
      <c r="O4" s="70">
        <v>0</v>
      </c>
      <c r="P4" s="7">
        <v>2</v>
      </c>
      <c r="Q4" s="10">
        <v>2</v>
      </c>
      <c r="R4" s="10">
        <f t="shared" ref="R4:R30" si="4">P4-Q4</f>
        <v>0</v>
      </c>
      <c r="S4" s="70">
        <v>0</v>
      </c>
      <c r="T4" s="7">
        <v>2</v>
      </c>
      <c r="U4" s="10">
        <v>0</v>
      </c>
      <c r="V4" s="10">
        <f t="shared" ref="V4:V30" si="5">T4-U4</f>
        <v>2</v>
      </c>
      <c r="W4" s="70">
        <v>0</v>
      </c>
      <c r="X4" s="7">
        <v>3</v>
      </c>
      <c r="Y4" s="10">
        <v>3</v>
      </c>
      <c r="Z4" s="10">
        <f t="shared" ref="Z4:Z30" si="6">X4-Y4</f>
        <v>0</v>
      </c>
      <c r="AA4" s="70">
        <v>0</v>
      </c>
      <c r="AB4" s="7">
        <v>2</v>
      </c>
      <c r="AC4" s="10">
        <v>2</v>
      </c>
      <c r="AD4" s="10">
        <f t="shared" ref="AD4:AD29" si="7">AB4-AC4</f>
        <v>0</v>
      </c>
      <c r="AE4" s="70">
        <v>0</v>
      </c>
      <c r="AF4" s="7">
        <v>3</v>
      </c>
      <c r="AG4" s="10">
        <v>0</v>
      </c>
      <c r="AH4" s="10">
        <f t="shared" ref="AH4:AH30" si="8">AF4-AG4</f>
        <v>3</v>
      </c>
      <c r="AI4" s="70">
        <v>0</v>
      </c>
      <c r="AJ4" s="7">
        <v>1</v>
      </c>
      <c r="AK4" s="10">
        <v>1</v>
      </c>
      <c r="AL4" s="10">
        <f t="shared" ref="AL4:AL30" si="9">AJ4-AK4</f>
        <v>0</v>
      </c>
      <c r="AM4" s="70">
        <v>0</v>
      </c>
      <c r="AN4" s="7">
        <v>0</v>
      </c>
      <c r="AO4" s="10">
        <v>0</v>
      </c>
      <c r="AP4" s="10">
        <f t="shared" ref="AP4:AP30" si="10">AN4-AO4</f>
        <v>0</v>
      </c>
      <c r="AQ4" s="70">
        <v>0</v>
      </c>
      <c r="AR4" s="7">
        <v>0</v>
      </c>
      <c r="AS4" s="10">
        <v>0</v>
      </c>
      <c r="AT4" s="10">
        <f t="shared" ref="AT4:AT30" si="11">AR4-AS4</f>
        <v>0</v>
      </c>
      <c r="AU4" s="70">
        <v>0</v>
      </c>
      <c r="AV4" s="7">
        <v>0</v>
      </c>
      <c r="AW4" s="10">
        <v>0</v>
      </c>
      <c r="AX4" s="10">
        <f t="shared" ref="AX4:AX30" si="12">AV4-AW4</f>
        <v>0</v>
      </c>
      <c r="AY4" s="70">
        <v>0</v>
      </c>
      <c r="AZ4" s="7">
        <v>1</v>
      </c>
      <c r="BA4" s="10">
        <v>1</v>
      </c>
      <c r="BB4" s="10">
        <f t="shared" ref="BB4:BB30" si="13">AZ4-BA4</f>
        <v>0</v>
      </c>
      <c r="BC4" s="70">
        <v>0</v>
      </c>
      <c r="BD4" s="7">
        <v>1</v>
      </c>
      <c r="BE4" s="10">
        <v>1</v>
      </c>
      <c r="BF4" s="10">
        <f t="shared" ref="BF4:BF30" si="14">BD4-BE4</f>
        <v>0</v>
      </c>
      <c r="BG4" s="70">
        <v>0</v>
      </c>
      <c r="BH4" s="7">
        <v>0</v>
      </c>
      <c r="BI4" s="10">
        <v>0</v>
      </c>
      <c r="BJ4" s="10">
        <f t="shared" ref="BJ4:BJ30" si="15">BH4-BI4</f>
        <v>0</v>
      </c>
      <c r="BK4" s="70">
        <v>0</v>
      </c>
      <c r="BL4" s="7">
        <v>0</v>
      </c>
      <c r="BM4" s="10">
        <v>0</v>
      </c>
      <c r="BN4" s="10">
        <f t="shared" ref="BN4:BN30" si="16">BL4-BM4</f>
        <v>0</v>
      </c>
      <c r="BO4" s="70">
        <v>0</v>
      </c>
      <c r="BP4" s="7">
        <v>0</v>
      </c>
      <c r="BQ4" s="10">
        <v>0</v>
      </c>
      <c r="BR4" s="10">
        <f t="shared" ref="BR4:BR30" si="17">BP4-BQ4</f>
        <v>0</v>
      </c>
      <c r="BS4" s="70">
        <v>0</v>
      </c>
      <c r="BT4" s="7">
        <f t="shared" ref="BT4:BT30" si="18">SUM(E4,I4,M4,Q4,U4,Y4,AC4,AG4,AK4,AO4,AS4,AW4,BE4,BI4,BM4,BQ4,BA4)</f>
        <v>12</v>
      </c>
      <c r="BU4" s="10">
        <f t="shared" ref="BU4:BU30" si="19">SUM(BR4,BN4,BJ4,BF4,AX4,AT4,AP4,AL4,AH4,AD4,Z4,V4,R4,N4,J4,F4,BB4)</f>
        <v>5</v>
      </c>
      <c r="BV4" s="10">
        <f t="shared" ref="BV4:BV30" si="20">SUM(BS4,BO4,BK4,BG4,AY4,AU4,AQ4,AM4,AI4,AE4,AA4,W4,S4,O4,K4,G4, BC4)</f>
        <v>0</v>
      </c>
      <c r="BW4" s="10">
        <f t="shared" ref="BW4:BW30" si="21">BT4/(BT4+BU4)</f>
        <v>0.70588235294117652</v>
      </c>
      <c r="BX4" s="10">
        <f t="shared" ref="BX4:BX30" si="22">BT4/(BT4+BV4)</f>
        <v>1</v>
      </c>
      <c r="BY4" s="70">
        <f t="shared" ref="BY4:BY30" si="23">2*(BX4*BW4)/(BX4+BW4)</f>
        <v>0.82758620689655171</v>
      </c>
      <c r="CC4" s="75" t="s">
        <v>55</v>
      </c>
      <c r="CD4">
        <f>AVERAGE(BW5:BW6)</f>
        <v>1</v>
      </c>
      <c r="CE4">
        <f t="shared" ref="CE4" si="24">AVERAGE(BX5:BX6)</f>
        <v>1</v>
      </c>
      <c r="CF4">
        <f>AVERAGE(BY5:BY6)</f>
        <v>1</v>
      </c>
    </row>
    <row r="5" spans="1:84" x14ac:dyDescent="0.35">
      <c r="A5" s="53" t="s">
        <v>10</v>
      </c>
      <c r="B5" s="108"/>
      <c r="C5" s="11" t="s">
        <v>13</v>
      </c>
      <c r="D5" s="12">
        <v>4</v>
      </c>
      <c r="E5" s="13">
        <v>4</v>
      </c>
      <c r="F5" s="13">
        <f t="shared" si="1"/>
        <v>0</v>
      </c>
      <c r="G5" s="11">
        <v>0</v>
      </c>
      <c r="H5" s="12">
        <v>0</v>
      </c>
      <c r="I5" s="13">
        <v>0</v>
      </c>
      <c r="J5" s="13">
        <f t="shared" si="2"/>
        <v>0</v>
      </c>
      <c r="K5" s="11">
        <v>0</v>
      </c>
      <c r="L5" s="12">
        <v>0</v>
      </c>
      <c r="M5" s="13">
        <v>0</v>
      </c>
      <c r="N5" s="13">
        <f t="shared" si="3"/>
        <v>0</v>
      </c>
      <c r="O5" s="11">
        <v>0</v>
      </c>
      <c r="P5" s="12">
        <v>4</v>
      </c>
      <c r="Q5" s="13">
        <v>4</v>
      </c>
      <c r="R5" s="13">
        <f t="shared" si="4"/>
        <v>0</v>
      </c>
      <c r="S5" s="11">
        <v>0</v>
      </c>
      <c r="T5" s="12">
        <v>0</v>
      </c>
      <c r="U5" s="13">
        <v>0</v>
      </c>
      <c r="V5" s="13">
        <f t="shared" si="5"/>
        <v>0</v>
      </c>
      <c r="W5" s="11">
        <v>0</v>
      </c>
      <c r="X5" s="12">
        <v>1</v>
      </c>
      <c r="Y5" s="13">
        <v>1</v>
      </c>
      <c r="Z5" s="13">
        <f t="shared" si="6"/>
        <v>0</v>
      </c>
      <c r="AA5" s="11">
        <v>0</v>
      </c>
      <c r="AB5" s="12">
        <v>0</v>
      </c>
      <c r="AC5" s="13">
        <v>0</v>
      </c>
      <c r="AD5" s="13">
        <f t="shared" si="7"/>
        <v>0</v>
      </c>
      <c r="AE5" s="11">
        <v>0</v>
      </c>
      <c r="AF5" s="12">
        <v>0</v>
      </c>
      <c r="AG5" s="13">
        <v>0</v>
      </c>
      <c r="AH5" s="13">
        <f t="shared" si="8"/>
        <v>0</v>
      </c>
      <c r="AI5" s="11">
        <v>0</v>
      </c>
      <c r="AJ5" s="12">
        <v>3</v>
      </c>
      <c r="AK5" s="13">
        <v>3</v>
      </c>
      <c r="AL5" s="13">
        <f t="shared" si="9"/>
        <v>0</v>
      </c>
      <c r="AM5" s="11">
        <v>0</v>
      </c>
      <c r="AN5" s="12">
        <v>0</v>
      </c>
      <c r="AO5" s="13">
        <v>0</v>
      </c>
      <c r="AP5" s="13">
        <f t="shared" si="10"/>
        <v>0</v>
      </c>
      <c r="AQ5" s="11">
        <v>0</v>
      </c>
      <c r="AR5" s="12">
        <v>0</v>
      </c>
      <c r="AS5" s="13">
        <v>0</v>
      </c>
      <c r="AT5" s="13">
        <f t="shared" si="11"/>
        <v>0</v>
      </c>
      <c r="AU5" s="11">
        <v>0</v>
      </c>
      <c r="AV5" s="12">
        <v>0</v>
      </c>
      <c r="AW5" s="13">
        <v>0</v>
      </c>
      <c r="AX5" s="13">
        <f t="shared" si="12"/>
        <v>0</v>
      </c>
      <c r="AY5" s="11">
        <v>0</v>
      </c>
      <c r="AZ5" s="12">
        <v>3</v>
      </c>
      <c r="BA5" s="13">
        <v>3</v>
      </c>
      <c r="BB5" s="13">
        <f t="shared" si="13"/>
        <v>0</v>
      </c>
      <c r="BC5" s="11">
        <v>0</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0</v>
      </c>
      <c r="BT5" s="12">
        <f t="shared" si="18"/>
        <v>15</v>
      </c>
      <c r="BU5" s="13">
        <f t="shared" si="19"/>
        <v>0</v>
      </c>
      <c r="BV5" s="13">
        <f t="shared" si="20"/>
        <v>0</v>
      </c>
      <c r="BW5" s="13">
        <f t="shared" si="21"/>
        <v>1</v>
      </c>
      <c r="BX5" s="13">
        <f t="shared" si="22"/>
        <v>1</v>
      </c>
      <c r="BY5" s="11">
        <f t="shared" si="23"/>
        <v>1</v>
      </c>
      <c r="CC5" s="75" t="s">
        <v>56</v>
      </c>
      <c r="CD5">
        <f>AVERAGE(BW7:BW8)</f>
        <v>1</v>
      </c>
      <c r="CE5">
        <f t="shared" ref="CE5:CF5" si="25">AVERAGE(BX7:BX8)</f>
        <v>1</v>
      </c>
      <c r="CF5">
        <f t="shared" si="25"/>
        <v>1</v>
      </c>
    </row>
    <row r="6" spans="1:84" x14ac:dyDescent="0.35">
      <c r="A6" s="53" t="s">
        <v>10</v>
      </c>
      <c r="B6" s="108"/>
      <c r="C6" s="11" t="s">
        <v>14</v>
      </c>
      <c r="D6" s="12">
        <v>4</v>
      </c>
      <c r="E6" s="13">
        <v>4</v>
      </c>
      <c r="F6" s="13">
        <f t="shared" si="1"/>
        <v>0</v>
      </c>
      <c r="G6" s="11">
        <v>0</v>
      </c>
      <c r="H6" s="12">
        <v>0</v>
      </c>
      <c r="I6" s="13">
        <v>0</v>
      </c>
      <c r="J6" s="13">
        <f t="shared" si="2"/>
        <v>0</v>
      </c>
      <c r="K6" s="11">
        <v>0</v>
      </c>
      <c r="L6" s="12">
        <v>0</v>
      </c>
      <c r="M6" s="13">
        <v>0</v>
      </c>
      <c r="N6" s="13">
        <f t="shared" si="3"/>
        <v>0</v>
      </c>
      <c r="O6" s="11">
        <v>0</v>
      </c>
      <c r="P6" s="12">
        <v>4</v>
      </c>
      <c r="Q6" s="13">
        <v>4</v>
      </c>
      <c r="R6" s="13">
        <f t="shared" si="4"/>
        <v>0</v>
      </c>
      <c r="S6" s="11">
        <v>0</v>
      </c>
      <c r="T6" s="12">
        <v>0</v>
      </c>
      <c r="U6" s="13">
        <v>0</v>
      </c>
      <c r="V6" s="13">
        <f t="shared" si="5"/>
        <v>0</v>
      </c>
      <c r="W6" s="11">
        <v>0</v>
      </c>
      <c r="X6" s="12">
        <v>1</v>
      </c>
      <c r="Y6" s="13">
        <v>1</v>
      </c>
      <c r="Z6" s="13">
        <f t="shared" si="6"/>
        <v>0</v>
      </c>
      <c r="AA6" s="11">
        <v>0</v>
      </c>
      <c r="AB6" s="12">
        <v>0</v>
      </c>
      <c r="AC6" s="13">
        <v>0</v>
      </c>
      <c r="AD6" s="13">
        <f t="shared" si="7"/>
        <v>0</v>
      </c>
      <c r="AE6" s="11">
        <v>0</v>
      </c>
      <c r="AF6" s="12">
        <v>0</v>
      </c>
      <c r="AG6" s="13">
        <v>0</v>
      </c>
      <c r="AH6" s="13">
        <f t="shared" si="8"/>
        <v>0</v>
      </c>
      <c r="AI6" s="11">
        <v>0</v>
      </c>
      <c r="AJ6" s="12">
        <v>3</v>
      </c>
      <c r="AK6" s="13">
        <v>3</v>
      </c>
      <c r="AL6" s="13">
        <f t="shared" si="9"/>
        <v>0</v>
      </c>
      <c r="AM6" s="11">
        <v>0</v>
      </c>
      <c r="AN6" s="12">
        <v>0</v>
      </c>
      <c r="AO6" s="13">
        <v>0</v>
      </c>
      <c r="AP6" s="13">
        <f t="shared" si="10"/>
        <v>0</v>
      </c>
      <c r="AQ6" s="11">
        <v>0</v>
      </c>
      <c r="AR6" s="12">
        <v>0</v>
      </c>
      <c r="AS6" s="13">
        <v>0</v>
      </c>
      <c r="AT6" s="13">
        <f t="shared" si="11"/>
        <v>0</v>
      </c>
      <c r="AU6" s="11">
        <v>0</v>
      </c>
      <c r="AV6" s="12">
        <v>0</v>
      </c>
      <c r="AW6" s="13">
        <v>0</v>
      </c>
      <c r="AX6" s="13">
        <f t="shared" si="12"/>
        <v>0</v>
      </c>
      <c r="AY6" s="11">
        <v>0</v>
      </c>
      <c r="AZ6" s="12">
        <v>3</v>
      </c>
      <c r="BA6" s="13">
        <v>3</v>
      </c>
      <c r="BB6" s="13">
        <f t="shared" si="13"/>
        <v>0</v>
      </c>
      <c r="BC6" s="11">
        <v>0</v>
      </c>
      <c r="BD6" s="12">
        <v>0</v>
      </c>
      <c r="BE6" s="13">
        <v>0</v>
      </c>
      <c r="BF6" s="13">
        <f t="shared" si="14"/>
        <v>0</v>
      </c>
      <c r="BG6" s="11">
        <v>0</v>
      </c>
      <c r="BH6" s="12">
        <v>0</v>
      </c>
      <c r="BI6" s="13">
        <v>0</v>
      </c>
      <c r="BJ6" s="13">
        <f t="shared" si="15"/>
        <v>0</v>
      </c>
      <c r="BK6" s="11">
        <v>0</v>
      </c>
      <c r="BL6" s="12">
        <v>0</v>
      </c>
      <c r="BM6" s="13">
        <v>0</v>
      </c>
      <c r="BN6" s="13">
        <f t="shared" si="16"/>
        <v>0</v>
      </c>
      <c r="BO6" s="11">
        <v>0</v>
      </c>
      <c r="BP6" s="12">
        <v>0</v>
      </c>
      <c r="BQ6" s="13">
        <v>0</v>
      </c>
      <c r="BR6" s="13">
        <f t="shared" si="17"/>
        <v>0</v>
      </c>
      <c r="BS6" s="11">
        <v>0</v>
      </c>
      <c r="BT6" s="12">
        <f t="shared" si="18"/>
        <v>15</v>
      </c>
      <c r="BU6" s="13">
        <f t="shared" si="19"/>
        <v>0</v>
      </c>
      <c r="BV6" s="13">
        <f t="shared" si="20"/>
        <v>0</v>
      </c>
      <c r="BW6" s="13">
        <f t="shared" si="21"/>
        <v>1</v>
      </c>
      <c r="BX6" s="13">
        <f t="shared" si="22"/>
        <v>1</v>
      </c>
      <c r="BY6" s="11">
        <f t="shared" si="23"/>
        <v>1</v>
      </c>
      <c r="CC6" s="75" t="s">
        <v>57</v>
      </c>
      <c r="CD6">
        <f>AVERAGE(BW9:BW10)</f>
        <v>0.84615384615384615</v>
      </c>
      <c r="CE6">
        <f t="shared" ref="CE6:CF6" si="26">AVERAGE(BX9:BX10)</f>
        <v>0.88141025641025639</v>
      </c>
      <c r="CF6">
        <f t="shared" si="26"/>
        <v>0.86307692307692307</v>
      </c>
    </row>
    <row r="7" spans="1:84" x14ac:dyDescent="0.35">
      <c r="A7" s="54" t="s">
        <v>10</v>
      </c>
      <c r="B7" s="108"/>
      <c r="C7" s="14" t="s">
        <v>15</v>
      </c>
      <c r="D7" s="15">
        <v>6</v>
      </c>
      <c r="E7" s="16">
        <v>6</v>
      </c>
      <c r="F7" s="16">
        <f t="shared" si="1"/>
        <v>0</v>
      </c>
      <c r="G7" s="14">
        <v>0</v>
      </c>
      <c r="H7" s="15">
        <v>0</v>
      </c>
      <c r="I7" s="16">
        <v>0</v>
      </c>
      <c r="J7" s="16">
        <f t="shared" si="2"/>
        <v>0</v>
      </c>
      <c r="K7" s="14">
        <v>0</v>
      </c>
      <c r="L7" s="15">
        <v>0</v>
      </c>
      <c r="M7" s="16">
        <v>0</v>
      </c>
      <c r="N7" s="16">
        <f t="shared" si="3"/>
        <v>0</v>
      </c>
      <c r="O7" s="14">
        <v>0</v>
      </c>
      <c r="P7" s="15">
        <v>9</v>
      </c>
      <c r="Q7" s="16">
        <v>9</v>
      </c>
      <c r="R7" s="16">
        <f t="shared" si="4"/>
        <v>0</v>
      </c>
      <c r="S7" s="14">
        <v>0</v>
      </c>
      <c r="T7" s="15">
        <v>0</v>
      </c>
      <c r="U7" s="16">
        <v>0</v>
      </c>
      <c r="V7" s="16">
        <f t="shared" si="5"/>
        <v>0</v>
      </c>
      <c r="W7" s="14">
        <v>0</v>
      </c>
      <c r="X7" s="15">
        <v>0</v>
      </c>
      <c r="Y7" s="16">
        <v>0</v>
      </c>
      <c r="Z7" s="16">
        <f t="shared" si="6"/>
        <v>0</v>
      </c>
      <c r="AA7" s="14">
        <v>0</v>
      </c>
      <c r="AB7" s="15">
        <v>0</v>
      </c>
      <c r="AC7" s="16">
        <v>0</v>
      </c>
      <c r="AD7" s="16">
        <f t="shared" si="7"/>
        <v>0</v>
      </c>
      <c r="AE7" s="14">
        <v>0</v>
      </c>
      <c r="AF7" s="15">
        <v>0</v>
      </c>
      <c r="AG7" s="16">
        <v>0</v>
      </c>
      <c r="AH7" s="16">
        <f t="shared" si="8"/>
        <v>0</v>
      </c>
      <c r="AI7" s="14">
        <v>0</v>
      </c>
      <c r="AJ7" s="15">
        <v>5</v>
      </c>
      <c r="AK7" s="16">
        <v>5</v>
      </c>
      <c r="AL7" s="16">
        <f t="shared" si="9"/>
        <v>0</v>
      </c>
      <c r="AM7" s="14">
        <v>0</v>
      </c>
      <c r="AN7" s="15">
        <v>0</v>
      </c>
      <c r="AO7" s="16">
        <v>0</v>
      </c>
      <c r="AP7" s="16">
        <f t="shared" si="10"/>
        <v>0</v>
      </c>
      <c r="AQ7" s="14">
        <v>0</v>
      </c>
      <c r="AR7" s="15">
        <v>0</v>
      </c>
      <c r="AS7" s="16">
        <v>0</v>
      </c>
      <c r="AT7" s="16">
        <f t="shared" si="11"/>
        <v>0</v>
      </c>
      <c r="AU7" s="14">
        <v>0</v>
      </c>
      <c r="AV7" s="15">
        <v>0</v>
      </c>
      <c r="AW7" s="16">
        <v>0</v>
      </c>
      <c r="AX7" s="16">
        <f t="shared" si="12"/>
        <v>0</v>
      </c>
      <c r="AY7" s="14">
        <v>0</v>
      </c>
      <c r="AZ7" s="15">
        <v>5</v>
      </c>
      <c r="BA7" s="16">
        <v>5</v>
      </c>
      <c r="BB7" s="16">
        <f t="shared" si="13"/>
        <v>0</v>
      </c>
      <c r="BC7" s="14">
        <v>0</v>
      </c>
      <c r="BD7" s="15">
        <v>0</v>
      </c>
      <c r="BE7" s="16">
        <v>0</v>
      </c>
      <c r="BF7" s="16">
        <f t="shared" si="14"/>
        <v>0</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25</v>
      </c>
      <c r="BU7" s="16">
        <f t="shared" si="19"/>
        <v>0</v>
      </c>
      <c r="BV7" s="16">
        <f t="shared" si="20"/>
        <v>0</v>
      </c>
      <c r="BW7" s="16">
        <f t="shared" si="21"/>
        <v>1</v>
      </c>
      <c r="BX7" s="16">
        <f t="shared" si="22"/>
        <v>1</v>
      </c>
      <c r="BY7" s="14">
        <f t="shared" si="23"/>
        <v>1</v>
      </c>
      <c r="CC7" s="75" t="s">
        <v>58</v>
      </c>
      <c r="CD7">
        <f>AVERAGE(BW11:BW12)</f>
        <v>0.81481481481481477</v>
      </c>
      <c r="CE7">
        <f t="shared" ref="CE7" si="27">AVERAGE(BX11:BX12)</f>
        <v>0.84615384615384615</v>
      </c>
      <c r="CF7">
        <f>AVERAGE(BY11:BY12)</f>
        <v>0.83018867924528295</v>
      </c>
    </row>
    <row r="8" spans="1:84" x14ac:dyDescent="0.35">
      <c r="A8" s="54" t="s">
        <v>10</v>
      </c>
      <c r="B8" s="108"/>
      <c r="C8" s="14" t="s">
        <v>16</v>
      </c>
      <c r="D8" s="15">
        <v>6</v>
      </c>
      <c r="E8" s="16">
        <v>6</v>
      </c>
      <c r="F8" s="16">
        <f t="shared" si="1"/>
        <v>0</v>
      </c>
      <c r="G8" s="14">
        <v>0</v>
      </c>
      <c r="H8" s="15">
        <v>0</v>
      </c>
      <c r="I8" s="16">
        <v>0</v>
      </c>
      <c r="J8" s="16">
        <f t="shared" si="2"/>
        <v>0</v>
      </c>
      <c r="K8" s="14">
        <v>0</v>
      </c>
      <c r="L8" s="15">
        <v>0</v>
      </c>
      <c r="M8" s="16">
        <v>0</v>
      </c>
      <c r="N8" s="16">
        <f t="shared" si="3"/>
        <v>0</v>
      </c>
      <c r="O8" s="14">
        <v>0</v>
      </c>
      <c r="P8" s="15">
        <v>9</v>
      </c>
      <c r="Q8" s="16">
        <v>9</v>
      </c>
      <c r="R8" s="16">
        <f t="shared" si="4"/>
        <v>0</v>
      </c>
      <c r="S8" s="14">
        <v>0</v>
      </c>
      <c r="T8" s="15">
        <v>0</v>
      </c>
      <c r="U8" s="16">
        <v>0</v>
      </c>
      <c r="V8" s="16">
        <f t="shared" si="5"/>
        <v>0</v>
      </c>
      <c r="W8" s="14">
        <v>0</v>
      </c>
      <c r="X8" s="15">
        <v>0</v>
      </c>
      <c r="Y8" s="16">
        <v>0</v>
      </c>
      <c r="Z8" s="16">
        <f t="shared" si="6"/>
        <v>0</v>
      </c>
      <c r="AA8" s="14">
        <v>0</v>
      </c>
      <c r="AB8" s="15">
        <v>0</v>
      </c>
      <c r="AC8" s="16">
        <v>0</v>
      </c>
      <c r="AD8" s="16">
        <f t="shared" si="7"/>
        <v>0</v>
      </c>
      <c r="AE8" s="14">
        <v>0</v>
      </c>
      <c r="AF8" s="15">
        <v>0</v>
      </c>
      <c r="AG8" s="16">
        <v>0</v>
      </c>
      <c r="AH8" s="16">
        <f t="shared" si="8"/>
        <v>0</v>
      </c>
      <c r="AI8" s="14">
        <v>0</v>
      </c>
      <c r="AJ8" s="15">
        <v>5</v>
      </c>
      <c r="AK8" s="16">
        <v>5</v>
      </c>
      <c r="AL8" s="16">
        <f t="shared" si="9"/>
        <v>0</v>
      </c>
      <c r="AM8" s="14">
        <v>0</v>
      </c>
      <c r="AN8" s="15">
        <v>0</v>
      </c>
      <c r="AO8" s="16">
        <v>0</v>
      </c>
      <c r="AP8" s="16">
        <f t="shared" si="10"/>
        <v>0</v>
      </c>
      <c r="AQ8" s="14">
        <v>0</v>
      </c>
      <c r="AR8" s="15">
        <v>0</v>
      </c>
      <c r="AS8" s="16">
        <v>0</v>
      </c>
      <c r="AT8" s="16">
        <f t="shared" si="11"/>
        <v>0</v>
      </c>
      <c r="AU8" s="14">
        <v>0</v>
      </c>
      <c r="AV8" s="15">
        <v>0</v>
      </c>
      <c r="AW8" s="16">
        <v>0</v>
      </c>
      <c r="AX8" s="16">
        <f t="shared" si="12"/>
        <v>0</v>
      </c>
      <c r="AY8" s="14">
        <v>0</v>
      </c>
      <c r="AZ8" s="15">
        <v>5</v>
      </c>
      <c r="BA8" s="16">
        <v>5</v>
      </c>
      <c r="BB8" s="16">
        <f t="shared" si="13"/>
        <v>0</v>
      </c>
      <c r="BC8" s="14">
        <v>0</v>
      </c>
      <c r="BD8" s="15">
        <v>0</v>
      </c>
      <c r="BE8" s="16">
        <v>0</v>
      </c>
      <c r="BF8" s="16">
        <f t="shared" si="14"/>
        <v>0</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25</v>
      </c>
      <c r="BU8" s="16">
        <f t="shared" si="19"/>
        <v>0</v>
      </c>
      <c r="BV8" s="16">
        <f t="shared" si="20"/>
        <v>0</v>
      </c>
      <c r="BW8" s="16">
        <f t="shared" si="21"/>
        <v>1</v>
      </c>
      <c r="BX8" s="16">
        <f t="shared" si="22"/>
        <v>1</v>
      </c>
      <c r="BY8" s="14">
        <f t="shared" si="23"/>
        <v>1</v>
      </c>
      <c r="CC8" s="75" t="s">
        <v>59</v>
      </c>
      <c r="CD8">
        <f>AVERAGE(BW13:BW14)</f>
        <v>0.7857142857142857</v>
      </c>
      <c r="CE8">
        <f t="shared" ref="CE8:CF8" si="28">AVERAGE(BX13:BX14)</f>
        <v>0.91666666666666663</v>
      </c>
      <c r="CF8">
        <f t="shared" si="28"/>
        <v>0.84615384615384615</v>
      </c>
    </row>
    <row r="9" spans="1:84" x14ac:dyDescent="0.35">
      <c r="A9" s="55" t="s">
        <v>10</v>
      </c>
      <c r="B9" s="108"/>
      <c r="C9" s="17" t="s">
        <v>17</v>
      </c>
      <c r="D9" s="18">
        <v>3</v>
      </c>
      <c r="E9" s="19">
        <v>3</v>
      </c>
      <c r="F9" s="19">
        <f t="shared" si="1"/>
        <v>0</v>
      </c>
      <c r="G9" s="17">
        <v>0</v>
      </c>
      <c r="H9" s="18">
        <v>0</v>
      </c>
      <c r="I9" s="19">
        <v>0</v>
      </c>
      <c r="J9" s="19">
        <f t="shared" si="2"/>
        <v>0</v>
      </c>
      <c r="K9" s="17">
        <v>0</v>
      </c>
      <c r="L9" s="18">
        <v>0</v>
      </c>
      <c r="M9" s="19">
        <v>0</v>
      </c>
      <c r="N9" s="19">
        <f t="shared" si="3"/>
        <v>0</v>
      </c>
      <c r="O9" s="17">
        <v>0</v>
      </c>
      <c r="P9" s="18">
        <v>5</v>
      </c>
      <c r="Q9" s="19">
        <v>5</v>
      </c>
      <c r="R9" s="19">
        <f t="shared" si="4"/>
        <v>0</v>
      </c>
      <c r="S9" s="17">
        <v>0</v>
      </c>
      <c r="T9" s="18">
        <v>0</v>
      </c>
      <c r="U9" s="19">
        <v>0</v>
      </c>
      <c r="V9" s="19">
        <f t="shared" si="5"/>
        <v>0</v>
      </c>
      <c r="W9" s="17">
        <v>0</v>
      </c>
      <c r="X9" s="18">
        <v>0</v>
      </c>
      <c r="Y9" s="19">
        <v>0</v>
      </c>
      <c r="Z9" s="19">
        <f t="shared" si="6"/>
        <v>0</v>
      </c>
      <c r="AA9" s="17">
        <v>0</v>
      </c>
      <c r="AB9" s="18">
        <v>0</v>
      </c>
      <c r="AC9" s="19">
        <v>0</v>
      </c>
      <c r="AD9" s="19">
        <f t="shared" si="7"/>
        <v>0</v>
      </c>
      <c r="AE9" s="17">
        <v>0</v>
      </c>
      <c r="AF9" s="18">
        <v>0</v>
      </c>
      <c r="AG9" s="19">
        <v>0</v>
      </c>
      <c r="AH9" s="19">
        <f t="shared" si="8"/>
        <v>0</v>
      </c>
      <c r="AI9" s="17">
        <v>0</v>
      </c>
      <c r="AJ9" s="18">
        <v>1</v>
      </c>
      <c r="AK9" s="19">
        <v>1</v>
      </c>
      <c r="AL9" s="19">
        <f t="shared" si="9"/>
        <v>0</v>
      </c>
      <c r="AM9" s="17">
        <v>0</v>
      </c>
      <c r="AN9" s="18">
        <v>0</v>
      </c>
      <c r="AO9" s="19">
        <v>0</v>
      </c>
      <c r="AP9" s="19">
        <f t="shared" si="10"/>
        <v>0</v>
      </c>
      <c r="AQ9" s="17">
        <v>0</v>
      </c>
      <c r="AR9" s="18">
        <v>1</v>
      </c>
      <c r="AS9" s="19">
        <v>0</v>
      </c>
      <c r="AT9" s="19">
        <f t="shared" si="11"/>
        <v>1</v>
      </c>
      <c r="AU9" s="17">
        <v>0</v>
      </c>
      <c r="AV9" s="18">
        <v>0</v>
      </c>
      <c r="AW9" s="19">
        <v>0</v>
      </c>
      <c r="AX9" s="19">
        <f t="shared" si="12"/>
        <v>0</v>
      </c>
      <c r="AY9" s="17">
        <v>1</v>
      </c>
      <c r="AZ9" s="18">
        <v>2</v>
      </c>
      <c r="BA9" s="19">
        <v>2</v>
      </c>
      <c r="BB9" s="19">
        <f t="shared" si="13"/>
        <v>0</v>
      </c>
      <c r="BC9" s="17">
        <v>0</v>
      </c>
      <c r="BD9" s="18">
        <v>0</v>
      </c>
      <c r="BE9" s="19">
        <v>0</v>
      </c>
      <c r="BF9" s="19">
        <f t="shared" si="14"/>
        <v>0</v>
      </c>
      <c r="BG9" s="17">
        <v>0</v>
      </c>
      <c r="BH9" s="18">
        <v>0</v>
      </c>
      <c r="BI9" s="19">
        <v>0</v>
      </c>
      <c r="BJ9" s="19">
        <f t="shared" si="15"/>
        <v>0</v>
      </c>
      <c r="BK9" s="17">
        <v>0</v>
      </c>
      <c r="BL9" s="18">
        <v>1</v>
      </c>
      <c r="BM9" s="19">
        <v>0</v>
      </c>
      <c r="BN9" s="19">
        <f t="shared" si="16"/>
        <v>1</v>
      </c>
      <c r="BO9" s="17">
        <v>0</v>
      </c>
      <c r="BP9" s="18">
        <v>0</v>
      </c>
      <c r="BQ9" s="19">
        <v>0</v>
      </c>
      <c r="BR9" s="19">
        <f t="shared" si="17"/>
        <v>0</v>
      </c>
      <c r="BS9" s="17">
        <v>0</v>
      </c>
      <c r="BT9" s="18">
        <f t="shared" si="18"/>
        <v>11</v>
      </c>
      <c r="BU9" s="19">
        <f t="shared" si="19"/>
        <v>2</v>
      </c>
      <c r="BV9" s="19">
        <f t="shared" si="20"/>
        <v>1</v>
      </c>
      <c r="BW9" s="19">
        <f t="shared" si="21"/>
        <v>0.84615384615384615</v>
      </c>
      <c r="BX9" s="19">
        <f t="shared" si="22"/>
        <v>0.91666666666666663</v>
      </c>
      <c r="BY9" s="17">
        <f t="shared" si="23"/>
        <v>0.87999999999999989</v>
      </c>
      <c r="CC9" s="75" t="s">
        <v>60</v>
      </c>
      <c r="CD9">
        <f>AVERAGE(BW15:BW16)</f>
        <v>0.875</v>
      </c>
      <c r="CE9">
        <f t="shared" ref="CE9:CF9" si="29">AVERAGE(BX15:BX16)</f>
        <v>0.5608974358974359</v>
      </c>
      <c r="CF9">
        <f t="shared" si="29"/>
        <v>0.68333333333333335</v>
      </c>
    </row>
    <row r="10" spans="1:84" x14ac:dyDescent="0.35">
      <c r="A10" s="55" t="s">
        <v>10</v>
      </c>
      <c r="B10" s="108"/>
      <c r="C10" s="17" t="s">
        <v>18</v>
      </c>
      <c r="D10" s="18">
        <v>3</v>
      </c>
      <c r="E10" s="19">
        <v>3</v>
      </c>
      <c r="F10" s="19">
        <f t="shared" si="1"/>
        <v>0</v>
      </c>
      <c r="G10" s="17">
        <v>0</v>
      </c>
      <c r="H10" s="18">
        <v>0</v>
      </c>
      <c r="I10" s="19">
        <v>0</v>
      </c>
      <c r="J10" s="19">
        <f t="shared" si="2"/>
        <v>0</v>
      </c>
      <c r="K10" s="17">
        <v>0</v>
      </c>
      <c r="L10" s="18">
        <v>0</v>
      </c>
      <c r="M10" s="19">
        <v>0</v>
      </c>
      <c r="N10" s="19">
        <f t="shared" si="3"/>
        <v>0</v>
      </c>
      <c r="O10" s="17">
        <v>0</v>
      </c>
      <c r="P10" s="18">
        <v>5</v>
      </c>
      <c r="Q10" s="19">
        <v>5</v>
      </c>
      <c r="R10" s="19">
        <f t="shared" si="4"/>
        <v>0</v>
      </c>
      <c r="S10" s="17">
        <v>1</v>
      </c>
      <c r="T10" s="18">
        <v>0</v>
      </c>
      <c r="U10" s="19">
        <v>0</v>
      </c>
      <c r="V10" s="19">
        <f t="shared" si="5"/>
        <v>0</v>
      </c>
      <c r="W10" s="17">
        <v>0</v>
      </c>
      <c r="X10" s="18">
        <v>0</v>
      </c>
      <c r="Y10" s="19">
        <v>0</v>
      </c>
      <c r="Z10" s="19">
        <f t="shared" si="6"/>
        <v>0</v>
      </c>
      <c r="AA10" s="17">
        <v>0</v>
      </c>
      <c r="AB10" s="18">
        <v>0</v>
      </c>
      <c r="AC10" s="19">
        <v>0</v>
      </c>
      <c r="AD10" s="19">
        <f t="shared" si="7"/>
        <v>0</v>
      </c>
      <c r="AE10" s="17">
        <v>0</v>
      </c>
      <c r="AF10" s="18">
        <v>0</v>
      </c>
      <c r="AG10" s="19">
        <v>0</v>
      </c>
      <c r="AH10" s="19">
        <f t="shared" si="8"/>
        <v>0</v>
      </c>
      <c r="AI10" s="17">
        <v>0</v>
      </c>
      <c r="AJ10" s="18">
        <v>1</v>
      </c>
      <c r="AK10" s="19">
        <v>1</v>
      </c>
      <c r="AL10" s="19">
        <f t="shared" si="9"/>
        <v>0</v>
      </c>
      <c r="AM10" s="17">
        <v>0</v>
      </c>
      <c r="AN10" s="18">
        <v>0</v>
      </c>
      <c r="AO10" s="19">
        <v>0</v>
      </c>
      <c r="AP10" s="19">
        <f t="shared" si="10"/>
        <v>0</v>
      </c>
      <c r="AQ10" s="17">
        <v>0</v>
      </c>
      <c r="AR10" s="18">
        <v>1</v>
      </c>
      <c r="AS10" s="19">
        <v>0</v>
      </c>
      <c r="AT10" s="19">
        <f t="shared" si="11"/>
        <v>1</v>
      </c>
      <c r="AU10" s="17">
        <v>0</v>
      </c>
      <c r="AV10" s="18">
        <v>0</v>
      </c>
      <c r="AW10" s="19">
        <v>0</v>
      </c>
      <c r="AX10" s="19">
        <f t="shared" si="12"/>
        <v>0</v>
      </c>
      <c r="AY10" s="17">
        <v>1</v>
      </c>
      <c r="AZ10" s="18">
        <v>2</v>
      </c>
      <c r="BA10" s="19">
        <v>2</v>
      </c>
      <c r="BB10" s="19">
        <f t="shared" si="13"/>
        <v>0</v>
      </c>
      <c r="BC10" s="17">
        <v>0</v>
      </c>
      <c r="BD10" s="18">
        <v>0</v>
      </c>
      <c r="BE10" s="19">
        <v>0</v>
      </c>
      <c r="BF10" s="19">
        <f t="shared" si="14"/>
        <v>0</v>
      </c>
      <c r="BG10" s="17">
        <v>0</v>
      </c>
      <c r="BH10" s="18">
        <v>0</v>
      </c>
      <c r="BI10" s="19">
        <v>0</v>
      </c>
      <c r="BJ10" s="19">
        <f t="shared" si="15"/>
        <v>0</v>
      </c>
      <c r="BK10" s="17">
        <v>0</v>
      </c>
      <c r="BL10" s="18">
        <v>1</v>
      </c>
      <c r="BM10" s="19">
        <v>0</v>
      </c>
      <c r="BN10" s="19">
        <f t="shared" si="16"/>
        <v>1</v>
      </c>
      <c r="BO10" s="17">
        <v>0</v>
      </c>
      <c r="BP10" s="18">
        <v>0</v>
      </c>
      <c r="BQ10" s="19">
        <v>0</v>
      </c>
      <c r="BR10" s="19">
        <f t="shared" si="17"/>
        <v>0</v>
      </c>
      <c r="BS10" s="17">
        <v>0</v>
      </c>
      <c r="BT10" s="18">
        <f t="shared" si="18"/>
        <v>11</v>
      </c>
      <c r="BU10" s="19">
        <f t="shared" si="19"/>
        <v>2</v>
      </c>
      <c r="BV10" s="19">
        <f t="shared" si="20"/>
        <v>2</v>
      </c>
      <c r="BW10" s="19">
        <f t="shared" si="21"/>
        <v>0.84615384615384615</v>
      </c>
      <c r="BX10" s="19">
        <f t="shared" si="22"/>
        <v>0.84615384615384615</v>
      </c>
      <c r="BY10" s="17">
        <f t="shared" si="23"/>
        <v>0.84615384615384615</v>
      </c>
      <c r="CC10" s="75" t="s">
        <v>61</v>
      </c>
      <c r="CD10">
        <f>AVERAGE(BW17:BW18)</f>
        <v>0.85000000000000009</v>
      </c>
      <c r="CE10">
        <f t="shared" ref="CE10:CF10" si="30">AVERAGE(BX17:BX18)</f>
        <v>0.6333333333333333</v>
      </c>
      <c r="CF10">
        <f t="shared" si="30"/>
        <v>0.72363636363636363</v>
      </c>
    </row>
    <row r="11" spans="1:84" x14ac:dyDescent="0.35">
      <c r="A11" s="56" t="s">
        <v>10</v>
      </c>
      <c r="B11" s="108"/>
      <c r="C11" s="20" t="s">
        <v>19</v>
      </c>
      <c r="D11" s="21">
        <v>2</v>
      </c>
      <c r="E11" s="22">
        <v>2</v>
      </c>
      <c r="F11" s="22">
        <f t="shared" si="1"/>
        <v>0</v>
      </c>
      <c r="G11" s="20">
        <v>0</v>
      </c>
      <c r="H11" s="21">
        <v>2</v>
      </c>
      <c r="I11" s="22">
        <v>2</v>
      </c>
      <c r="J11" s="22">
        <f t="shared" si="2"/>
        <v>0</v>
      </c>
      <c r="K11" s="20">
        <v>0</v>
      </c>
      <c r="L11" s="21">
        <v>8</v>
      </c>
      <c r="M11" s="22">
        <v>8</v>
      </c>
      <c r="N11" s="22">
        <f t="shared" si="3"/>
        <v>0</v>
      </c>
      <c r="O11" s="20">
        <v>0</v>
      </c>
      <c r="P11" s="21">
        <v>7</v>
      </c>
      <c r="Q11" s="22">
        <v>7</v>
      </c>
      <c r="R11" s="22">
        <f t="shared" si="4"/>
        <v>0</v>
      </c>
      <c r="S11" s="20">
        <v>2</v>
      </c>
      <c r="T11" s="21">
        <v>0</v>
      </c>
      <c r="U11" s="22">
        <v>0</v>
      </c>
      <c r="V11" s="22">
        <f t="shared" si="5"/>
        <v>0</v>
      </c>
      <c r="W11" s="20">
        <v>0</v>
      </c>
      <c r="X11" s="21">
        <v>1</v>
      </c>
      <c r="Y11" s="22">
        <v>1</v>
      </c>
      <c r="Z11" s="22">
        <f t="shared" si="6"/>
        <v>0</v>
      </c>
      <c r="AA11" s="20">
        <v>0</v>
      </c>
      <c r="AB11" s="21">
        <v>1</v>
      </c>
      <c r="AC11" s="22">
        <v>1</v>
      </c>
      <c r="AD11" s="22">
        <f t="shared" si="7"/>
        <v>0</v>
      </c>
      <c r="AE11" s="20">
        <v>0</v>
      </c>
      <c r="AF11" s="21">
        <v>3</v>
      </c>
      <c r="AG11" s="22">
        <v>0</v>
      </c>
      <c r="AH11" s="22">
        <f t="shared" si="8"/>
        <v>3</v>
      </c>
      <c r="AI11" s="20">
        <v>0</v>
      </c>
      <c r="AJ11" s="21">
        <v>0</v>
      </c>
      <c r="AK11" s="22">
        <v>0</v>
      </c>
      <c r="AL11" s="22">
        <f t="shared" si="9"/>
        <v>0</v>
      </c>
      <c r="AM11" s="20">
        <v>0</v>
      </c>
      <c r="AN11" s="21">
        <v>0</v>
      </c>
      <c r="AO11" s="22">
        <v>0</v>
      </c>
      <c r="AP11" s="22">
        <f t="shared" si="10"/>
        <v>0</v>
      </c>
      <c r="AQ11" s="20">
        <v>0</v>
      </c>
      <c r="AR11" s="21">
        <v>0</v>
      </c>
      <c r="AS11" s="22">
        <v>0</v>
      </c>
      <c r="AT11" s="22">
        <f t="shared" si="11"/>
        <v>0</v>
      </c>
      <c r="AU11" s="20">
        <v>1</v>
      </c>
      <c r="AV11" s="21">
        <v>1</v>
      </c>
      <c r="AW11" s="22">
        <v>1</v>
      </c>
      <c r="AX11" s="22">
        <f t="shared" si="12"/>
        <v>0</v>
      </c>
      <c r="AY11" s="20">
        <v>0</v>
      </c>
      <c r="AZ11" s="21">
        <v>1</v>
      </c>
      <c r="BA11" s="22">
        <v>0</v>
      </c>
      <c r="BB11" s="22">
        <f t="shared" si="13"/>
        <v>1</v>
      </c>
      <c r="BC11" s="20">
        <v>1</v>
      </c>
      <c r="BD11" s="21">
        <v>0</v>
      </c>
      <c r="BE11" s="22">
        <v>0</v>
      </c>
      <c r="BF11" s="22">
        <f t="shared" si="14"/>
        <v>0</v>
      </c>
      <c r="BG11" s="20">
        <v>0</v>
      </c>
      <c r="BH11" s="21">
        <v>0</v>
      </c>
      <c r="BI11" s="22">
        <v>0</v>
      </c>
      <c r="BJ11" s="22">
        <f t="shared" si="15"/>
        <v>0</v>
      </c>
      <c r="BK11" s="20">
        <v>0</v>
      </c>
      <c r="BL11" s="21">
        <v>1</v>
      </c>
      <c r="BM11" s="22">
        <v>0</v>
      </c>
      <c r="BN11" s="22">
        <f t="shared" si="16"/>
        <v>1</v>
      </c>
      <c r="BO11" s="20">
        <v>0</v>
      </c>
      <c r="BP11" s="21">
        <v>0</v>
      </c>
      <c r="BQ11" s="22">
        <v>0</v>
      </c>
      <c r="BR11" s="22">
        <f t="shared" si="17"/>
        <v>0</v>
      </c>
      <c r="BS11" s="20">
        <v>0</v>
      </c>
      <c r="BT11" s="21">
        <f t="shared" si="18"/>
        <v>22</v>
      </c>
      <c r="BU11" s="22">
        <f t="shared" si="19"/>
        <v>5</v>
      </c>
      <c r="BV11" s="22">
        <f t="shared" si="20"/>
        <v>4</v>
      </c>
      <c r="BW11" s="22">
        <f t="shared" si="21"/>
        <v>0.81481481481481477</v>
      </c>
      <c r="BX11" s="22">
        <f t="shared" si="22"/>
        <v>0.84615384615384615</v>
      </c>
      <c r="BY11" s="20">
        <f t="shared" si="23"/>
        <v>0.83018867924528295</v>
      </c>
      <c r="CC11" s="75" t="s">
        <v>62</v>
      </c>
      <c r="CD11">
        <f>AVERAGE(BW19:BW20)</f>
        <v>0.76470588235294112</v>
      </c>
      <c r="CE11">
        <f t="shared" ref="CE11:CF11" si="31">AVERAGE(BX19:BX20)</f>
        <v>0.9285714285714286</v>
      </c>
      <c r="CF11">
        <f t="shared" si="31"/>
        <v>0.83870967741935487</v>
      </c>
    </row>
    <row r="12" spans="1:84" x14ac:dyDescent="0.35">
      <c r="A12" s="56" t="s">
        <v>10</v>
      </c>
      <c r="B12" s="108"/>
      <c r="C12" s="20" t="s">
        <v>20</v>
      </c>
      <c r="D12" s="21">
        <v>2</v>
      </c>
      <c r="E12" s="22">
        <v>2</v>
      </c>
      <c r="F12" s="22">
        <f t="shared" si="1"/>
        <v>0</v>
      </c>
      <c r="G12" s="20">
        <v>0</v>
      </c>
      <c r="H12" s="21">
        <v>2</v>
      </c>
      <c r="I12" s="22">
        <v>2</v>
      </c>
      <c r="J12" s="22">
        <f>H12-I12</f>
        <v>0</v>
      </c>
      <c r="K12" s="20">
        <v>0</v>
      </c>
      <c r="L12" s="21">
        <v>8</v>
      </c>
      <c r="M12" s="22">
        <v>8</v>
      </c>
      <c r="N12" s="22">
        <f t="shared" si="3"/>
        <v>0</v>
      </c>
      <c r="O12" s="20">
        <v>0</v>
      </c>
      <c r="P12" s="21">
        <v>7</v>
      </c>
      <c r="Q12" s="22">
        <v>7</v>
      </c>
      <c r="R12" s="22">
        <f t="shared" si="4"/>
        <v>0</v>
      </c>
      <c r="S12" s="20">
        <v>2</v>
      </c>
      <c r="T12" s="21">
        <v>0</v>
      </c>
      <c r="U12" s="22">
        <v>0</v>
      </c>
      <c r="V12" s="22">
        <f t="shared" si="5"/>
        <v>0</v>
      </c>
      <c r="W12" s="20">
        <v>0</v>
      </c>
      <c r="X12" s="21">
        <v>1</v>
      </c>
      <c r="Y12" s="22">
        <v>1</v>
      </c>
      <c r="Z12" s="22">
        <f t="shared" si="6"/>
        <v>0</v>
      </c>
      <c r="AA12" s="20">
        <v>0</v>
      </c>
      <c r="AB12" s="21">
        <v>1</v>
      </c>
      <c r="AC12" s="22">
        <v>1</v>
      </c>
      <c r="AD12" s="22">
        <f t="shared" si="7"/>
        <v>0</v>
      </c>
      <c r="AE12" s="20">
        <v>0</v>
      </c>
      <c r="AF12" s="21">
        <v>3</v>
      </c>
      <c r="AG12" s="22">
        <v>0</v>
      </c>
      <c r="AH12" s="22">
        <f t="shared" si="8"/>
        <v>3</v>
      </c>
      <c r="AI12" s="20">
        <v>0</v>
      </c>
      <c r="AJ12" s="21">
        <v>0</v>
      </c>
      <c r="AK12" s="22">
        <v>0</v>
      </c>
      <c r="AL12" s="22">
        <f t="shared" si="9"/>
        <v>0</v>
      </c>
      <c r="AM12" s="20">
        <v>0</v>
      </c>
      <c r="AN12" s="21">
        <v>0</v>
      </c>
      <c r="AO12" s="22">
        <v>0</v>
      </c>
      <c r="AP12" s="22">
        <f t="shared" si="10"/>
        <v>0</v>
      </c>
      <c r="AQ12" s="20">
        <v>0</v>
      </c>
      <c r="AR12" s="21">
        <v>0</v>
      </c>
      <c r="AS12" s="22">
        <v>0</v>
      </c>
      <c r="AT12" s="22">
        <f t="shared" si="11"/>
        <v>0</v>
      </c>
      <c r="AU12" s="20">
        <v>1</v>
      </c>
      <c r="AV12" s="21">
        <v>1</v>
      </c>
      <c r="AW12" s="22">
        <v>1</v>
      </c>
      <c r="AX12" s="22">
        <f>AV12-AW12</f>
        <v>0</v>
      </c>
      <c r="AY12" s="20">
        <v>0</v>
      </c>
      <c r="AZ12" s="21">
        <v>1</v>
      </c>
      <c r="BA12" s="22">
        <v>0</v>
      </c>
      <c r="BB12" s="22">
        <f>AZ12-BA12</f>
        <v>1</v>
      </c>
      <c r="BC12" s="20">
        <v>1</v>
      </c>
      <c r="BD12" s="21">
        <v>0</v>
      </c>
      <c r="BE12" s="22">
        <v>0</v>
      </c>
      <c r="BF12" s="22">
        <f t="shared" si="14"/>
        <v>0</v>
      </c>
      <c r="BG12" s="20">
        <v>0</v>
      </c>
      <c r="BH12" s="21">
        <v>0</v>
      </c>
      <c r="BI12" s="22">
        <v>0</v>
      </c>
      <c r="BJ12" s="22">
        <f t="shared" si="15"/>
        <v>0</v>
      </c>
      <c r="BK12" s="20">
        <v>0</v>
      </c>
      <c r="BL12" s="21">
        <v>1</v>
      </c>
      <c r="BM12" s="22">
        <v>0</v>
      </c>
      <c r="BN12" s="22">
        <f t="shared" si="16"/>
        <v>1</v>
      </c>
      <c r="BO12" s="20">
        <v>0</v>
      </c>
      <c r="BP12" s="21">
        <v>0</v>
      </c>
      <c r="BQ12" s="22">
        <v>0</v>
      </c>
      <c r="BR12" s="22">
        <f t="shared" si="17"/>
        <v>0</v>
      </c>
      <c r="BS12" s="20">
        <v>0</v>
      </c>
      <c r="BT12" s="21">
        <f t="shared" si="18"/>
        <v>22</v>
      </c>
      <c r="BU12" s="22">
        <f t="shared" si="19"/>
        <v>5</v>
      </c>
      <c r="BV12" s="22">
        <f t="shared" si="20"/>
        <v>4</v>
      </c>
      <c r="BW12" s="22">
        <f t="shared" si="21"/>
        <v>0.81481481481481477</v>
      </c>
      <c r="BX12" s="22">
        <f t="shared" si="22"/>
        <v>0.84615384615384615</v>
      </c>
      <c r="BY12" s="20">
        <f t="shared" si="23"/>
        <v>0.83018867924528295</v>
      </c>
      <c r="CC12" s="75" t="s">
        <v>63</v>
      </c>
      <c r="CD12">
        <f>AVERAGE(BW21:BW22)</f>
        <v>0.85000000000000009</v>
      </c>
      <c r="CE12">
        <f t="shared" ref="CE12:CF12" si="32">AVERAGE(BX21:BX22)</f>
        <v>0.79059829059829057</v>
      </c>
      <c r="CF12">
        <f t="shared" si="32"/>
        <v>0.81235697940503426</v>
      </c>
    </row>
    <row r="13" spans="1:84" ht="13.5" customHeight="1" x14ac:dyDescent="0.35">
      <c r="A13" s="57" t="s">
        <v>10</v>
      </c>
      <c r="B13" s="108"/>
      <c r="C13" s="23" t="s">
        <v>21</v>
      </c>
      <c r="D13" s="24">
        <v>3</v>
      </c>
      <c r="E13" s="25">
        <v>3</v>
      </c>
      <c r="F13" s="25">
        <f t="shared" si="1"/>
        <v>0</v>
      </c>
      <c r="G13" s="23">
        <v>0</v>
      </c>
      <c r="H13" s="24">
        <v>0</v>
      </c>
      <c r="I13" s="25">
        <v>0</v>
      </c>
      <c r="J13" s="25">
        <f t="shared" si="2"/>
        <v>0</v>
      </c>
      <c r="K13" s="23">
        <v>0</v>
      </c>
      <c r="L13" s="24">
        <v>0</v>
      </c>
      <c r="M13" s="25">
        <v>0</v>
      </c>
      <c r="N13" s="25">
        <f t="shared" si="3"/>
        <v>0</v>
      </c>
      <c r="O13" s="23">
        <v>0</v>
      </c>
      <c r="P13" s="24">
        <v>5</v>
      </c>
      <c r="Q13" s="25">
        <v>5</v>
      </c>
      <c r="R13" s="25">
        <f t="shared" si="4"/>
        <v>0</v>
      </c>
      <c r="S13" s="23">
        <v>0</v>
      </c>
      <c r="T13" s="24">
        <v>0</v>
      </c>
      <c r="U13" s="25">
        <v>0</v>
      </c>
      <c r="V13" s="25">
        <f t="shared" si="5"/>
        <v>0</v>
      </c>
      <c r="W13" s="23">
        <v>0</v>
      </c>
      <c r="X13" s="24">
        <v>0</v>
      </c>
      <c r="Y13" s="25">
        <v>0</v>
      </c>
      <c r="Z13" s="25">
        <f t="shared" si="6"/>
        <v>0</v>
      </c>
      <c r="AA13" s="23">
        <v>0</v>
      </c>
      <c r="AB13" s="24">
        <v>0</v>
      </c>
      <c r="AC13" s="25">
        <v>0</v>
      </c>
      <c r="AD13" s="25">
        <f t="shared" si="7"/>
        <v>0</v>
      </c>
      <c r="AE13" s="23">
        <v>0</v>
      </c>
      <c r="AF13" s="24">
        <v>0</v>
      </c>
      <c r="AG13" s="25">
        <v>0</v>
      </c>
      <c r="AH13" s="25">
        <f t="shared" si="8"/>
        <v>0</v>
      </c>
      <c r="AI13" s="23">
        <v>0</v>
      </c>
      <c r="AJ13" s="24">
        <v>0</v>
      </c>
      <c r="AK13" s="25">
        <v>0</v>
      </c>
      <c r="AL13" s="25">
        <f t="shared" si="9"/>
        <v>0</v>
      </c>
      <c r="AM13" s="23">
        <v>0</v>
      </c>
      <c r="AN13" s="24">
        <v>0</v>
      </c>
      <c r="AO13" s="25">
        <v>0</v>
      </c>
      <c r="AP13" s="25">
        <f t="shared" si="10"/>
        <v>0</v>
      </c>
      <c r="AQ13" s="23">
        <v>0</v>
      </c>
      <c r="AR13" s="24">
        <v>2</v>
      </c>
      <c r="AS13" s="25">
        <v>1</v>
      </c>
      <c r="AT13" s="25">
        <f t="shared" si="11"/>
        <v>1</v>
      </c>
      <c r="AU13" s="23">
        <v>0</v>
      </c>
      <c r="AV13" s="24">
        <v>0</v>
      </c>
      <c r="AW13" s="25">
        <v>0</v>
      </c>
      <c r="AX13" s="25">
        <f t="shared" si="12"/>
        <v>0</v>
      </c>
      <c r="AY13" s="23">
        <v>1</v>
      </c>
      <c r="AZ13" s="24">
        <v>2</v>
      </c>
      <c r="BA13" s="25">
        <v>2</v>
      </c>
      <c r="BB13" s="25">
        <f t="shared" si="13"/>
        <v>0</v>
      </c>
      <c r="BC13" s="23">
        <v>0</v>
      </c>
      <c r="BD13" s="24">
        <v>0</v>
      </c>
      <c r="BE13" s="25">
        <v>0</v>
      </c>
      <c r="BF13" s="25">
        <f t="shared" si="14"/>
        <v>0</v>
      </c>
      <c r="BG13" s="23">
        <v>0</v>
      </c>
      <c r="BH13" s="24">
        <v>0</v>
      </c>
      <c r="BI13" s="25">
        <v>0</v>
      </c>
      <c r="BJ13" s="25">
        <f t="shared" si="15"/>
        <v>0</v>
      </c>
      <c r="BK13" s="23">
        <v>0</v>
      </c>
      <c r="BL13" s="24">
        <v>2</v>
      </c>
      <c r="BM13" s="25">
        <v>0</v>
      </c>
      <c r="BN13" s="25">
        <f t="shared" si="16"/>
        <v>2</v>
      </c>
      <c r="BO13" s="23">
        <v>0</v>
      </c>
      <c r="BP13" s="24">
        <v>0</v>
      </c>
      <c r="BQ13" s="25">
        <v>0</v>
      </c>
      <c r="BR13" s="25">
        <f t="shared" si="17"/>
        <v>0</v>
      </c>
      <c r="BS13" s="23">
        <v>0</v>
      </c>
      <c r="BT13" s="24">
        <f t="shared" si="18"/>
        <v>11</v>
      </c>
      <c r="BU13" s="25">
        <f t="shared" si="19"/>
        <v>3</v>
      </c>
      <c r="BV13" s="25">
        <f t="shared" si="20"/>
        <v>1</v>
      </c>
      <c r="BW13" s="25">
        <f t="shared" si="21"/>
        <v>0.7857142857142857</v>
      </c>
      <c r="BX13" s="25">
        <f t="shared" si="22"/>
        <v>0.91666666666666663</v>
      </c>
      <c r="BY13" s="23">
        <f t="shared" si="23"/>
        <v>0.84615384615384615</v>
      </c>
      <c r="CC13" s="75" t="s">
        <v>64</v>
      </c>
      <c r="CD13">
        <f>AVERAGE(BW23:BW24)</f>
        <v>0.83333333333333326</v>
      </c>
      <c r="CE13">
        <f t="shared" ref="CE13:CF13" si="33">AVERAGE(BX23:BX24)</f>
        <v>0.83125000000000004</v>
      </c>
      <c r="CF13">
        <f t="shared" si="33"/>
        <v>0.8297213622291022</v>
      </c>
    </row>
    <row r="14" spans="1:84" x14ac:dyDescent="0.35">
      <c r="A14" s="57" t="s">
        <v>10</v>
      </c>
      <c r="B14" s="108"/>
      <c r="C14" s="23" t="s">
        <v>22</v>
      </c>
      <c r="D14" s="24">
        <v>3</v>
      </c>
      <c r="E14" s="25">
        <v>3</v>
      </c>
      <c r="F14" s="25">
        <f t="shared" si="1"/>
        <v>0</v>
      </c>
      <c r="G14" s="23">
        <v>0</v>
      </c>
      <c r="H14" s="24">
        <v>0</v>
      </c>
      <c r="I14" s="24">
        <v>0</v>
      </c>
      <c r="J14" s="24">
        <v>0</v>
      </c>
      <c r="K14" s="23">
        <v>0</v>
      </c>
      <c r="L14" s="24">
        <v>0</v>
      </c>
      <c r="M14" s="24">
        <v>0</v>
      </c>
      <c r="N14" s="24">
        <v>0</v>
      </c>
      <c r="O14" s="23">
        <v>0</v>
      </c>
      <c r="P14" s="24">
        <v>5</v>
      </c>
      <c r="Q14" s="25">
        <v>5</v>
      </c>
      <c r="R14" s="25">
        <f t="shared" si="4"/>
        <v>0</v>
      </c>
      <c r="S14" s="23">
        <v>0</v>
      </c>
      <c r="T14" s="24">
        <v>0</v>
      </c>
      <c r="U14" s="25">
        <v>0</v>
      </c>
      <c r="V14" s="25">
        <v>0</v>
      </c>
      <c r="W14" s="23">
        <v>0</v>
      </c>
      <c r="X14" s="24">
        <v>0</v>
      </c>
      <c r="Y14" s="24">
        <v>0</v>
      </c>
      <c r="Z14" s="24">
        <f>X14-Y14</f>
        <v>0</v>
      </c>
      <c r="AA14" s="23">
        <v>0</v>
      </c>
      <c r="AB14" s="24">
        <v>0</v>
      </c>
      <c r="AC14" s="24">
        <v>0</v>
      </c>
      <c r="AD14" s="24">
        <f>AB14-AC14</f>
        <v>0</v>
      </c>
      <c r="AE14" s="23">
        <v>0</v>
      </c>
      <c r="AF14" s="24">
        <v>0</v>
      </c>
      <c r="AG14" s="24">
        <v>0</v>
      </c>
      <c r="AH14" s="24">
        <f>AF14-AG14</f>
        <v>0</v>
      </c>
      <c r="AI14" s="23">
        <v>0</v>
      </c>
      <c r="AJ14" s="24">
        <v>0</v>
      </c>
      <c r="AK14" s="24">
        <v>0</v>
      </c>
      <c r="AL14" s="24">
        <f>AJ14-AK14</f>
        <v>0</v>
      </c>
      <c r="AM14" s="23">
        <v>0</v>
      </c>
      <c r="AN14" s="24">
        <v>0</v>
      </c>
      <c r="AO14" s="24">
        <v>0</v>
      </c>
      <c r="AP14" s="24">
        <f>AN14-AO14</f>
        <v>0</v>
      </c>
      <c r="AQ14" s="23">
        <v>0</v>
      </c>
      <c r="AR14" s="24">
        <v>2</v>
      </c>
      <c r="AS14" s="25">
        <v>1</v>
      </c>
      <c r="AT14" s="25">
        <f t="shared" si="11"/>
        <v>1</v>
      </c>
      <c r="AU14" s="23">
        <v>0</v>
      </c>
      <c r="AV14" s="24">
        <v>0</v>
      </c>
      <c r="AW14" s="25">
        <v>0</v>
      </c>
      <c r="AX14" s="25">
        <f t="shared" si="12"/>
        <v>0</v>
      </c>
      <c r="AY14" s="23">
        <v>1</v>
      </c>
      <c r="AZ14" s="24">
        <v>2</v>
      </c>
      <c r="BA14" s="25">
        <v>2</v>
      </c>
      <c r="BB14" s="25">
        <f t="shared" si="13"/>
        <v>0</v>
      </c>
      <c r="BC14" s="23">
        <v>0</v>
      </c>
      <c r="BD14" s="24">
        <v>0</v>
      </c>
      <c r="BE14" s="25">
        <v>0</v>
      </c>
      <c r="BF14" s="25">
        <f t="shared" si="14"/>
        <v>0</v>
      </c>
      <c r="BG14" s="23">
        <v>0</v>
      </c>
      <c r="BH14" s="24">
        <v>0</v>
      </c>
      <c r="BI14" s="25">
        <v>0</v>
      </c>
      <c r="BJ14" s="25">
        <f t="shared" si="15"/>
        <v>0</v>
      </c>
      <c r="BK14" s="23">
        <v>0</v>
      </c>
      <c r="BL14" s="24">
        <v>2</v>
      </c>
      <c r="BM14" s="25">
        <v>0</v>
      </c>
      <c r="BN14" s="25">
        <f t="shared" si="16"/>
        <v>2</v>
      </c>
      <c r="BO14" s="23">
        <v>0</v>
      </c>
      <c r="BP14" s="24">
        <v>0</v>
      </c>
      <c r="BQ14" s="25">
        <v>0</v>
      </c>
      <c r="BR14" s="25">
        <f t="shared" si="17"/>
        <v>0</v>
      </c>
      <c r="BS14" s="23">
        <v>0</v>
      </c>
      <c r="BT14" s="24">
        <f t="shared" si="18"/>
        <v>11</v>
      </c>
      <c r="BU14" s="25">
        <f t="shared" si="19"/>
        <v>3</v>
      </c>
      <c r="BV14" s="25">
        <f t="shared" si="20"/>
        <v>1</v>
      </c>
      <c r="BW14" s="25">
        <f t="shared" si="21"/>
        <v>0.7857142857142857</v>
      </c>
      <c r="BX14" s="25">
        <f t="shared" si="22"/>
        <v>0.91666666666666663</v>
      </c>
      <c r="BY14" s="23">
        <f t="shared" si="23"/>
        <v>0.84615384615384615</v>
      </c>
      <c r="CC14" s="75" t="s">
        <v>65</v>
      </c>
      <c r="CD14">
        <f>AVERAGE(BW25:BW26)</f>
        <v>0.7857142857142857</v>
      </c>
      <c r="CE14">
        <f t="shared" ref="CE14:CF14" si="34">AVERAGE(BX25:BX26)</f>
        <v>1</v>
      </c>
      <c r="CF14">
        <f t="shared" si="34"/>
        <v>0.87820512820512819</v>
      </c>
    </row>
    <row r="15" spans="1:84" x14ac:dyDescent="0.35">
      <c r="A15" s="58" t="s">
        <v>10</v>
      </c>
      <c r="B15" s="108"/>
      <c r="C15" s="26" t="s">
        <v>23</v>
      </c>
      <c r="D15" s="27">
        <v>2</v>
      </c>
      <c r="E15" s="28">
        <v>2</v>
      </c>
      <c r="F15" s="28">
        <f t="shared" si="1"/>
        <v>0</v>
      </c>
      <c r="G15" s="26">
        <v>0</v>
      </c>
      <c r="H15" s="27">
        <v>0</v>
      </c>
      <c r="I15" s="27">
        <v>0</v>
      </c>
      <c r="J15" s="27">
        <f t="shared" si="2"/>
        <v>0</v>
      </c>
      <c r="K15" s="26">
        <v>0</v>
      </c>
      <c r="L15" s="27">
        <v>0</v>
      </c>
      <c r="M15" s="27">
        <v>0</v>
      </c>
      <c r="N15" s="27">
        <f t="shared" si="3"/>
        <v>0</v>
      </c>
      <c r="O15" s="26">
        <v>0</v>
      </c>
      <c r="P15" s="27">
        <v>3</v>
      </c>
      <c r="Q15" s="28">
        <v>3</v>
      </c>
      <c r="R15" s="28">
        <f t="shared" si="4"/>
        <v>0</v>
      </c>
      <c r="S15" s="26">
        <v>1</v>
      </c>
      <c r="T15" s="27">
        <v>0</v>
      </c>
      <c r="U15" s="28">
        <v>0</v>
      </c>
      <c r="V15" s="28">
        <f t="shared" si="5"/>
        <v>0</v>
      </c>
      <c r="W15" s="26">
        <v>3</v>
      </c>
      <c r="X15" s="27">
        <v>0</v>
      </c>
      <c r="Y15" s="27">
        <v>0</v>
      </c>
      <c r="Z15" s="27">
        <f t="shared" si="6"/>
        <v>0</v>
      </c>
      <c r="AA15" s="26">
        <v>0</v>
      </c>
      <c r="AB15" s="27">
        <v>0</v>
      </c>
      <c r="AC15" s="27">
        <v>0</v>
      </c>
      <c r="AD15" s="27">
        <f t="shared" si="7"/>
        <v>0</v>
      </c>
      <c r="AE15" s="26">
        <v>0</v>
      </c>
      <c r="AF15" s="27">
        <v>0</v>
      </c>
      <c r="AG15" s="27">
        <v>0</v>
      </c>
      <c r="AH15" s="27">
        <f t="shared" si="8"/>
        <v>0</v>
      </c>
      <c r="AI15" s="26">
        <v>0</v>
      </c>
      <c r="AJ15" s="27">
        <v>0</v>
      </c>
      <c r="AK15" s="27">
        <v>0</v>
      </c>
      <c r="AL15" s="27">
        <f t="shared" si="9"/>
        <v>0</v>
      </c>
      <c r="AM15" s="26">
        <v>0</v>
      </c>
      <c r="AN15" s="27">
        <v>0</v>
      </c>
      <c r="AO15" s="27">
        <v>0</v>
      </c>
      <c r="AP15" s="27">
        <f t="shared" si="10"/>
        <v>0</v>
      </c>
      <c r="AQ15" s="26">
        <v>0</v>
      </c>
      <c r="AR15" s="27">
        <v>1</v>
      </c>
      <c r="AS15" s="28">
        <v>0</v>
      </c>
      <c r="AT15" s="28">
        <f t="shared" si="11"/>
        <v>1</v>
      </c>
      <c r="AU15" s="26">
        <v>0</v>
      </c>
      <c r="AV15" s="27">
        <v>0</v>
      </c>
      <c r="AW15" s="28">
        <v>0</v>
      </c>
      <c r="AX15" s="28">
        <f t="shared" si="12"/>
        <v>0</v>
      </c>
      <c r="AY15" s="26">
        <v>1</v>
      </c>
      <c r="AZ15" s="27">
        <v>1</v>
      </c>
      <c r="BA15" s="28">
        <v>1</v>
      </c>
      <c r="BB15" s="28">
        <f t="shared" si="13"/>
        <v>0</v>
      </c>
      <c r="BC15" s="26">
        <v>0</v>
      </c>
      <c r="BD15" s="27">
        <v>0</v>
      </c>
      <c r="BE15" s="28">
        <v>0</v>
      </c>
      <c r="BF15" s="28">
        <f t="shared" si="14"/>
        <v>0</v>
      </c>
      <c r="BG15" s="26">
        <v>0</v>
      </c>
      <c r="BH15" s="27">
        <v>0</v>
      </c>
      <c r="BI15" s="28">
        <v>0</v>
      </c>
      <c r="BJ15" s="28">
        <f t="shared" si="15"/>
        <v>0</v>
      </c>
      <c r="BK15" s="26">
        <v>0</v>
      </c>
      <c r="BL15" s="27">
        <v>1</v>
      </c>
      <c r="BM15" s="28">
        <v>1</v>
      </c>
      <c r="BN15" s="28">
        <f t="shared" si="16"/>
        <v>0</v>
      </c>
      <c r="BO15" s="26">
        <v>0</v>
      </c>
      <c r="BP15" s="27">
        <v>0</v>
      </c>
      <c r="BQ15" s="28">
        <v>0</v>
      </c>
      <c r="BR15" s="28">
        <f t="shared" si="17"/>
        <v>0</v>
      </c>
      <c r="BS15" s="26">
        <v>0</v>
      </c>
      <c r="BT15" s="27">
        <f t="shared" si="18"/>
        <v>7</v>
      </c>
      <c r="BU15" s="28">
        <f t="shared" si="19"/>
        <v>1</v>
      </c>
      <c r="BV15" s="28">
        <f t="shared" si="20"/>
        <v>5</v>
      </c>
      <c r="BW15" s="28">
        <f t="shared" si="21"/>
        <v>0.875</v>
      </c>
      <c r="BX15" s="28">
        <f t="shared" si="22"/>
        <v>0.58333333333333337</v>
      </c>
      <c r="BY15" s="26">
        <f t="shared" si="23"/>
        <v>0.70000000000000007</v>
      </c>
      <c r="CC15" s="75" t="s">
        <v>66</v>
      </c>
      <c r="CD15">
        <f>AVERAGE(BW27:BW28)</f>
        <v>0.79411764705882348</v>
      </c>
      <c r="CE15">
        <f t="shared" ref="CE15:CF15" si="35">AVERAGE(BX27:BX28)</f>
        <v>0.81985294117647056</v>
      </c>
      <c r="CF15">
        <f t="shared" si="35"/>
        <v>0.80659536541889487</v>
      </c>
    </row>
    <row r="16" spans="1:84" x14ac:dyDescent="0.35">
      <c r="A16" s="58" t="s">
        <v>10</v>
      </c>
      <c r="B16" s="108"/>
      <c r="C16" s="26" t="s">
        <v>24</v>
      </c>
      <c r="D16" s="27">
        <v>2</v>
      </c>
      <c r="E16" s="28">
        <v>2</v>
      </c>
      <c r="F16" s="28">
        <f t="shared" si="1"/>
        <v>0</v>
      </c>
      <c r="G16" s="26">
        <v>0</v>
      </c>
      <c r="H16" s="27">
        <v>0</v>
      </c>
      <c r="I16" s="27">
        <v>0</v>
      </c>
      <c r="J16" s="27">
        <f t="shared" si="2"/>
        <v>0</v>
      </c>
      <c r="K16" s="26">
        <v>0</v>
      </c>
      <c r="L16" s="27">
        <v>0</v>
      </c>
      <c r="M16" s="27">
        <v>0</v>
      </c>
      <c r="N16" s="27">
        <f t="shared" si="3"/>
        <v>0</v>
      </c>
      <c r="O16" s="26">
        <v>0</v>
      </c>
      <c r="P16" s="27">
        <v>3</v>
      </c>
      <c r="Q16" s="28">
        <v>3</v>
      </c>
      <c r="R16" s="28">
        <f t="shared" si="4"/>
        <v>0</v>
      </c>
      <c r="S16" s="26">
        <v>1</v>
      </c>
      <c r="T16" s="27">
        <v>0</v>
      </c>
      <c r="U16" s="28">
        <v>0</v>
      </c>
      <c r="V16" s="28">
        <f t="shared" si="5"/>
        <v>0</v>
      </c>
      <c r="W16" s="26">
        <v>3</v>
      </c>
      <c r="X16" s="27">
        <v>0</v>
      </c>
      <c r="Y16" s="27">
        <v>0</v>
      </c>
      <c r="Z16" s="27">
        <v>0</v>
      </c>
      <c r="AA16" s="26">
        <v>0</v>
      </c>
      <c r="AB16" s="27">
        <v>0</v>
      </c>
      <c r="AC16" s="27">
        <v>0</v>
      </c>
      <c r="AD16" s="27">
        <f t="shared" si="7"/>
        <v>0</v>
      </c>
      <c r="AE16" s="26">
        <v>0</v>
      </c>
      <c r="AF16" s="27">
        <v>0</v>
      </c>
      <c r="AG16" s="27">
        <v>0</v>
      </c>
      <c r="AH16" s="27">
        <f t="shared" si="8"/>
        <v>0</v>
      </c>
      <c r="AI16" s="26">
        <v>0</v>
      </c>
      <c r="AJ16" s="27">
        <v>0</v>
      </c>
      <c r="AK16" s="27">
        <v>0</v>
      </c>
      <c r="AL16" s="27">
        <f t="shared" si="9"/>
        <v>0</v>
      </c>
      <c r="AM16" s="26">
        <v>0</v>
      </c>
      <c r="AN16" s="27">
        <v>0</v>
      </c>
      <c r="AO16" s="27">
        <v>0</v>
      </c>
      <c r="AP16" s="27">
        <f t="shared" si="10"/>
        <v>0</v>
      </c>
      <c r="AQ16" s="26">
        <v>1</v>
      </c>
      <c r="AR16" s="27">
        <v>1</v>
      </c>
      <c r="AS16" s="28">
        <v>0</v>
      </c>
      <c r="AT16" s="28">
        <f t="shared" si="11"/>
        <v>1</v>
      </c>
      <c r="AU16" s="26">
        <v>0</v>
      </c>
      <c r="AV16" s="27">
        <v>0</v>
      </c>
      <c r="AW16" s="28">
        <v>0</v>
      </c>
      <c r="AX16" s="28">
        <f t="shared" si="12"/>
        <v>0</v>
      </c>
      <c r="AY16" s="26">
        <v>1</v>
      </c>
      <c r="AZ16" s="27">
        <v>1</v>
      </c>
      <c r="BA16" s="28">
        <v>1</v>
      </c>
      <c r="BB16" s="28">
        <f t="shared" si="13"/>
        <v>0</v>
      </c>
      <c r="BC16" s="26">
        <v>0</v>
      </c>
      <c r="BD16" s="27">
        <v>0</v>
      </c>
      <c r="BE16" s="28">
        <v>0</v>
      </c>
      <c r="BF16" s="28">
        <f t="shared" si="14"/>
        <v>0</v>
      </c>
      <c r="BG16" s="26">
        <v>0</v>
      </c>
      <c r="BH16" s="27">
        <v>0</v>
      </c>
      <c r="BI16" s="28">
        <v>0</v>
      </c>
      <c r="BJ16" s="28">
        <f t="shared" si="15"/>
        <v>0</v>
      </c>
      <c r="BK16" s="26">
        <v>0</v>
      </c>
      <c r="BL16" s="27">
        <v>1</v>
      </c>
      <c r="BM16" s="28">
        <v>1</v>
      </c>
      <c r="BN16" s="28">
        <f>BL16-BM16</f>
        <v>0</v>
      </c>
      <c r="BO16" s="26">
        <v>0</v>
      </c>
      <c r="BP16" s="27">
        <v>0</v>
      </c>
      <c r="BQ16" s="28">
        <v>0</v>
      </c>
      <c r="BR16" s="28">
        <f t="shared" si="17"/>
        <v>0</v>
      </c>
      <c r="BS16" s="26">
        <v>0</v>
      </c>
      <c r="BT16" s="27">
        <f t="shared" si="18"/>
        <v>7</v>
      </c>
      <c r="BU16" s="28">
        <f t="shared" si="19"/>
        <v>1</v>
      </c>
      <c r="BV16" s="28">
        <f t="shared" si="20"/>
        <v>6</v>
      </c>
      <c r="BW16" s="28">
        <f t="shared" si="21"/>
        <v>0.875</v>
      </c>
      <c r="BX16" s="28">
        <f t="shared" si="22"/>
        <v>0.53846153846153844</v>
      </c>
      <c r="BY16" s="26">
        <f t="shared" si="23"/>
        <v>0.66666666666666674</v>
      </c>
      <c r="CC16" s="75" t="s">
        <v>67</v>
      </c>
      <c r="CD16">
        <f>AVERAGE(BW29:BW30)</f>
        <v>1</v>
      </c>
      <c r="CE16">
        <f t="shared" ref="CE16:CF16" si="36">AVERAGE(BX29:BX30)</f>
        <v>0.90909090909090906</v>
      </c>
      <c r="CF16">
        <f t="shared" si="36"/>
        <v>0.95238095238095233</v>
      </c>
    </row>
    <row r="17" spans="1:84" x14ac:dyDescent="0.35">
      <c r="A17" s="59" t="s">
        <v>10</v>
      </c>
      <c r="B17" s="108"/>
      <c r="C17" s="29" t="s">
        <v>25</v>
      </c>
      <c r="D17" s="30">
        <v>2</v>
      </c>
      <c r="E17" s="31">
        <v>2</v>
      </c>
      <c r="F17" s="31">
        <f t="shared" si="1"/>
        <v>0</v>
      </c>
      <c r="G17" s="29">
        <v>0</v>
      </c>
      <c r="H17" s="30">
        <v>0</v>
      </c>
      <c r="I17" s="31">
        <v>0</v>
      </c>
      <c r="J17" s="31">
        <f t="shared" si="2"/>
        <v>0</v>
      </c>
      <c r="K17" s="29">
        <v>0</v>
      </c>
      <c r="L17" s="30">
        <v>0</v>
      </c>
      <c r="M17" s="31">
        <v>0</v>
      </c>
      <c r="N17" s="31">
        <f t="shared" si="3"/>
        <v>0</v>
      </c>
      <c r="O17" s="29">
        <v>0</v>
      </c>
      <c r="P17" s="30">
        <v>3</v>
      </c>
      <c r="Q17" s="31">
        <v>3</v>
      </c>
      <c r="R17" s="31">
        <f t="shared" si="4"/>
        <v>0</v>
      </c>
      <c r="S17" s="29">
        <v>0</v>
      </c>
      <c r="T17" s="30">
        <v>0</v>
      </c>
      <c r="U17" s="31">
        <v>0</v>
      </c>
      <c r="V17" s="31">
        <f t="shared" si="5"/>
        <v>0</v>
      </c>
      <c r="W17" s="29">
        <v>3</v>
      </c>
      <c r="X17" s="30">
        <v>1</v>
      </c>
      <c r="Y17" s="31">
        <v>1</v>
      </c>
      <c r="Z17" s="31">
        <f t="shared" si="6"/>
        <v>0</v>
      </c>
      <c r="AA17" s="29">
        <v>0</v>
      </c>
      <c r="AB17" s="30">
        <v>1</v>
      </c>
      <c r="AC17" s="31">
        <v>1</v>
      </c>
      <c r="AD17" s="31">
        <f t="shared" si="7"/>
        <v>0</v>
      </c>
      <c r="AE17" s="29">
        <v>0</v>
      </c>
      <c r="AF17" s="30">
        <v>1</v>
      </c>
      <c r="AG17" s="31">
        <v>0</v>
      </c>
      <c r="AH17" s="31">
        <f t="shared" si="8"/>
        <v>1</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0</v>
      </c>
      <c r="AW17" s="31">
        <v>0</v>
      </c>
      <c r="AX17" s="31">
        <f t="shared" si="12"/>
        <v>0</v>
      </c>
      <c r="AY17" s="29">
        <v>0</v>
      </c>
      <c r="AZ17" s="30">
        <v>1</v>
      </c>
      <c r="BA17" s="31">
        <v>0</v>
      </c>
      <c r="BB17" s="31">
        <f t="shared" si="13"/>
        <v>1</v>
      </c>
      <c r="BC17" s="29">
        <v>1</v>
      </c>
      <c r="BD17" s="30">
        <v>0</v>
      </c>
      <c r="BE17" s="31">
        <v>0</v>
      </c>
      <c r="BF17" s="31">
        <f t="shared" si="14"/>
        <v>0</v>
      </c>
      <c r="BG17" s="29">
        <v>0</v>
      </c>
      <c r="BH17" s="30">
        <v>0</v>
      </c>
      <c r="BI17" s="31">
        <v>0</v>
      </c>
      <c r="BJ17" s="31">
        <f t="shared" si="15"/>
        <v>0</v>
      </c>
      <c r="BK17" s="29">
        <v>0</v>
      </c>
      <c r="BL17" s="30">
        <v>0</v>
      </c>
      <c r="BM17" s="31">
        <v>0</v>
      </c>
      <c r="BN17" s="31">
        <f t="shared" si="16"/>
        <v>0</v>
      </c>
      <c r="BO17" s="29">
        <v>0</v>
      </c>
      <c r="BP17" s="30">
        <v>1</v>
      </c>
      <c r="BQ17" s="31">
        <v>1</v>
      </c>
      <c r="BR17" s="31">
        <f t="shared" si="17"/>
        <v>0</v>
      </c>
      <c r="BS17" s="29">
        <v>0</v>
      </c>
      <c r="BT17" s="30">
        <f t="shared" si="18"/>
        <v>8</v>
      </c>
      <c r="BU17" s="31">
        <f t="shared" si="19"/>
        <v>2</v>
      </c>
      <c r="BV17" s="31">
        <f t="shared" si="20"/>
        <v>4</v>
      </c>
      <c r="BW17" s="31">
        <f t="shared" si="21"/>
        <v>0.8</v>
      </c>
      <c r="BX17" s="31">
        <f t="shared" si="22"/>
        <v>0.66666666666666663</v>
      </c>
      <c r="BY17" s="29">
        <f t="shared" si="23"/>
        <v>0.72727272727272718</v>
      </c>
      <c r="CC17" s="75" t="s">
        <v>42</v>
      </c>
      <c r="CD17">
        <f>AVERAGE(CD3:CD16)</f>
        <v>0.85458999839251959</v>
      </c>
      <c r="CE17">
        <f t="shared" ref="CE17:CF17" si="37">AVERAGE(CE3:CE16)</f>
        <v>0.86555893627847424</v>
      </c>
      <c r="CF17">
        <f t="shared" si="37"/>
        <v>0.85212604408416415</v>
      </c>
    </row>
    <row r="18" spans="1:84" x14ac:dyDescent="0.35">
      <c r="A18" s="59" t="s">
        <v>10</v>
      </c>
      <c r="B18" s="108"/>
      <c r="C18" s="29" t="s">
        <v>26</v>
      </c>
      <c r="D18" s="30">
        <v>2</v>
      </c>
      <c r="E18" s="31">
        <v>2</v>
      </c>
      <c r="F18" s="31">
        <f t="shared" si="1"/>
        <v>0</v>
      </c>
      <c r="G18" s="29">
        <v>0</v>
      </c>
      <c r="H18" s="30">
        <v>0</v>
      </c>
      <c r="I18" s="31">
        <v>0</v>
      </c>
      <c r="J18" s="31">
        <f t="shared" si="2"/>
        <v>0</v>
      </c>
      <c r="K18" s="29">
        <v>0</v>
      </c>
      <c r="L18" s="30">
        <v>0</v>
      </c>
      <c r="M18" s="31">
        <v>0</v>
      </c>
      <c r="N18" s="31">
        <f t="shared" si="3"/>
        <v>0</v>
      </c>
      <c r="O18" s="29">
        <v>0</v>
      </c>
      <c r="P18" s="30">
        <v>3</v>
      </c>
      <c r="Q18" s="31">
        <v>3</v>
      </c>
      <c r="R18" s="31">
        <f t="shared" si="4"/>
        <v>0</v>
      </c>
      <c r="S18" s="29">
        <v>0</v>
      </c>
      <c r="T18" s="30">
        <v>0</v>
      </c>
      <c r="U18" s="31">
        <v>0</v>
      </c>
      <c r="V18" s="31">
        <f t="shared" si="5"/>
        <v>0</v>
      </c>
      <c r="W18" s="29">
        <v>3</v>
      </c>
      <c r="X18" s="30">
        <v>1</v>
      </c>
      <c r="Y18" s="31">
        <v>1</v>
      </c>
      <c r="Z18" s="31">
        <f t="shared" si="6"/>
        <v>0</v>
      </c>
      <c r="AA18" s="29">
        <v>0</v>
      </c>
      <c r="AB18" s="30">
        <v>1</v>
      </c>
      <c r="AC18" s="31">
        <v>1</v>
      </c>
      <c r="AD18" s="31">
        <f t="shared" si="7"/>
        <v>0</v>
      </c>
      <c r="AE18" s="29">
        <v>0</v>
      </c>
      <c r="AF18" s="30">
        <v>1</v>
      </c>
      <c r="AG18" s="31">
        <v>0</v>
      </c>
      <c r="AH18" s="31">
        <f t="shared" si="8"/>
        <v>1</v>
      </c>
      <c r="AI18" s="29">
        <v>0</v>
      </c>
      <c r="AJ18" s="30">
        <v>0</v>
      </c>
      <c r="AK18" s="31">
        <v>0</v>
      </c>
      <c r="AL18" s="31">
        <f t="shared" si="9"/>
        <v>0</v>
      </c>
      <c r="AM18" s="29">
        <v>0</v>
      </c>
      <c r="AN18" s="30">
        <v>0</v>
      </c>
      <c r="AO18" s="31">
        <v>0</v>
      </c>
      <c r="AP18" s="31">
        <f t="shared" si="10"/>
        <v>0</v>
      </c>
      <c r="AQ18" s="29">
        <v>2</v>
      </c>
      <c r="AR18" s="30">
        <v>0</v>
      </c>
      <c r="AS18" s="31">
        <v>0</v>
      </c>
      <c r="AT18" s="31">
        <f t="shared" si="11"/>
        <v>0</v>
      </c>
      <c r="AU18" s="29">
        <v>0</v>
      </c>
      <c r="AV18" s="30">
        <v>0</v>
      </c>
      <c r="AW18" s="31">
        <v>0</v>
      </c>
      <c r="AX18" s="31">
        <f t="shared" si="12"/>
        <v>0</v>
      </c>
      <c r="AY18" s="29">
        <v>0</v>
      </c>
      <c r="AZ18" s="30">
        <v>1</v>
      </c>
      <c r="BA18" s="31">
        <v>1</v>
      </c>
      <c r="BB18" s="31">
        <f t="shared" si="13"/>
        <v>0</v>
      </c>
      <c r="BC18" s="29">
        <v>1</v>
      </c>
      <c r="BD18" s="30">
        <v>0</v>
      </c>
      <c r="BE18" s="31">
        <v>0</v>
      </c>
      <c r="BF18" s="31">
        <f t="shared" si="14"/>
        <v>0</v>
      </c>
      <c r="BG18" s="29">
        <v>0</v>
      </c>
      <c r="BH18" s="30">
        <v>0</v>
      </c>
      <c r="BI18" s="31">
        <v>0</v>
      </c>
      <c r="BJ18" s="31">
        <f t="shared" si="15"/>
        <v>0</v>
      </c>
      <c r="BK18" s="29">
        <v>0</v>
      </c>
      <c r="BL18" s="30">
        <v>0</v>
      </c>
      <c r="BM18" s="31">
        <v>0</v>
      </c>
      <c r="BN18" s="31">
        <f>BL18-BM18</f>
        <v>0</v>
      </c>
      <c r="BO18" s="29">
        <v>0</v>
      </c>
      <c r="BP18" s="30">
        <v>1</v>
      </c>
      <c r="BQ18" s="31">
        <v>1</v>
      </c>
      <c r="BR18" s="31">
        <f t="shared" si="17"/>
        <v>0</v>
      </c>
      <c r="BS18" s="29">
        <v>0</v>
      </c>
      <c r="BT18" s="30">
        <f t="shared" si="18"/>
        <v>9</v>
      </c>
      <c r="BU18" s="31">
        <f t="shared" si="19"/>
        <v>1</v>
      </c>
      <c r="BV18" s="31">
        <f t="shared" si="20"/>
        <v>6</v>
      </c>
      <c r="BW18" s="31">
        <f t="shared" si="21"/>
        <v>0.9</v>
      </c>
      <c r="BX18" s="31">
        <f t="shared" si="22"/>
        <v>0.6</v>
      </c>
      <c r="BY18" s="29">
        <f t="shared" si="23"/>
        <v>0.72000000000000008</v>
      </c>
    </row>
    <row r="19" spans="1:84" x14ac:dyDescent="0.35">
      <c r="A19" s="60" t="s">
        <v>10</v>
      </c>
      <c r="B19" s="108"/>
      <c r="C19" s="32" t="s">
        <v>27</v>
      </c>
      <c r="D19" s="33">
        <v>3</v>
      </c>
      <c r="E19" s="34">
        <v>3</v>
      </c>
      <c r="F19" s="34">
        <f t="shared" si="1"/>
        <v>0</v>
      </c>
      <c r="G19" s="32">
        <v>0</v>
      </c>
      <c r="H19" s="33">
        <v>0</v>
      </c>
      <c r="I19" s="34">
        <v>0</v>
      </c>
      <c r="J19" s="34">
        <f t="shared" si="2"/>
        <v>0</v>
      </c>
      <c r="K19" s="32">
        <v>0</v>
      </c>
      <c r="L19" s="33">
        <v>0</v>
      </c>
      <c r="M19" s="34">
        <v>0</v>
      </c>
      <c r="N19" s="34">
        <f t="shared" si="3"/>
        <v>0</v>
      </c>
      <c r="O19" s="32">
        <v>0</v>
      </c>
      <c r="P19" s="33">
        <v>3</v>
      </c>
      <c r="Q19" s="34">
        <v>3</v>
      </c>
      <c r="R19" s="34">
        <f t="shared" si="4"/>
        <v>0</v>
      </c>
      <c r="S19" s="32">
        <v>0</v>
      </c>
      <c r="T19" s="33">
        <v>0</v>
      </c>
      <c r="U19" s="34">
        <v>0</v>
      </c>
      <c r="V19" s="34">
        <f t="shared" si="5"/>
        <v>0</v>
      </c>
      <c r="W19" s="32">
        <v>0</v>
      </c>
      <c r="X19" s="33">
        <v>2</v>
      </c>
      <c r="Y19" s="34">
        <v>2</v>
      </c>
      <c r="Z19" s="34">
        <f t="shared" si="6"/>
        <v>0</v>
      </c>
      <c r="AA19" s="32">
        <v>0</v>
      </c>
      <c r="AB19" s="33">
        <v>2</v>
      </c>
      <c r="AC19" s="34">
        <v>2</v>
      </c>
      <c r="AD19" s="34">
        <f t="shared" si="7"/>
        <v>0</v>
      </c>
      <c r="AE19" s="32">
        <v>0</v>
      </c>
      <c r="AF19" s="33">
        <v>2</v>
      </c>
      <c r="AG19" s="34">
        <v>0</v>
      </c>
      <c r="AH19" s="34">
        <f t="shared" si="8"/>
        <v>2</v>
      </c>
      <c r="AI19" s="32">
        <v>0</v>
      </c>
      <c r="AJ19" s="33">
        <v>0</v>
      </c>
      <c r="AK19" s="34">
        <v>0</v>
      </c>
      <c r="AL19" s="34">
        <f t="shared" si="9"/>
        <v>0</v>
      </c>
      <c r="AM19" s="32">
        <v>0</v>
      </c>
      <c r="AN19" s="33">
        <v>0</v>
      </c>
      <c r="AO19" s="34">
        <v>0</v>
      </c>
      <c r="AP19" s="34">
        <f t="shared" si="10"/>
        <v>0</v>
      </c>
      <c r="AQ19" s="32">
        <v>0</v>
      </c>
      <c r="AR19" s="33">
        <v>0</v>
      </c>
      <c r="AS19" s="34">
        <v>0</v>
      </c>
      <c r="AT19" s="34">
        <f t="shared" si="11"/>
        <v>0</v>
      </c>
      <c r="AU19" s="32">
        <v>1</v>
      </c>
      <c r="AV19" s="33">
        <v>0</v>
      </c>
      <c r="AW19" s="34">
        <v>0</v>
      </c>
      <c r="AX19" s="34">
        <f t="shared" si="12"/>
        <v>0</v>
      </c>
      <c r="AY19" s="32">
        <v>0</v>
      </c>
      <c r="AZ19" s="33">
        <v>2</v>
      </c>
      <c r="BA19" s="34">
        <v>2</v>
      </c>
      <c r="BB19" s="34">
        <f t="shared" si="13"/>
        <v>0</v>
      </c>
      <c r="BC19" s="32">
        <v>0</v>
      </c>
      <c r="BD19" s="33">
        <v>0</v>
      </c>
      <c r="BE19" s="34">
        <v>0</v>
      </c>
      <c r="BF19" s="34">
        <f t="shared" si="14"/>
        <v>0</v>
      </c>
      <c r="BG19" s="32">
        <v>0</v>
      </c>
      <c r="BH19" s="33">
        <v>1</v>
      </c>
      <c r="BI19" s="34">
        <v>0</v>
      </c>
      <c r="BJ19" s="34">
        <f t="shared" si="15"/>
        <v>1</v>
      </c>
      <c r="BK19" s="32">
        <v>0</v>
      </c>
      <c r="BL19" s="33">
        <v>0</v>
      </c>
      <c r="BM19" s="34">
        <v>0</v>
      </c>
      <c r="BN19" s="34">
        <f t="shared" si="16"/>
        <v>0</v>
      </c>
      <c r="BO19" s="32">
        <v>0</v>
      </c>
      <c r="BP19" s="33">
        <v>2</v>
      </c>
      <c r="BQ19" s="34">
        <v>1</v>
      </c>
      <c r="BR19" s="34">
        <f>BP19-BQ19</f>
        <v>1</v>
      </c>
      <c r="BS19" s="32">
        <v>0</v>
      </c>
      <c r="BT19" s="33">
        <f t="shared" si="18"/>
        <v>13</v>
      </c>
      <c r="BU19" s="34">
        <f t="shared" si="19"/>
        <v>4</v>
      </c>
      <c r="BV19" s="34">
        <f t="shared" si="20"/>
        <v>1</v>
      </c>
      <c r="BW19" s="34">
        <f t="shared" si="21"/>
        <v>0.76470588235294112</v>
      </c>
      <c r="BX19" s="34">
        <f t="shared" si="22"/>
        <v>0.9285714285714286</v>
      </c>
      <c r="BY19" s="32">
        <f t="shared" si="23"/>
        <v>0.83870967741935487</v>
      </c>
    </row>
    <row r="20" spans="1:84" x14ac:dyDescent="0.35">
      <c r="A20" s="60" t="s">
        <v>10</v>
      </c>
      <c r="B20" s="108"/>
      <c r="C20" s="32" t="s">
        <v>28</v>
      </c>
      <c r="D20" s="33">
        <v>3</v>
      </c>
      <c r="E20" s="34">
        <v>3</v>
      </c>
      <c r="F20" s="34">
        <f t="shared" si="1"/>
        <v>0</v>
      </c>
      <c r="G20" s="32">
        <v>0</v>
      </c>
      <c r="H20" s="33">
        <v>0</v>
      </c>
      <c r="I20" s="34">
        <v>0</v>
      </c>
      <c r="J20" s="34">
        <f t="shared" si="2"/>
        <v>0</v>
      </c>
      <c r="K20" s="32">
        <v>0</v>
      </c>
      <c r="L20" s="33">
        <v>0</v>
      </c>
      <c r="M20" s="34">
        <v>0</v>
      </c>
      <c r="N20" s="34">
        <f t="shared" si="3"/>
        <v>0</v>
      </c>
      <c r="O20" s="32">
        <v>0</v>
      </c>
      <c r="P20" s="33">
        <v>3</v>
      </c>
      <c r="Q20" s="34">
        <v>3</v>
      </c>
      <c r="R20" s="34">
        <f t="shared" si="4"/>
        <v>0</v>
      </c>
      <c r="S20" s="32">
        <v>0</v>
      </c>
      <c r="T20" s="33">
        <v>0</v>
      </c>
      <c r="U20" s="34">
        <v>0</v>
      </c>
      <c r="V20" s="34">
        <f t="shared" si="5"/>
        <v>0</v>
      </c>
      <c r="W20" s="32">
        <v>0</v>
      </c>
      <c r="X20" s="33">
        <v>2</v>
      </c>
      <c r="Y20" s="34">
        <v>2</v>
      </c>
      <c r="Z20" s="34">
        <f t="shared" si="6"/>
        <v>0</v>
      </c>
      <c r="AA20" s="32">
        <v>0</v>
      </c>
      <c r="AB20" s="33">
        <v>2</v>
      </c>
      <c r="AC20" s="34">
        <v>2</v>
      </c>
      <c r="AD20" s="34">
        <f t="shared" si="7"/>
        <v>0</v>
      </c>
      <c r="AE20" s="32">
        <v>0</v>
      </c>
      <c r="AF20" s="33">
        <v>2</v>
      </c>
      <c r="AG20" s="34">
        <v>0</v>
      </c>
      <c r="AH20" s="34">
        <f t="shared" si="8"/>
        <v>2</v>
      </c>
      <c r="AI20" s="32">
        <v>0</v>
      </c>
      <c r="AJ20" s="33">
        <v>0</v>
      </c>
      <c r="AK20" s="34">
        <v>0</v>
      </c>
      <c r="AL20" s="34">
        <f t="shared" si="9"/>
        <v>0</v>
      </c>
      <c r="AM20" s="32">
        <v>0</v>
      </c>
      <c r="AN20" s="33">
        <v>0</v>
      </c>
      <c r="AO20" s="34">
        <v>0</v>
      </c>
      <c r="AP20" s="34">
        <f t="shared" si="10"/>
        <v>0</v>
      </c>
      <c r="AQ20" s="32">
        <v>1</v>
      </c>
      <c r="AR20" s="33">
        <v>0</v>
      </c>
      <c r="AS20" s="34">
        <v>0</v>
      </c>
      <c r="AT20" s="34">
        <f t="shared" si="11"/>
        <v>0</v>
      </c>
      <c r="AU20" s="32">
        <v>0</v>
      </c>
      <c r="AV20" s="33">
        <v>0</v>
      </c>
      <c r="AW20" s="34">
        <v>0</v>
      </c>
      <c r="AX20" s="34">
        <f t="shared" si="12"/>
        <v>0</v>
      </c>
      <c r="AY20" s="32">
        <v>0</v>
      </c>
      <c r="AZ20" s="33">
        <v>2</v>
      </c>
      <c r="BA20" s="34">
        <v>2</v>
      </c>
      <c r="BB20" s="34">
        <f t="shared" si="13"/>
        <v>0</v>
      </c>
      <c r="BC20" s="32">
        <v>0</v>
      </c>
      <c r="BD20" s="33">
        <v>0</v>
      </c>
      <c r="BE20" s="34">
        <v>0</v>
      </c>
      <c r="BF20" s="34">
        <f t="shared" si="14"/>
        <v>0</v>
      </c>
      <c r="BG20" s="32">
        <v>0</v>
      </c>
      <c r="BH20" s="33">
        <v>1</v>
      </c>
      <c r="BI20" s="34">
        <v>0</v>
      </c>
      <c r="BJ20" s="34">
        <f t="shared" si="15"/>
        <v>1</v>
      </c>
      <c r="BK20" s="32">
        <v>0</v>
      </c>
      <c r="BL20" s="33">
        <v>0</v>
      </c>
      <c r="BM20" s="34">
        <v>0</v>
      </c>
      <c r="BN20" s="34">
        <f t="shared" si="16"/>
        <v>0</v>
      </c>
      <c r="BO20" s="32">
        <v>0</v>
      </c>
      <c r="BP20" s="33">
        <v>2</v>
      </c>
      <c r="BQ20" s="34">
        <v>1</v>
      </c>
      <c r="BR20" s="34">
        <f t="shared" si="17"/>
        <v>1</v>
      </c>
      <c r="BS20" s="32">
        <v>0</v>
      </c>
      <c r="BT20" s="33">
        <f t="shared" si="18"/>
        <v>13</v>
      </c>
      <c r="BU20" s="34">
        <f t="shared" si="19"/>
        <v>4</v>
      </c>
      <c r="BV20" s="34">
        <f t="shared" si="20"/>
        <v>1</v>
      </c>
      <c r="BW20" s="34">
        <f t="shared" si="21"/>
        <v>0.76470588235294112</v>
      </c>
      <c r="BX20" s="34">
        <f t="shared" si="22"/>
        <v>0.9285714285714286</v>
      </c>
      <c r="BY20" s="32">
        <f t="shared" si="23"/>
        <v>0.83870967741935487</v>
      </c>
    </row>
    <row r="21" spans="1:84" x14ac:dyDescent="0.35">
      <c r="A21" s="61" t="s">
        <v>10</v>
      </c>
      <c r="B21" s="108"/>
      <c r="C21" s="35" t="s">
        <v>29</v>
      </c>
      <c r="D21" s="36">
        <v>2</v>
      </c>
      <c r="E21" s="37">
        <v>2</v>
      </c>
      <c r="F21" s="37">
        <f t="shared" si="1"/>
        <v>0</v>
      </c>
      <c r="G21" s="35">
        <v>0</v>
      </c>
      <c r="H21" s="36">
        <v>0</v>
      </c>
      <c r="I21" s="37">
        <v>0</v>
      </c>
      <c r="J21" s="37">
        <f t="shared" si="2"/>
        <v>0</v>
      </c>
      <c r="K21" s="35">
        <v>0</v>
      </c>
      <c r="L21" s="36">
        <v>0</v>
      </c>
      <c r="M21" s="37">
        <v>0</v>
      </c>
      <c r="N21" s="37">
        <f t="shared" si="3"/>
        <v>0</v>
      </c>
      <c r="O21" s="35">
        <v>0</v>
      </c>
      <c r="P21" s="36">
        <v>3</v>
      </c>
      <c r="Q21" s="37">
        <v>3</v>
      </c>
      <c r="R21" s="37">
        <f t="shared" si="4"/>
        <v>0</v>
      </c>
      <c r="S21" s="35">
        <v>0</v>
      </c>
      <c r="T21" s="36">
        <v>0</v>
      </c>
      <c r="U21" s="37">
        <v>0</v>
      </c>
      <c r="V21" s="37">
        <f t="shared" si="5"/>
        <v>0</v>
      </c>
      <c r="W21" s="35">
        <v>0</v>
      </c>
      <c r="X21" s="36">
        <v>1</v>
      </c>
      <c r="Y21" s="37">
        <v>1</v>
      </c>
      <c r="Z21" s="37">
        <f t="shared" si="6"/>
        <v>0</v>
      </c>
      <c r="AA21" s="35">
        <v>0</v>
      </c>
      <c r="AB21" s="36">
        <v>1</v>
      </c>
      <c r="AC21" s="37">
        <v>1</v>
      </c>
      <c r="AD21" s="37">
        <f t="shared" si="7"/>
        <v>0</v>
      </c>
      <c r="AE21" s="35">
        <v>0</v>
      </c>
      <c r="AF21" s="36">
        <v>1</v>
      </c>
      <c r="AG21" s="37">
        <v>0</v>
      </c>
      <c r="AH21" s="37">
        <f t="shared" si="8"/>
        <v>1</v>
      </c>
      <c r="AI21" s="35">
        <v>0</v>
      </c>
      <c r="AJ21" s="36">
        <v>0</v>
      </c>
      <c r="AK21" s="37">
        <v>0</v>
      </c>
      <c r="AL21" s="37">
        <f t="shared" si="9"/>
        <v>0</v>
      </c>
      <c r="AM21" s="35">
        <v>0</v>
      </c>
      <c r="AN21" s="36">
        <v>0</v>
      </c>
      <c r="AO21" s="37">
        <v>0</v>
      </c>
      <c r="AP21" s="37">
        <f t="shared" si="10"/>
        <v>0</v>
      </c>
      <c r="AQ21" s="35">
        <v>1</v>
      </c>
      <c r="AR21" s="36">
        <v>0</v>
      </c>
      <c r="AS21" s="37">
        <v>0</v>
      </c>
      <c r="AT21" s="37">
        <f t="shared" si="11"/>
        <v>0</v>
      </c>
      <c r="AU21" s="35">
        <v>0</v>
      </c>
      <c r="AV21" s="36">
        <v>0</v>
      </c>
      <c r="AW21" s="37">
        <v>0</v>
      </c>
      <c r="AX21" s="37">
        <f t="shared" si="12"/>
        <v>0</v>
      </c>
      <c r="AY21" s="35">
        <v>0</v>
      </c>
      <c r="AZ21" s="36">
        <v>1</v>
      </c>
      <c r="BA21" s="37">
        <v>1</v>
      </c>
      <c r="BB21" s="37">
        <f t="shared" si="13"/>
        <v>0</v>
      </c>
      <c r="BC21" s="35">
        <v>0</v>
      </c>
      <c r="BD21" s="36">
        <v>0</v>
      </c>
      <c r="BE21" s="37">
        <v>0</v>
      </c>
      <c r="BF21" s="37">
        <f t="shared" si="14"/>
        <v>0</v>
      </c>
      <c r="BG21" s="35">
        <v>0</v>
      </c>
      <c r="BH21" s="36">
        <v>0</v>
      </c>
      <c r="BI21" s="37">
        <v>0</v>
      </c>
      <c r="BJ21" s="37">
        <f t="shared" si="15"/>
        <v>0</v>
      </c>
      <c r="BK21" s="35">
        <v>0</v>
      </c>
      <c r="BL21" s="36">
        <v>0</v>
      </c>
      <c r="BM21" s="37">
        <v>0</v>
      </c>
      <c r="BN21" s="37">
        <f t="shared" si="16"/>
        <v>0</v>
      </c>
      <c r="BO21" s="35">
        <v>0</v>
      </c>
      <c r="BP21" s="36">
        <v>1</v>
      </c>
      <c r="BQ21" s="37">
        <v>0</v>
      </c>
      <c r="BR21" s="37">
        <f t="shared" si="17"/>
        <v>1</v>
      </c>
      <c r="BS21" s="35">
        <v>0</v>
      </c>
      <c r="BT21" s="36">
        <f t="shared" si="18"/>
        <v>8</v>
      </c>
      <c r="BU21" s="37">
        <f t="shared" si="19"/>
        <v>2</v>
      </c>
      <c r="BV21" s="37">
        <f t="shared" si="20"/>
        <v>1</v>
      </c>
      <c r="BW21" s="37">
        <f t="shared" si="21"/>
        <v>0.8</v>
      </c>
      <c r="BX21" s="37">
        <f t="shared" si="22"/>
        <v>0.88888888888888884</v>
      </c>
      <c r="BY21" s="35">
        <f t="shared" si="23"/>
        <v>0.8421052631578948</v>
      </c>
    </row>
    <row r="22" spans="1:84" x14ac:dyDescent="0.35">
      <c r="A22" s="61" t="s">
        <v>10</v>
      </c>
      <c r="B22" s="108"/>
      <c r="C22" s="35" t="s">
        <v>30</v>
      </c>
      <c r="D22" s="36">
        <v>2</v>
      </c>
      <c r="E22" s="37">
        <v>2</v>
      </c>
      <c r="F22" s="37">
        <f t="shared" si="1"/>
        <v>0</v>
      </c>
      <c r="G22" s="35">
        <v>0</v>
      </c>
      <c r="H22" s="36">
        <v>0</v>
      </c>
      <c r="I22" s="37">
        <v>0</v>
      </c>
      <c r="J22" s="37">
        <f t="shared" si="2"/>
        <v>0</v>
      </c>
      <c r="K22" s="35">
        <v>0</v>
      </c>
      <c r="L22" s="36">
        <v>0</v>
      </c>
      <c r="M22" s="37">
        <v>0</v>
      </c>
      <c r="N22" s="37">
        <f t="shared" si="3"/>
        <v>0</v>
      </c>
      <c r="O22" s="35">
        <v>0</v>
      </c>
      <c r="P22" s="36">
        <v>3</v>
      </c>
      <c r="Q22" s="37">
        <v>3</v>
      </c>
      <c r="R22" s="37">
        <f t="shared" si="4"/>
        <v>0</v>
      </c>
      <c r="S22" s="35">
        <v>0</v>
      </c>
      <c r="T22" s="36">
        <v>0</v>
      </c>
      <c r="U22" s="37">
        <v>0</v>
      </c>
      <c r="V22" s="37">
        <f t="shared" si="5"/>
        <v>0</v>
      </c>
      <c r="W22" s="35">
        <v>3</v>
      </c>
      <c r="X22" s="36">
        <v>1</v>
      </c>
      <c r="Y22" s="37">
        <v>1</v>
      </c>
      <c r="Z22" s="37">
        <f t="shared" si="6"/>
        <v>0</v>
      </c>
      <c r="AA22" s="35">
        <v>0</v>
      </c>
      <c r="AB22" s="36">
        <v>1</v>
      </c>
      <c r="AC22" s="37">
        <v>1</v>
      </c>
      <c r="AD22" s="37">
        <f t="shared" si="7"/>
        <v>0</v>
      </c>
      <c r="AE22" s="35">
        <v>0</v>
      </c>
      <c r="AF22" s="36">
        <v>1</v>
      </c>
      <c r="AG22" s="37">
        <v>1</v>
      </c>
      <c r="AH22" s="37">
        <f t="shared" si="8"/>
        <v>0</v>
      </c>
      <c r="AI22" s="35">
        <v>0</v>
      </c>
      <c r="AJ22" s="36">
        <v>0</v>
      </c>
      <c r="AK22" s="37">
        <v>0</v>
      </c>
      <c r="AL22" s="37">
        <f t="shared" si="9"/>
        <v>0</v>
      </c>
      <c r="AM22" s="35">
        <v>0</v>
      </c>
      <c r="AN22" s="36">
        <v>0</v>
      </c>
      <c r="AO22" s="37">
        <v>0</v>
      </c>
      <c r="AP22" s="37">
        <f t="shared" si="10"/>
        <v>0</v>
      </c>
      <c r="AQ22" s="35">
        <v>1</v>
      </c>
      <c r="AR22" s="36">
        <v>0</v>
      </c>
      <c r="AS22" s="37">
        <v>0</v>
      </c>
      <c r="AT22" s="37">
        <f t="shared" si="11"/>
        <v>0</v>
      </c>
      <c r="AU22" s="35">
        <v>0</v>
      </c>
      <c r="AV22" s="36">
        <v>0</v>
      </c>
      <c r="AW22" s="37">
        <v>0</v>
      </c>
      <c r="AX22" s="37">
        <f t="shared" si="12"/>
        <v>0</v>
      </c>
      <c r="AY22" s="35">
        <v>0</v>
      </c>
      <c r="AZ22" s="36">
        <v>1</v>
      </c>
      <c r="BA22" s="37">
        <v>1</v>
      </c>
      <c r="BB22" s="37">
        <f t="shared" si="13"/>
        <v>0</v>
      </c>
      <c r="BC22" s="35">
        <v>0</v>
      </c>
      <c r="BD22" s="36">
        <v>0</v>
      </c>
      <c r="BE22" s="37">
        <v>0</v>
      </c>
      <c r="BF22" s="37">
        <f t="shared" si="14"/>
        <v>0</v>
      </c>
      <c r="BG22" s="35">
        <v>0</v>
      </c>
      <c r="BH22" s="36">
        <v>0</v>
      </c>
      <c r="BI22" s="37">
        <v>0</v>
      </c>
      <c r="BJ22" s="37">
        <f t="shared" si="15"/>
        <v>0</v>
      </c>
      <c r="BK22" s="35">
        <v>0</v>
      </c>
      <c r="BL22" s="36">
        <v>0</v>
      </c>
      <c r="BM22" s="37">
        <v>0</v>
      </c>
      <c r="BN22" s="37">
        <f t="shared" si="16"/>
        <v>0</v>
      </c>
      <c r="BO22" s="35">
        <v>0</v>
      </c>
      <c r="BP22" s="36">
        <v>1</v>
      </c>
      <c r="BQ22" s="37">
        <v>0</v>
      </c>
      <c r="BR22" s="37">
        <f t="shared" si="17"/>
        <v>1</v>
      </c>
      <c r="BS22" s="35">
        <v>0</v>
      </c>
      <c r="BT22" s="36">
        <f t="shared" si="18"/>
        <v>9</v>
      </c>
      <c r="BU22" s="37">
        <f t="shared" si="19"/>
        <v>1</v>
      </c>
      <c r="BV22" s="37">
        <f t="shared" si="20"/>
        <v>4</v>
      </c>
      <c r="BW22" s="37">
        <f t="shared" si="21"/>
        <v>0.9</v>
      </c>
      <c r="BX22" s="37">
        <f t="shared" si="22"/>
        <v>0.69230769230769229</v>
      </c>
      <c r="BY22" s="35">
        <f t="shared" si="23"/>
        <v>0.78260869565217384</v>
      </c>
    </row>
    <row r="23" spans="1:84" x14ac:dyDescent="0.35">
      <c r="A23" s="62" t="s">
        <v>10</v>
      </c>
      <c r="B23" s="108"/>
      <c r="C23" s="38" t="s">
        <v>31</v>
      </c>
      <c r="D23" s="39">
        <v>4</v>
      </c>
      <c r="E23" s="40">
        <v>4</v>
      </c>
      <c r="F23" s="40">
        <f t="shared" si="1"/>
        <v>0</v>
      </c>
      <c r="G23" s="38">
        <v>0</v>
      </c>
      <c r="H23" s="39">
        <v>0</v>
      </c>
      <c r="I23" s="40">
        <v>0</v>
      </c>
      <c r="J23" s="40">
        <f t="shared" si="2"/>
        <v>0</v>
      </c>
      <c r="K23" s="38">
        <v>0</v>
      </c>
      <c r="L23" s="39">
        <v>0</v>
      </c>
      <c r="M23" s="40">
        <v>0</v>
      </c>
      <c r="N23" s="40">
        <f t="shared" si="3"/>
        <v>0</v>
      </c>
      <c r="O23" s="38">
        <v>0</v>
      </c>
      <c r="P23" s="39">
        <v>0</v>
      </c>
      <c r="Q23" s="40">
        <v>0</v>
      </c>
      <c r="R23" s="40">
        <f t="shared" si="4"/>
        <v>0</v>
      </c>
      <c r="S23" s="38">
        <v>0</v>
      </c>
      <c r="T23" s="39">
        <v>0</v>
      </c>
      <c r="U23" s="40">
        <v>0</v>
      </c>
      <c r="V23" s="40">
        <f t="shared" si="5"/>
        <v>0</v>
      </c>
      <c r="W23" s="38">
        <v>0</v>
      </c>
      <c r="X23" s="39">
        <v>4</v>
      </c>
      <c r="Y23" s="40">
        <v>4</v>
      </c>
      <c r="Z23" s="40">
        <f t="shared" si="6"/>
        <v>0</v>
      </c>
      <c r="AA23" s="38">
        <v>0</v>
      </c>
      <c r="AB23" s="39">
        <v>1</v>
      </c>
      <c r="AC23" s="40">
        <v>1</v>
      </c>
      <c r="AD23" s="40">
        <f t="shared" si="7"/>
        <v>0</v>
      </c>
      <c r="AE23" s="38">
        <v>0</v>
      </c>
      <c r="AF23" s="39">
        <v>2</v>
      </c>
      <c r="AG23" s="40">
        <v>0</v>
      </c>
      <c r="AH23" s="40">
        <f t="shared" si="8"/>
        <v>2</v>
      </c>
      <c r="AI23" s="38">
        <v>0</v>
      </c>
      <c r="AJ23" s="39">
        <v>1</v>
      </c>
      <c r="AK23" s="40">
        <v>1</v>
      </c>
      <c r="AL23" s="40">
        <f t="shared" si="9"/>
        <v>0</v>
      </c>
      <c r="AM23" s="38">
        <v>1</v>
      </c>
      <c r="AN23" s="39">
        <v>1</v>
      </c>
      <c r="AO23" s="40">
        <v>1</v>
      </c>
      <c r="AP23" s="40">
        <f t="shared" si="10"/>
        <v>0</v>
      </c>
      <c r="AQ23" s="38">
        <v>0</v>
      </c>
      <c r="AR23" s="39">
        <v>0</v>
      </c>
      <c r="AS23" s="40">
        <v>0</v>
      </c>
      <c r="AT23" s="40">
        <f t="shared" si="11"/>
        <v>0</v>
      </c>
      <c r="AU23" s="38">
        <v>1</v>
      </c>
      <c r="AV23" s="39">
        <v>0</v>
      </c>
      <c r="AW23" s="40">
        <v>0</v>
      </c>
      <c r="AX23" s="40">
        <f t="shared" si="12"/>
        <v>0</v>
      </c>
      <c r="AY23" s="38">
        <v>0</v>
      </c>
      <c r="AZ23" s="39">
        <v>3</v>
      </c>
      <c r="BA23" s="40">
        <v>2</v>
      </c>
      <c r="BB23" s="40">
        <f t="shared" si="13"/>
        <v>1</v>
      </c>
      <c r="BC23" s="38">
        <v>1</v>
      </c>
      <c r="BD23" s="39">
        <v>0</v>
      </c>
      <c r="BE23" s="40">
        <v>0</v>
      </c>
      <c r="BF23" s="40">
        <f t="shared" si="14"/>
        <v>0</v>
      </c>
      <c r="BG23" s="38">
        <v>0</v>
      </c>
      <c r="BH23" s="39">
        <v>1</v>
      </c>
      <c r="BI23" s="40">
        <v>0</v>
      </c>
      <c r="BJ23" s="40">
        <f t="shared" si="15"/>
        <v>1</v>
      </c>
      <c r="BK23" s="38">
        <v>0</v>
      </c>
      <c r="BL23" s="39">
        <v>0</v>
      </c>
      <c r="BM23" s="40">
        <v>0</v>
      </c>
      <c r="BN23" s="40">
        <f t="shared" si="16"/>
        <v>0</v>
      </c>
      <c r="BO23" s="38">
        <v>0</v>
      </c>
      <c r="BP23" s="39">
        <v>1</v>
      </c>
      <c r="BQ23" s="40">
        <v>0</v>
      </c>
      <c r="BR23" s="40">
        <f t="shared" si="17"/>
        <v>1</v>
      </c>
      <c r="BS23" s="38">
        <v>0</v>
      </c>
      <c r="BT23" s="39">
        <f t="shared" si="18"/>
        <v>13</v>
      </c>
      <c r="BU23" s="40">
        <f t="shared" si="19"/>
        <v>5</v>
      </c>
      <c r="BV23" s="40">
        <f t="shared" si="20"/>
        <v>3</v>
      </c>
      <c r="BW23" s="40">
        <f t="shared" si="21"/>
        <v>0.72222222222222221</v>
      </c>
      <c r="BX23" s="40">
        <f t="shared" si="22"/>
        <v>0.8125</v>
      </c>
      <c r="BY23" s="38">
        <f t="shared" si="23"/>
        <v>0.76470588235294112</v>
      </c>
    </row>
    <row r="24" spans="1:84" x14ac:dyDescent="0.35">
      <c r="A24" s="62" t="s">
        <v>10</v>
      </c>
      <c r="B24" s="108"/>
      <c r="C24" s="38" t="s">
        <v>32</v>
      </c>
      <c r="D24" s="39">
        <v>4</v>
      </c>
      <c r="E24" s="40">
        <v>4</v>
      </c>
      <c r="F24" s="40">
        <f t="shared" si="1"/>
        <v>0</v>
      </c>
      <c r="G24" s="38">
        <v>0</v>
      </c>
      <c r="H24" s="39">
        <v>0</v>
      </c>
      <c r="I24" s="40">
        <v>0</v>
      </c>
      <c r="J24" s="40">
        <v>0</v>
      </c>
      <c r="K24" s="38">
        <v>0</v>
      </c>
      <c r="L24" s="39">
        <v>0</v>
      </c>
      <c r="M24" s="40">
        <v>0</v>
      </c>
      <c r="N24" s="40">
        <f t="shared" si="3"/>
        <v>0</v>
      </c>
      <c r="O24" s="38">
        <v>0</v>
      </c>
      <c r="P24" s="39">
        <v>0</v>
      </c>
      <c r="Q24" s="40">
        <v>0</v>
      </c>
      <c r="R24" s="40">
        <f t="shared" si="4"/>
        <v>0</v>
      </c>
      <c r="S24" s="38">
        <v>0</v>
      </c>
      <c r="T24" s="39">
        <v>0</v>
      </c>
      <c r="U24" s="40">
        <v>0</v>
      </c>
      <c r="V24" s="40">
        <f t="shared" si="5"/>
        <v>0</v>
      </c>
      <c r="W24" s="38">
        <v>0</v>
      </c>
      <c r="X24" s="39">
        <v>4</v>
      </c>
      <c r="Y24" s="40">
        <v>4</v>
      </c>
      <c r="Z24" s="40">
        <f t="shared" si="6"/>
        <v>0</v>
      </c>
      <c r="AA24" s="38">
        <v>0</v>
      </c>
      <c r="AB24" s="39">
        <v>1</v>
      </c>
      <c r="AC24" s="40">
        <v>1</v>
      </c>
      <c r="AD24" s="40">
        <f t="shared" si="7"/>
        <v>0</v>
      </c>
      <c r="AE24" s="38">
        <v>0</v>
      </c>
      <c r="AF24" s="39">
        <v>2</v>
      </c>
      <c r="AG24" s="40">
        <v>2</v>
      </c>
      <c r="AH24" s="40">
        <f t="shared" si="8"/>
        <v>0</v>
      </c>
      <c r="AI24" s="38">
        <v>2</v>
      </c>
      <c r="AJ24" s="39">
        <v>1</v>
      </c>
      <c r="AK24" s="40">
        <v>1</v>
      </c>
      <c r="AL24" s="40">
        <f t="shared" si="9"/>
        <v>0</v>
      </c>
      <c r="AM24" s="38">
        <v>0</v>
      </c>
      <c r="AN24" s="39">
        <v>1</v>
      </c>
      <c r="AO24" s="40">
        <v>1</v>
      </c>
      <c r="AP24" s="40">
        <f t="shared" si="10"/>
        <v>0</v>
      </c>
      <c r="AQ24" s="38">
        <v>0</v>
      </c>
      <c r="AR24" s="39">
        <v>0</v>
      </c>
      <c r="AS24" s="40">
        <v>0</v>
      </c>
      <c r="AT24" s="40">
        <f t="shared" si="11"/>
        <v>0</v>
      </c>
      <c r="AU24" s="38">
        <v>1</v>
      </c>
      <c r="AV24" s="39">
        <v>0</v>
      </c>
      <c r="AW24" s="40">
        <v>0</v>
      </c>
      <c r="AX24" s="40">
        <f t="shared" si="12"/>
        <v>0</v>
      </c>
      <c r="AY24" s="38">
        <v>0</v>
      </c>
      <c r="AZ24" s="39">
        <v>3</v>
      </c>
      <c r="BA24" s="40">
        <v>3</v>
      </c>
      <c r="BB24" s="40">
        <f t="shared" si="13"/>
        <v>0</v>
      </c>
      <c r="BC24" s="38">
        <v>0</v>
      </c>
      <c r="BD24" s="39">
        <v>0</v>
      </c>
      <c r="BE24" s="40">
        <v>0</v>
      </c>
      <c r="BF24" s="40">
        <f t="shared" si="14"/>
        <v>0</v>
      </c>
      <c r="BG24" s="38">
        <v>0</v>
      </c>
      <c r="BH24" s="39">
        <v>1</v>
      </c>
      <c r="BI24" s="40">
        <v>1</v>
      </c>
      <c r="BJ24" s="40">
        <f t="shared" si="15"/>
        <v>0</v>
      </c>
      <c r="BK24" s="38">
        <v>0</v>
      </c>
      <c r="BL24" s="39">
        <v>0</v>
      </c>
      <c r="BM24" s="40">
        <v>0</v>
      </c>
      <c r="BN24" s="40">
        <f t="shared" si="16"/>
        <v>0</v>
      </c>
      <c r="BO24" s="38">
        <v>0</v>
      </c>
      <c r="BP24" s="39">
        <v>1</v>
      </c>
      <c r="BQ24" s="40">
        <v>0</v>
      </c>
      <c r="BR24" s="40">
        <f t="shared" si="17"/>
        <v>1</v>
      </c>
      <c r="BS24" s="38">
        <v>0</v>
      </c>
      <c r="BT24" s="39">
        <f t="shared" si="18"/>
        <v>17</v>
      </c>
      <c r="BU24" s="40">
        <f t="shared" si="19"/>
        <v>1</v>
      </c>
      <c r="BV24" s="40">
        <f t="shared" si="20"/>
        <v>3</v>
      </c>
      <c r="BW24" s="40">
        <f t="shared" si="21"/>
        <v>0.94444444444444442</v>
      </c>
      <c r="BX24" s="40">
        <f t="shared" si="22"/>
        <v>0.85</v>
      </c>
      <c r="BY24" s="38">
        <f t="shared" si="23"/>
        <v>0.89473684210526316</v>
      </c>
    </row>
    <row r="25" spans="1:84" ht="15" customHeight="1" x14ac:dyDescent="0.35">
      <c r="A25" s="63" t="s">
        <v>10</v>
      </c>
      <c r="B25" s="108"/>
      <c r="C25" s="41" t="s">
        <v>33</v>
      </c>
      <c r="D25" s="42">
        <v>1</v>
      </c>
      <c r="E25" s="43">
        <v>1</v>
      </c>
      <c r="F25" s="43">
        <f t="shared" si="1"/>
        <v>0</v>
      </c>
      <c r="G25" s="41">
        <v>0</v>
      </c>
      <c r="H25" s="42">
        <v>0</v>
      </c>
      <c r="I25" s="43">
        <v>0</v>
      </c>
      <c r="J25" s="43">
        <f t="shared" si="2"/>
        <v>0</v>
      </c>
      <c r="K25" s="41">
        <v>0</v>
      </c>
      <c r="L25" s="42">
        <v>0</v>
      </c>
      <c r="M25" s="43">
        <v>0</v>
      </c>
      <c r="N25" s="43">
        <f t="shared" si="3"/>
        <v>0</v>
      </c>
      <c r="O25" s="41">
        <v>0</v>
      </c>
      <c r="P25" s="42">
        <v>0</v>
      </c>
      <c r="Q25" s="43">
        <v>0</v>
      </c>
      <c r="R25" s="43">
        <f t="shared" si="4"/>
        <v>0</v>
      </c>
      <c r="S25" s="41">
        <v>0</v>
      </c>
      <c r="T25" s="42">
        <v>0</v>
      </c>
      <c r="U25" s="43">
        <v>0</v>
      </c>
      <c r="V25" s="43">
        <f t="shared" si="5"/>
        <v>0</v>
      </c>
      <c r="W25" s="41">
        <v>0</v>
      </c>
      <c r="X25" s="42">
        <v>2</v>
      </c>
      <c r="Y25" s="43">
        <v>2</v>
      </c>
      <c r="Z25" s="43">
        <f t="shared" si="6"/>
        <v>0</v>
      </c>
      <c r="AA25" s="41">
        <v>0</v>
      </c>
      <c r="AB25" s="42">
        <v>0</v>
      </c>
      <c r="AC25" s="43">
        <v>0</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0</v>
      </c>
      <c r="AS25" s="43">
        <v>0</v>
      </c>
      <c r="AT25" s="43">
        <f t="shared" si="11"/>
        <v>0</v>
      </c>
      <c r="AU25" s="41">
        <v>0</v>
      </c>
      <c r="AV25" s="42">
        <v>0</v>
      </c>
      <c r="AW25" s="43">
        <v>0</v>
      </c>
      <c r="AX25" s="43">
        <f t="shared" si="12"/>
        <v>0</v>
      </c>
      <c r="AY25" s="41">
        <v>0</v>
      </c>
      <c r="AZ25" s="42">
        <v>0</v>
      </c>
      <c r="BA25" s="43">
        <v>0</v>
      </c>
      <c r="BB25" s="43">
        <f t="shared" si="13"/>
        <v>0</v>
      </c>
      <c r="BC25" s="41">
        <v>0</v>
      </c>
      <c r="BD25" s="42">
        <v>2</v>
      </c>
      <c r="BE25" s="43">
        <v>1</v>
      </c>
      <c r="BF25" s="43">
        <f t="shared" si="14"/>
        <v>1</v>
      </c>
      <c r="BG25" s="41">
        <v>0</v>
      </c>
      <c r="BH25" s="42">
        <v>0</v>
      </c>
      <c r="BI25" s="43">
        <v>0</v>
      </c>
      <c r="BJ25" s="43">
        <f t="shared" si="15"/>
        <v>0</v>
      </c>
      <c r="BK25" s="41">
        <v>0</v>
      </c>
      <c r="BL25" s="42">
        <v>0</v>
      </c>
      <c r="BM25" s="43">
        <v>0</v>
      </c>
      <c r="BN25" s="43">
        <f t="shared" si="16"/>
        <v>0</v>
      </c>
      <c r="BO25" s="41">
        <v>0</v>
      </c>
      <c r="BP25" s="42">
        <v>0</v>
      </c>
      <c r="BQ25" s="43">
        <v>0</v>
      </c>
      <c r="BR25" s="43">
        <f t="shared" si="17"/>
        <v>0</v>
      </c>
      <c r="BS25" s="41">
        <v>0</v>
      </c>
      <c r="BT25" s="42">
        <f t="shared" si="18"/>
        <v>6</v>
      </c>
      <c r="BU25" s="43">
        <f t="shared" si="19"/>
        <v>1</v>
      </c>
      <c r="BV25" s="43">
        <f t="shared" si="20"/>
        <v>0</v>
      </c>
      <c r="BW25" s="43">
        <f t="shared" si="21"/>
        <v>0.8571428571428571</v>
      </c>
      <c r="BX25" s="43">
        <f t="shared" si="22"/>
        <v>1</v>
      </c>
      <c r="BY25" s="41">
        <f t="shared" si="23"/>
        <v>0.92307692307692302</v>
      </c>
    </row>
    <row r="26" spans="1:84" x14ac:dyDescent="0.35">
      <c r="A26" s="63" t="s">
        <v>10</v>
      </c>
      <c r="B26" s="108"/>
      <c r="C26" s="41" t="s">
        <v>34</v>
      </c>
      <c r="D26" s="42">
        <v>1</v>
      </c>
      <c r="E26" s="43">
        <v>1</v>
      </c>
      <c r="F26" s="43">
        <f t="shared" si="1"/>
        <v>0</v>
      </c>
      <c r="G26" s="41">
        <v>0</v>
      </c>
      <c r="H26" s="42">
        <v>0</v>
      </c>
      <c r="I26" s="43">
        <v>0</v>
      </c>
      <c r="J26" s="43">
        <f t="shared" si="2"/>
        <v>0</v>
      </c>
      <c r="K26" s="41">
        <v>0</v>
      </c>
      <c r="L26" s="42">
        <v>0</v>
      </c>
      <c r="M26" s="43">
        <v>0</v>
      </c>
      <c r="N26" s="43">
        <f t="shared" si="3"/>
        <v>0</v>
      </c>
      <c r="O26" s="41">
        <v>0</v>
      </c>
      <c r="P26" s="42">
        <v>0</v>
      </c>
      <c r="Q26" s="43">
        <v>0</v>
      </c>
      <c r="R26" s="43">
        <f t="shared" si="4"/>
        <v>0</v>
      </c>
      <c r="S26" s="41">
        <v>0</v>
      </c>
      <c r="T26" s="42">
        <v>0</v>
      </c>
      <c r="U26" s="43">
        <v>0</v>
      </c>
      <c r="V26" s="43">
        <f t="shared" si="5"/>
        <v>0</v>
      </c>
      <c r="W26" s="41">
        <v>0</v>
      </c>
      <c r="X26" s="42">
        <v>2</v>
      </c>
      <c r="Y26" s="43">
        <v>2</v>
      </c>
      <c r="Z26" s="43">
        <f t="shared" si="6"/>
        <v>0</v>
      </c>
      <c r="AA26" s="41">
        <v>0</v>
      </c>
      <c r="AB26" s="42">
        <v>0</v>
      </c>
      <c r="AC26" s="43">
        <v>0</v>
      </c>
      <c r="AD26" s="43">
        <f t="shared" si="7"/>
        <v>0</v>
      </c>
      <c r="AE26" s="41">
        <v>0</v>
      </c>
      <c r="AF26" s="42">
        <v>2</v>
      </c>
      <c r="AG26" s="43">
        <v>0</v>
      </c>
      <c r="AH26" s="43">
        <f t="shared" si="8"/>
        <v>2</v>
      </c>
      <c r="AI26" s="41">
        <v>0</v>
      </c>
      <c r="AJ26" s="42">
        <v>0</v>
      </c>
      <c r="AK26" s="43">
        <v>0</v>
      </c>
      <c r="AL26" s="43">
        <f t="shared" si="9"/>
        <v>0</v>
      </c>
      <c r="AM26" s="41">
        <v>0</v>
      </c>
      <c r="AN26" s="42">
        <v>0</v>
      </c>
      <c r="AO26" s="43">
        <v>0</v>
      </c>
      <c r="AP26" s="43">
        <f t="shared" si="10"/>
        <v>0</v>
      </c>
      <c r="AQ26" s="41">
        <v>0</v>
      </c>
      <c r="AR26" s="42">
        <v>0</v>
      </c>
      <c r="AS26" s="43">
        <v>0</v>
      </c>
      <c r="AT26" s="43">
        <f t="shared" si="11"/>
        <v>0</v>
      </c>
      <c r="AU26" s="41">
        <v>0</v>
      </c>
      <c r="AV26" s="42">
        <v>0</v>
      </c>
      <c r="AW26" s="43">
        <v>0</v>
      </c>
      <c r="AX26" s="43">
        <f t="shared" si="12"/>
        <v>0</v>
      </c>
      <c r="AY26" s="41">
        <v>0</v>
      </c>
      <c r="AZ26" s="42">
        <v>0</v>
      </c>
      <c r="BA26" s="43">
        <v>0</v>
      </c>
      <c r="BB26" s="43">
        <f t="shared" si="13"/>
        <v>0</v>
      </c>
      <c r="BC26" s="41">
        <v>0</v>
      </c>
      <c r="BD26" s="42">
        <v>2</v>
      </c>
      <c r="BE26" s="43">
        <v>2</v>
      </c>
      <c r="BF26" s="43">
        <f t="shared" si="14"/>
        <v>0</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5</v>
      </c>
      <c r="BU26" s="43">
        <f t="shared" si="19"/>
        <v>2</v>
      </c>
      <c r="BV26" s="43">
        <f t="shared" si="20"/>
        <v>0</v>
      </c>
      <c r="BW26" s="43">
        <f t="shared" si="21"/>
        <v>0.7142857142857143</v>
      </c>
      <c r="BX26" s="43">
        <f t="shared" si="22"/>
        <v>1</v>
      </c>
      <c r="BY26" s="41">
        <f t="shared" si="23"/>
        <v>0.83333333333333326</v>
      </c>
    </row>
    <row r="27" spans="1:84" x14ac:dyDescent="0.35">
      <c r="A27" s="47" t="s">
        <v>10</v>
      </c>
      <c r="B27" s="108"/>
      <c r="C27" s="44" t="s">
        <v>35</v>
      </c>
      <c r="D27" s="45">
        <v>2</v>
      </c>
      <c r="E27" s="46">
        <v>2</v>
      </c>
      <c r="F27" s="46">
        <f t="shared" si="1"/>
        <v>0</v>
      </c>
      <c r="G27" s="44">
        <v>0</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1</v>
      </c>
      <c r="AB27" s="45">
        <v>0</v>
      </c>
      <c r="AC27" s="46">
        <v>0</v>
      </c>
      <c r="AD27" s="46">
        <f t="shared" si="7"/>
        <v>0</v>
      </c>
      <c r="AE27" s="44">
        <v>0</v>
      </c>
      <c r="AF27" s="45">
        <v>3</v>
      </c>
      <c r="AG27" s="46">
        <v>1</v>
      </c>
      <c r="AH27" s="46">
        <f t="shared" si="8"/>
        <v>2</v>
      </c>
      <c r="AI27" s="44">
        <v>0</v>
      </c>
      <c r="AJ27" s="45">
        <v>0</v>
      </c>
      <c r="AK27" s="46">
        <v>0</v>
      </c>
      <c r="AL27" s="46">
        <f t="shared" si="9"/>
        <v>0</v>
      </c>
      <c r="AM27" s="44">
        <v>0</v>
      </c>
      <c r="AN27" s="45">
        <v>0</v>
      </c>
      <c r="AO27" s="46">
        <v>0</v>
      </c>
      <c r="AP27" s="46">
        <f t="shared" si="10"/>
        <v>0</v>
      </c>
      <c r="AQ27" s="44">
        <v>0</v>
      </c>
      <c r="AR27" s="45">
        <v>0</v>
      </c>
      <c r="AS27" s="46">
        <v>0</v>
      </c>
      <c r="AT27" s="46">
        <f t="shared" si="11"/>
        <v>0</v>
      </c>
      <c r="AU27" s="44">
        <v>0</v>
      </c>
      <c r="AV27" s="45">
        <v>1</v>
      </c>
      <c r="AW27" s="46">
        <v>0</v>
      </c>
      <c r="AX27" s="46">
        <f t="shared" si="12"/>
        <v>1</v>
      </c>
      <c r="AY27" s="44">
        <v>1</v>
      </c>
      <c r="AZ27" s="45">
        <v>1</v>
      </c>
      <c r="BA27" s="46">
        <v>1</v>
      </c>
      <c r="BB27" s="46">
        <f t="shared" si="13"/>
        <v>0</v>
      </c>
      <c r="BC27" s="44">
        <v>1</v>
      </c>
      <c r="BD27" s="45">
        <v>0</v>
      </c>
      <c r="BE27" s="46">
        <v>0</v>
      </c>
      <c r="BF27" s="46">
        <f t="shared" si="14"/>
        <v>0</v>
      </c>
      <c r="BG27" s="44">
        <v>0</v>
      </c>
      <c r="BH27" s="45">
        <v>0</v>
      </c>
      <c r="BI27" s="46">
        <v>0</v>
      </c>
      <c r="BJ27" s="46">
        <f t="shared" si="15"/>
        <v>0</v>
      </c>
      <c r="BK27" s="44">
        <v>0</v>
      </c>
      <c r="BL27" s="45">
        <v>1</v>
      </c>
      <c r="BM27" s="46">
        <v>0</v>
      </c>
      <c r="BN27" s="46">
        <f t="shared" si="16"/>
        <v>1</v>
      </c>
      <c r="BO27" s="44">
        <v>0</v>
      </c>
      <c r="BP27" s="45">
        <v>0</v>
      </c>
      <c r="BQ27" s="46">
        <v>0</v>
      </c>
      <c r="BR27" s="46">
        <f t="shared" si="17"/>
        <v>0</v>
      </c>
      <c r="BS27" s="44">
        <v>1</v>
      </c>
      <c r="BT27" s="45">
        <f t="shared" si="18"/>
        <v>13</v>
      </c>
      <c r="BU27" s="46">
        <f t="shared" si="19"/>
        <v>4</v>
      </c>
      <c r="BV27" s="46">
        <f t="shared" si="20"/>
        <v>4</v>
      </c>
      <c r="BW27" s="46">
        <f t="shared" si="21"/>
        <v>0.76470588235294112</v>
      </c>
      <c r="BX27" s="46">
        <f t="shared" si="22"/>
        <v>0.76470588235294112</v>
      </c>
      <c r="BY27" s="44">
        <f t="shared" si="23"/>
        <v>0.76470588235294124</v>
      </c>
    </row>
    <row r="28" spans="1:84" x14ac:dyDescent="0.35">
      <c r="A28" s="47" t="s">
        <v>10</v>
      </c>
      <c r="B28" s="108"/>
      <c r="C28" s="44" t="s">
        <v>36</v>
      </c>
      <c r="D28" s="45">
        <v>2</v>
      </c>
      <c r="E28" s="46">
        <v>2</v>
      </c>
      <c r="F28" s="46">
        <f t="shared" si="1"/>
        <v>0</v>
      </c>
      <c r="G28" s="44">
        <v>0</v>
      </c>
      <c r="H28" s="45">
        <v>2</v>
      </c>
      <c r="I28" s="46">
        <v>2</v>
      </c>
      <c r="J28" s="46">
        <f t="shared" si="2"/>
        <v>0</v>
      </c>
      <c r="K28" s="44">
        <v>0</v>
      </c>
      <c r="L28" s="45">
        <v>2</v>
      </c>
      <c r="M28" s="46">
        <v>2</v>
      </c>
      <c r="N28" s="46">
        <f t="shared" si="3"/>
        <v>0</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3</v>
      </c>
      <c r="AG28" s="46">
        <v>1</v>
      </c>
      <c r="AH28" s="46">
        <f t="shared" si="8"/>
        <v>2</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1</v>
      </c>
      <c r="AW28" s="46">
        <v>1</v>
      </c>
      <c r="AX28" s="46">
        <f t="shared" si="12"/>
        <v>0</v>
      </c>
      <c r="AY28" s="44">
        <v>1</v>
      </c>
      <c r="AZ28" s="45">
        <v>1</v>
      </c>
      <c r="BA28" s="46">
        <v>1</v>
      </c>
      <c r="BB28" s="46">
        <f t="shared" si="13"/>
        <v>0</v>
      </c>
      <c r="BC28" s="44">
        <v>1</v>
      </c>
      <c r="BD28" s="45">
        <v>0</v>
      </c>
      <c r="BE28" s="46">
        <v>0</v>
      </c>
      <c r="BF28" s="46">
        <f t="shared" si="14"/>
        <v>0</v>
      </c>
      <c r="BG28" s="44">
        <v>0</v>
      </c>
      <c r="BH28" s="45">
        <v>0</v>
      </c>
      <c r="BI28" s="46">
        <v>0</v>
      </c>
      <c r="BJ28" s="46">
        <f t="shared" si="15"/>
        <v>0</v>
      </c>
      <c r="BK28" s="44">
        <v>0</v>
      </c>
      <c r="BL28" s="45">
        <v>1</v>
      </c>
      <c r="BM28" s="46">
        <v>0</v>
      </c>
      <c r="BN28" s="46">
        <f t="shared" si="16"/>
        <v>1</v>
      </c>
      <c r="BO28" s="44">
        <v>0</v>
      </c>
      <c r="BP28" s="45">
        <v>0</v>
      </c>
      <c r="BQ28" s="46">
        <v>0</v>
      </c>
      <c r="BR28" s="46">
        <f t="shared" si="17"/>
        <v>0</v>
      </c>
      <c r="BS28" s="44">
        <v>0</v>
      </c>
      <c r="BT28" s="45">
        <f t="shared" si="18"/>
        <v>14</v>
      </c>
      <c r="BU28" s="46">
        <f t="shared" si="19"/>
        <v>3</v>
      </c>
      <c r="BV28" s="46">
        <f t="shared" si="20"/>
        <v>2</v>
      </c>
      <c r="BW28" s="46">
        <f t="shared" si="21"/>
        <v>0.82352941176470584</v>
      </c>
      <c r="BX28" s="46">
        <f t="shared" si="22"/>
        <v>0.875</v>
      </c>
      <c r="BY28" s="44">
        <f t="shared" si="23"/>
        <v>0.84848484848484851</v>
      </c>
    </row>
    <row r="29" spans="1:84" x14ac:dyDescent="0.35">
      <c r="A29" s="64" t="s">
        <v>10</v>
      </c>
      <c r="B29" s="108"/>
      <c r="C29" s="48" t="s">
        <v>37</v>
      </c>
      <c r="D29" s="49">
        <v>1</v>
      </c>
      <c r="E29" s="50">
        <v>1</v>
      </c>
      <c r="F29" s="50">
        <f t="shared" si="1"/>
        <v>0</v>
      </c>
      <c r="G29" s="48">
        <v>0</v>
      </c>
      <c r="H29" s="49">
        <v>0</v>
      </c>
      <c r="I29" s="50">
        <v>0</v>
      </c>
      <c r="J29" s="50">
        <f t="shared" si="2"/>
        <v>0</v>
      </c>
      <c r="K29" s="48">
        <v>0</v>
      </c>
      <c r="L29" s="49">
        <v>0</v>
      </c>
      <c r="M29" s="50">
        <v>0</v>
      </c>
      <c r="N29" s="50">
        <f t="shared" si="3"/>
        <v>0</v>
      </c>
      <c r="O29" s="48">
        <v>0</v>
      </c>
      <c r="P29" s="49">
        <v>4</v>
      </c>
      <c r="Q29" s="50">
        <v>4</v>
      </c>
      <c r="R29" s="50">
        <f t="shared" si="4"/>
        <v>0</v>
      </c>
      <c r="S29" s="48">
        <v>0</v>
      </c>
      <c r="T29" s="49">
        <v>3</v>
      </c>
      <c r="U29" s="50">
        <v>3</v>
      </c>
      <c r="V29" s="50">
        <f t="shared" si="5"/>
        <v>0</v>
      </c>
      <c r="W29" s="48">
        <v>1</v>
      </c>
      <c r="X29" s="49">
        <v>1</v>
      </c>
      <c r="Y29" s="50">
        <v>1</v>
      </c>
      <c r="Z29" s="50">
        <f t="shared" si="6"/>
        <v>0</v>
      </c>
      <c r="AA29" s="48">
        <v>0</v>
      </c>
      <c r="AB29" s="49">
        <v>0</v>
      </c>
      <c r="AC29" s="50">
        <v>0</v>
      </c>
      <c r="AD29" s="50">
        <f t="shared" si="7"/>
        <v>0</v>
      </c>
      <c r="AE29" s="48">
        <v>0</v>
      </c>
      <c r="AF29" s="49">
        <v>1</v>
      </c>
      <c r="AG29" s="50">
        <v>1</v>
      </c>
      <c r="AH29" s="50">
        <f t="shared" si="8"/>
        <v>0</v>
      </c>
      <c r="AI29" s="48">
        <v>0</v>
      </c>
      <c r="AJ29" s="49">
        <v>0</v>
      </c>
      <c r="AK29" s="50">
        <v>0</v>
      </c>
      <c r="AL29" s="50">
        <f t="shared" si="9"/>
        <v>0</v>
      </c>
      <c r="AM29" s="48">
        <v>0</v>
      </c>
      <c r="AN29" s="49">
        <v>0</v>
      </c>
      <c r="AO29" s="50">
        <v>0</v>
      </c>
      <c r="AP29" s="50">
        <f t="shared" si="10"/>
        <v>0</v>
      </c>
      <c r="AQ29" s="48">
        <v>0</v>
      </c>
      <c r="AR29" s="49">
        <v>0</v>
      </c>
      <c r="AS29" s="50">
        <v>0</v>
      </c>
      <c r="AT29" s="50">
        <f t="shared" si="11"/>
        <v>0</v>
      </c>
      <c r="AU29" s="48">
        <v>0</v>
      </c>
      <c r="AV29" s="49">
        <v>0</v>
      </c>
      <c r="AW29" s="50">
        <v>0</v>
      </c>
      <c r="AX29" s="50">
        <f t="shared" si="12"/>
        <v>0</v>
      </c>
      <c r="AY29" s="48">
        <v>0</v>
      </c>
      <c r="AZ29" s="49">
        <v>0</v>
      </c>
      <c r="BA29" s="50">
        <v>0</v>
      </c>
      <c r="BB29" s="50">
        <f t="shared" si="13"/>
        <v>0</v>
      </c>
      <c r="BC29" s="48">
        <v>0</v>
      </c>
      <c r="BD29" s="49">
        <v>0</v>
      </c>
      <c r="BE29" s="50">
        <v>0</v>
      </c>
      <c r="BF29" s="50">
        <f t="shared" si="14"/>
        <v>0</v>
      </c>
      <c r="BG29" s="48">
        <v>0</v>
      </c>
      <c r="BH29" s="49">
        <v>0</v>
      </c>
      <c r="BI29" s="50">
        <v>0</v>
      </c>
      <c r="BJ29" s="50">
        <f t="shared" si="15"/>
        <v>0</v>
      </c>
      <c r="BK29" s="48">
        <v>0</v>
      </c>
      <c r="BL29" s="49">
        <v>0</v>
      </c>
      <c r="BM29" s="50">
        <v>0</v>
      </c>
      <c r="BN29" s="50">
        <f t="shared" si="16"/>
        <v>0</v>
      </c>
      <c r="BO29" s="48">
        <v>0</v>
      </c>
      <c r="BP29" s="49">
        <v>0</v>
      </c>
      <c r="BQ29" s="50">
        <v>0</v>
      </c>
      <c r="BR29" s="50">
        <f t="shared" si="17"/>
        <v>0</v>
      </c>
      <c r="BS29" s="48">
        <v>0</v>
      </c>
      <c r="BT29" s="49">
        <f t="shared" si="18"/>
        <v>10</v>
      </c>
      <c r="BU29" s="50">
        <f t="shared" si="19"/>
        <v>0</v>
      </c>
      <c r="BV29" s="50">
        <f t="shared" si="20"/>
        <v>1</v>
      </c>
      <c r="BW29" s="50">
        <f t="shared" si="21"/>
        <v>1</v>
      </c>
      <c r="BX29" s="50">
        <f t="shared" si="22"/>
        <v>0.90909090909090906</v>
      </c>
      <c r="BY29" s="48">
        <f t="shared" si="23"/>
        <v>0.95238095238095233</v>
      </c>
    </row>
    <row r="30" spans="1:84" ht="15" thickBot="1" x14ac:dyDescent="0.4">
      <c r="A30" s="50" t="s">
        <v>10</v>
      </c>
      <c r="B30" s="108"/>
      <c r="C30" s="72" t="s">
        <v>38</v>
      </c>
      <c r="D30" s="73">
        <v>1</v>
      </c>
      <c r="E30" s="74">
        <v>1</v>
      </c>
      <c r="F30" s="74">
        <f t="shared" si="1"/>
        <v>0</v>
      </c>
      <c r="G30" s="72">
        <v>0</v>
      </c>
      <c r="H30" s="73">
        <v>0</v>
      </c>
      <c r="I30" s="74">
        <v>0</v>
      </c>
      <c r="J30" s="74">
        <f t="shared" si="2"/>
        <v>0</v>
      </c>
      <c r="K30" s="72">
        <v>0</v>
      </c>
      <c r="L30" s="73">
        <v>0</v>
      </c>
      <c r="M30" s="74">
        <v>0</v>
      </c>
      <c r="N30" s="74">
        <f t="shared" si="3"/>
        <v>0</v>
      </c>
      <c r="O30" s="72">
        <v>0</v>
      </c>
      <c r="P30" s="73">
        <v>4</v>
      </c>
      <c r="Q30" s="74">
        <v>4</v>
      </c>
      <c r="R30" s="74">
        <f t="shared" si="4"/>
        <v>0</v>
      </c>
      <c r="S30" s="72">
        <v>0</v>
      </c>
      <c r="T30" s="73">
        <v>3</v>
      </c>
      <c r="U30" s="74">
        <v>3</v>
      </c>
      <c r="V30" s="74">
        <f t="shared" si="5"/>
        <v>0</v>
      </c>
      <c r="W30" s="72">
        <v>1</v>
      </c>
      <c r="X30" s="73">
        <v>1</v>
      </c>
      <c r="Y30" s="74">
        <v>1</v>
      </c>
      <c r="Z30" s="74">
        <f t="shared" si="6"/>
        <v>0</v>
      </c>
      <c r="AA30" s="72">
        <v>0</v>
      </c>
      <c r="AB30" s="73">
        <v>0</v>
      </c>
      <c r="AC30" s="74">
        <v>0</v>
      </c>
      <c r="AD30" s="74">
        <v>0</v>
      </c>
      <c r="AE30" s="72">
        <v>0</v>
      </c>
      <c r="AF30" s="73">
        <v>1</v>
      </c>
      <c r="AG30" s="74">
        <v>1</v>
      </c>
      <c r="AH30" s="74">
        <f t="shared" si="8"/>
        <v>0</v>
      </c>
      <c r="AI30" s="72">
        <v>0</v>
      </c>
      <c r="AJ30" s="73">
        <v>0</v>
      </c>
      <c r="AK30" s="74">
        <v>0</v>
      </c>
      <c r="AL30" s="74">
        <f t="shared" si="9"/>
        <v>0</v>
      </c>
      <c r="AM30" s="72">
        <v>0</v>
      </c>
      <c r="AN30" s="73">
        <v>0</v>
      </c>
      <c r="AO30" s="74">
        <v>0</v>
      </c>
      <c r="AP30" s="74">
        <f t="shared" si="10"/>
        <v>0</v>
      </c>
      <c r="AQ30" s="72">
        <v>0</v>
      </c>
      <c r="AR30" s="73">
        <v>0</v>
      </c>
      <c r="AS30" s="74">
        <v>0</v>
      </c>
      <c r="AT30" s="74">
        <f t="shared" si="11"/>
        <v>0</v>
      </c>
      <c r="AU30" s="72">
        <v>0</v>
      </c>
      <c r="AV30" s="73">
        <v>0</v>
      </c>
      <c r="AW30" s="74">
        <v>0</v>
      </c>
      <c r="AX30" s="74">
        <f t="shared" si="12"/>
        <v>0</v>
      </c>
      <c r="AY30" s="72">
        <v>0</v>
      </c>
      <c r="AZ30" s="73">
        <v>0</v>
      </c>
      <c r="BA30" s="74">
        <v>0</v>
      </c>
      <c r="BB30" s="74">
        <f t="shared" si="13"/>
        <v>0</v>
      </c>
      <c r="BC30" s="72">
        <v>0</v>
      </c>
      <c r="BD30" s="73">
        <v>0</v>
      </c>
      <c r="BE30" s="74">
        <v>0</v>
      </c>
      <c r="BF30" s="74">
        <f t="shared" si="14"/>
        <v>0</v>
      </c>
      <c r="BG30" s="72">
        <v>0</v>
      </c>
      <c r="BH30" s="73">
        <v>0</v>
      </c>
      <c r="BI30" s="74">
        <v>0</v>
      </c>
      <c r="BJ30" s="74">
        <f t="shared" si="15"/>
        <v>0</v>
      </c>
      <c r="BK30" s="72">
        <v>0</v>
      </c>
      <c r="BL30" s="73">
        <v>0</v>
      </c>
      <c r="BM30" s="74">
        <v>0</v>
      </c>
      <c r="BN30" s="74">
        <f t="shared" si="16"/>
        <v>0</v>
      </c>
      <c r="BO30" s="72">
        <v>0</v>
      </c>
      <c r="BP30" s="73">
        <v>0</v>
      </c>
      <c r="BQ30" s="74">
        <v>0</v>
      </c>
      <c r="BR30" s="74">
        <f t="shared" si="17"/>
        <v>0</v>
      </c>
      <c r="BS30" s="72">
        <v>0</v>
      </c>
      <c r="BT30" s="73">
        <f t="shared" si="18"/>
        <v>10</v>
      </c>
      <c r="BU30" s="74">
        <f t="shared" si="19"/>
        <v>0</v>
      </c>
      <c r="BV30" s="74">
        <f t="shared" si="20"/>
        <v>1</v>
      </c>
      <c r="BW30" s="74">
        <f t="shared" si="21"/>
        <v>1</v>
      </c>
      <c r="BX30" s="74">
        <f t="shared" si="22"/>
        <v>0.90909090909090906</v>
      </c>
      <c r="BY30" s="72">
        <f t="shared" si="23"/>
        <v>0.95238095238095233</v>
      </c>
    </row>
    <row r="31" spans="1:84" ht="15" thickTop="1" x14ac:dyDescent="0.35">
      <c r="C31" s="4" t="s">
        <v>88</v>
      </c>
      <c r="D31" s="51">
        <f>SUM(D3:D30)</f>
        <v>74</v>
      </c>
      <c r="E31" s="51">
        <f t="shared" ref="E31:BP31" si="38">SUM(E3:E30)</f>
        <v>74</v>
      </c>
      <c r="F31" s="51">
        <f t="shared" si="38"/>
        <v>0</v>
      </c>
      <c r="G31" s="51">
        <f t="shared" si="38"/>
        <v>0</v>
      </c>
      <c r="H31" s="51">
        <f t="shared" si="38"/>
        <v>8</v>
      </c>
      <c r="I31" s="51">
        <f t="shared" si="38"/>
        <v>8</v>
      </c>
      <c r="J31" s="51">
        <f t="shared" si="38"/>
        <v>0</v>
      </c>
      <c r="K31" s="51">
        <f t="shared" si="38"/>
        <v>0</v>
      </c>
      <c r="L31" s="51">
        <f t="shared" si="38"/>
        <v>20</v>
      </c>
      <c r="M31" s="51">
        <f t="shared" si="38"/>
        <v>20</v>
      </c>
      <c r="N31" s="51">
        <f t="shared" si="38"/>
        <v>0</v>
      </c>
      <c r="O31" s="51">
        <f t="shared" si="38"/>
        <v>0</v>
      </c>
      <c r="P31" s="51">
        <f t="shared" si="38"/>
        <v>100</v>
      </c>
      <c r="Q31" s="51">
        <f t="shared" si="38"/>
        <v>100</v>
      </c>
      <c r="R31" s="51">
        <f t="shared" si="38"/>
        <v>0</v>
      </c>
      <c r="S31" s="51">
        <f t="shared" si="38"/>
        <v>7</v>
      </c>
      <c r="T31" s="51">
        <f t="shared" si="38"/>
        <v>14</v>
      </c>
      <c r="U31" s="51">
        <f t="shared" si="38"/>
        <v>12</v>
      </c>
      <c r="V31" s="51">
        <f t="shared" si="38"/>
        <v>2</v>
      </c>
      <c r="W31" s="51">
        <f t="shared" si="38"/>
        <v>17</v>
      </c>
      <c r="X31" s="51">
        <f t="shared" si="38"/>
        <v>34</v>
      </c>
      <c r="Y31" s="51">
        <f t="shared" si="38"/>
        <v>34</v>
      </c>
      <c r="Z31" s="51">
        <f t="shared" si="38"/>
        <v>0</v>
      </c>
      <c r="AA31" s="51">
        <f t="shared" si="38"/>
        <v>1</v>
      </c>
      <c r="AB31" s="51">
        <f t="shared" si="38"/>
        <v>16</v>
      </c>
      <c r="AC31" s="51">
        <f t="shared" si="38"/>
        <v>16</v>
      </c>
      <c r="AD31" s="51">
        <f t="shared" si="38"/>
        <v>0</v>
      </c>
      <c r="AE31" s="51">
        <f t="shared" si="38"/>
        <v>0</v>
      </c>
      <c r="AF31" s="51">
        <f t="shared" si="38"/>
        <v>36</v>
      </c>
      <c r="AG31" s="51">
        <f t="shared" si="38"/>
        <v>9</v>
      </c>
      <c r="AH31" s="51">
        <f t="shared" si="38"/>
        <v>27</v>
      </c>
      <c r="AI31" s="51">
        <f t="shared" si="38"/>
        <v>2</v>
      </c>
      <c r="AJ31" s="51">
        <f t="shared" si="38"/>
        <v>22</v>
      </c>
      <c r="AK31" s="51">
        <f t="shared" si="38"/>
        <v>22</v>
      </c>
      <c r="AL31" s="51">
        <f t="shared" si="38"/>
        <v>0</v>
      </c>
      <c r="AM31" s="51">
        <f t="shared" si="38"/>
        <v>1</v>
      </c>
      <c r="AN31" s="51">
        <f t="shared" si="38"/>
        <v>2</v>
      </c>
      <c r="AO31" s="51">
        <f t="shared" si="38"/>
        <v>2</v>
      </c>
      <c r="AP31" s="51">
        <f t="shared" si="38"/>
        <v>0</v>
      </c>
      <c r="AQ31" s="51">
        <f t="shared" si="38"/>
        <v>6</v>
      </c>
      <c r="AR31" s="51">
        <f t="shared" si="38"/>
        <v>8</v>
      </c>
      <c r="AS31" s="51">
        <f t="shared" si="38"/>
        <v>2</v>
      </c>
      <c r="AT31" s="51">
        <f t="shared" si="38"/>
        <v>6</v>
      </c>
      <c r="AU31" s="51">
        <f t="shared" si="38"/>
        <v>5</v>
      </c>
      <c r="AV31" s="51">
        <f t="shared" si="38"/>
        <v>4</v>
      </c>
      <c r="AW31" s="51">
        <f t="shared" si="38"/>
        <v>3</v>
      </c>
      <c r="AX31" s="51">
        <f t="shared" si="38"/>
        <v>1</v>
      </c>
      <c r="AY31" s="51">
        <f t="shared" si="38"/>
        <v>8</v>
      </c>
      <c r="AZ31" s="51">
        <f t="shared" si="38"/>
        <v>46</v>
      </c>
      <c r="BA31" s="51">
        <f t="shared" si="38"/>
        <v>42</v>
      </c>
      <c r="BB31" s="51">
        <f t="shared" si="38"/>
        <v>4</v>
      </c>
      <c r="BC31" s="51">
        <f t="shared" si="38"/>
        <v>7</v>
      </c>
      <c r="BD31" s="51">
        <f t="shared" si="38"/>
        <v>6</v>
      </c>
      <c r="BE31" s="51">
        <f t="shared" si="38"/>
        <v>5</v>
      </c>
      <c r="BF31" s="51">
        <f t="shared" si="38"/>
        <v>1</v>
      </c>
      <c r="BG31" s="51">
        <f t="shared" si="38"/>
        <v>0</v>
      </c>
      <c r="BH31" s="51">
        <f t="shared" si="38"/>
        <v>4</v>
      </c>
      <c r="BI31" s="51">
        <f t="shared" si="38"/>
        <v>1</v>
      </c>
      <c r="BJ31" s="51">
        <f t="shared" si="38"/>
        <v>3</v>
      </c>
      <c r="BK31" s="51">
        <f t="shared" si="38"/>
        <v>0</v>
      </c>
      <c r="BL31" s="51">
        <f t="shared" si="38"/>
        <v>12</v>
      </c>
      <c r="BM31" s="51">
        <f t="shared" si="38"/>
        <v>2</v>
      </c>
      <c r="BN31" s="51">
        <f t="shared" si="38"/>
        <v>10</v>
      </c>
      <c r="BO31" s="51">
        <f t="shared" si="38"/>
        <v>0</v>
      </c>
      <c r="BP31" s="51">
        <f t="shared" si="38"/>
        <v>10</v>
      </c>
      <c r="BQ31" s="51">
        <f t="shared" ref="BQ31:BS31" si="39">SUM(BQ3:BQ30)</f>
        <v>4</v>
      </c>
      <c r="BR31" s="51">
        <f t="shared" si="39"/>
        <v>6</v>
      </c>
      <c r="BS31" s="51">
        <f t="shared" si="39"/>
        <v>1</v>
      </c>
    </row>
    <row r="32" spans="1:84" ht="15" customHeight="1" x14ac:dyDescent="0.35"/>
    <row r="33" spans="3:71" x14ac:dyDescent="0.35">
      <c r="C33" s="76" t="s">
        <v>7</v>
      </c>
      <c r="D33" s="112">
        <f>IFERROR(E31/(E31+F31),"")</f>
        <v>1</v>
      </c>
      <c r="E33" s="113"/>
      <c r="F33" s="113"/>
      <c r="G33" s="114"/>
      <c r="H33" s="112">
        <f t="shared" ref="H33" si="40">IFERROR(I31/(I31+J31),"")</f>
        <v>1</v>
      </c>
      <c r="I33" s="113"/>
      <c r="J33" s="113"/>
      <c r="K33" s="114"/>
      <c r="L33" s="112">
        <f t="shared" ref="L33" si="41">IFERROR(M31/(M31+N31),"")</f>
        <v>1</v>
      </c>
      <c r="M33" s="113"/>
      <c r="N33" s="113"/>
      <c r="O33" s="114"/>
      <c r="P33" s="112">
        <f t="shared" ref="P33" si="42">IFERROR(Q31/(Q31+R31),"")</f>
        <v>1</v>
      </c>
      <c r="Q33" s="113"/>
      <c r="R33" s="113"/>
      <c r="S33" s="114"/>
      <c r="T33" s="112">
        <f t="shared" ref="T33" si="43">IFERROR(U31/(U31+V31),"")</f>
        <v>0.8571428571428571</v>
      </c>
      <c r="U33" s="113"/>
      <c r="V33" s="113"/>
      <c r="W33" s="114"/>
      <c r="X33" s="112">
        <f t="shared" ref="X33" si="44">IFERROR(Y31/(Y31+Z31),"")</f>
        <v>1</v>
      </c>
      <c r="Y33" s="113"/>
      <c r="Z33" s="113"/>
      <c r="AA33" s="114"/>
      <c r="AB33" s="112">
        <f t="shared" ref="AB33" si="45">IFERROR(AC31/(AC31+AD31),"")</f>
        <v>1</v>
      </c>
      <c r="AC33" s="113"/>
      <c r="AD33" s="113"/>
      <c r="AE33" s="114"/>
      <c r="AF33" s="112">
        <f t="shared" ref="AF33" si="46">IFERROR(AG31/(AG31+AH31),"")</f>
        <v>0.25</v>
      </c>
      <c r="AG33" s="113"/>
      <c r="AH33" s="113"/>
      <c r="AI33" s="114"/>
      <c r="AJ33" s="112">
        <f t="shared" ref="AJ33" si="47">IFERROR(AK31/(AK31+AL31),"")</f>
        <v>1</v>
      </c>
      <c r="AK33" s="113"/>
      <c r="AL33" s="113"/>
      <c r="AM33" s="114"/>
      <c r="AN33" s="112">
        <f t="shared" ref="AN33" si="48">IFERROR(AO31/(AO31+AP31),"")</f>
        <v>1</v>
      </c>
      <c r="AO33" s="113"/>
      <c r="AP33" s="113"/>
      <c r="AQ33" s="114"/>
      <c r="AR33" s="112">
        <f t="shared" ref="AR33" si="49">IFERROR(AS31/(AS31+AT31),"")</f>
        <v>0.25</v>
      </c>
      <c r="AS33" s="113"/>
      <c r="AT33" s="113"/>
      <c r="AU33" s="114"/>
      <c r="AV33" s="112">
        <f t="shared" ref="AV33" si="50">IFERROR(AW31/(AW31+AX31),"")</f>
        <v>0.75</v>
      </c>
      <c r="AW33" s="113"/>
      <c r="AX33" s="113"/>
      <c r="AY33" s="114"/>
      <c r="AZ33" s="112">
        <f t="shared" ref="AZ33" si="51">IFERROR(BA31/(BA31+BB31),"")</f>
        <v>0.91304347826086951</v>
      </c>
      <c r="BA33" s="113"/>
      <c r="BB33" s="113"/>
      <c r="BC33" s="114"/>
      <c r="BD33" s="112">
        <f t="shared" ref="BD33" si="52">IFERROR(BE31/(BE31+BF31),"")</f>
        <v>0.83333333333333337</v>
      </c>
      <c r="BE33" s="113"/>
      <c r="BF33" s="113"/>
      <c r="BG33" s="114"/>
      <c r="BH33" s="112">
        <f t="shared" ref="BH33" si="53">IFERROR(BI31/(BI31+BJ31),"")</f>
        <v>0.25</v>
      </c>
      <c r="BI33" s="113"/>
      <c r="BJ33" s="113"/>
      <c r="BK33" s="114"/>
      <c r="BL33" s="112">
        <f t="shared" ref="BL33" si="54">IFERROR(BM31/(BM31+BN31),"")</f>
        <v>0.16666666666666666</v>
      </c>
      <c r="BM33" s="113"/>
      <c r="BN33" s="113"/>
      <c r="BO33" s="114"/>
      <c r="BP33" s="112">
        <f t="shared" ref="BP33" si="55">IFERROR(BQ31/(BQ31+BR31),"")</f>
        <v>0.4</v>
      </c>
      <c r="BQ33" s="113"/>
      <c r="BR33" s="113"/>
      <c r="BS33" s="114"/>
    </row>
    <row r="34" spans="3:71" x14ac:dyDescent="0.35">
      <c r="C34" s="76" t="s">
        <v>117</v>
      </c>
      <c r="D34" s="112">
        <f>IFERROR(E31/(E31+G31),"")</f>
        <v>1</v>
      </c>
      <c r="E34" s="113"/>
      <c r="F34" s="113"/>
      <c r="G34" s="114"/>
      <c r="H34" s="112">
        <f t="shared" ref="H34" si="56">IFERROR(I31/(I31+K31),"")</f>
        <v>1</v>
      </c>
      <c r="I34" s="113"/>
      <c r="J34" s="113"/>
      <c r="K34" s="114"/>
      <c r="L34" s="112">
        <f t="shared" ref="L34" si="57">IFERROR(M31/(M31+O31),"")</f>
        <v>1</v>
      </c>
      <c r="M34" s="113"/>
      <c r="N34" s="113"/>
      <c r="O34" s="114"/>
      <c r="P34" s="112">
        <f t="shared" ref="P34" si="58">IFERROR(Q31/(Q31+S31),"")</f>
        <v>0.93457943925233644</v>
      </c>
      <c r="Q34" s="113"/>
      <c r="R34" s="113"/>
      <c r="S34" s="114"/>
      <c r="T34" s="112">
        <f t="shared" ref="T34" si="59">IFERROR(U31/(U31+W31),"")</f>
        <v>0.41379310344827586</v>
      </c>
      <c r="U34" s="113"/>
      <c r="V34" s="113"/>
      <c r="W34" s="114"/>
      <c r="X34" s="112">
        <f t="shared" ref="X34" si="60">IFERROR(Y31/(Y31+AA31),"")</f>
        <v>0.97142857142857142</v>
      </c>
      <c r="Y34" s="113"/>
      <c r="Z34" s="113"/>
      <c r="AA34" s="114"/>
      <c r="AB34" s="112">
        <f t="shared" ref="AB34" si="61">IFERROR(AC31/(AC31+AE31),"")</f>
        <v>1</v>
      </c>
      <c r="AC34" s="113"/>
      <c r="AD34" s="113"/>
      <c r="AE34" s="114"/>
      <c r="AF34" s="112">
        <f t="shared" ref="AF34" si="62">IFERROR(AG31/(AG31+AI31),"")</f>
        <v>0.81818181818181823</v>
      </c>
      <c r="AG34" s="113"/>
      <c r="AH34" s="113"/>
      <c r="AI34" s="114"/>
      <c r="AJ34" s="112">
        <f t="shared" ref="AJ34" si="63">IFERROR(AK31/(AK31+AM31),"")</f>
        <v>0.95652173913043481</v>
      </c>
      <c r="AK34" s="113"/>
      <c r="AL34" s="113"/>
      <c r="AM34" s="114"/>
      <c r="AN34" s="112">
        <f t="shared" ref="AN34" si="64">IFERROR(AO31/(AO31+AQ31),"")</f>
        <v>0.25</v>
      </c>
      <c r="AO34" s="113"/>
      <c r="AP34" s="113"/>
      <c r="AQ34" s="114"/>
      <c r="AR34" s="112">
        <f t="shared" ref="AR34" si="65">IFERROR(AS31/(AS31+AU31),"")</f>
        <v>0.2857142857142857</v>
      </c>
      <c r="AS34" s="113"/>
      <c r="AT34" s="113"/>
      <c r="AU34" s="114"/>
      <c r="AV34" s="112">
        <f t="shared" ref="AV34" si="66">IFERROR(AW31/(AW31+AY31),"")</f>
        <v>0.27272727272727271</v>
      </c>
      <c r="AW34" s="113"/>
      <c r="AX34" s="113"/>
      <c r="AY34" s="114"/>
      <c r="AZ34" s="112">
        <f t="shared" ref="AZ34" si="67">IFERROR(BA31/(BA31+BC31),"")</f>
        <v>0.8571428571428571</v>
      </c>
      <c r="BA34" s="113"/>
      <c r="BB34" s="113"/>
      <c r="BC34" s="114"/>
      <c r="BD34" s="112">
        <f t="shared" ref="BD34" si="68">IFERROR(BE31/(BE31+BG31),"")</f>
        <v>1</v>
      </c>
      <c r="BE34" s="113"/>
      <c r="BF34" s="113"/>
      <c r="BG34" s="114"/>
      <c r="BH34" s="112">
        <f t="shared" ref="BH34" si="69">IFERROR(BI31/(BI31+BK31),"")</f>
        <v>1</v>
      </c>
      <c r="BI34" s="113"/>
      <c r="BJ34" s="113"/>
      <c r="BK34" s="114"/>
      <c r="BL34" s="112">
        <f t="shared" ref="BL34" si="70">IFERROR(BM31/(BM31+BO31),"")</f>
        <v>1</v>
      </c>
      <c r="BM34" s="113"/>
      <c r="BN34" s="113"/>
      <c r="BO34" s="114"/>
      <c r="BP34" s="112">
        <f t="shared" ref="BP34" si="71">IFERROR(BQ31/(BQ31+BS31),"")</f>
        <v>0.8</v>
      </c>
      <c r="BQ34" s="113"/>
      <c r="BR34" s="113"/>
      <c r="BS34" s="114"/>
    </row>
    <row r="35" spans="3:71" x14ac:dyDescent="0.35">
      <c r="C35" s="76" t="s">
        <v>8</v>
      </c>
      <c r="D35" s="112">
        <f>IFERROR(2*D33*D34/(D33+D34),IF(AND(D33=0,D34=0),0,""))</f>
        <v>1</v>
      </c>
      <c r="E35" s="113"/>
      <c r="F35" s="113"/>
      <c r="G35" s="114"/>
      <c r="H35" s="112">
        <f t="shared" ref="H35" si="72">IFERROR(2*H33*H34/(H33+H34),IF(AND(H33=0,H34=0),0,""))</f>
        <v>1</v>
      </c>
      <c r="I35" s="113"/>
      <c r="J35" s="113"/>
      <c r="K35" s="114"/>
      <c r="L35" s="112">
        <f t="shared" ref="L35" si="73">IFERROR(2*L33*L34/(L33+L34),IF(AND(L33=0,L34=0),0,""))</f>
        <v>1</v>
      </c>
      <c r="M35" s="113"/>
      <c r="N35" s="113"/>
      <c r="O35" s="114"/>
      <c r="P35" s="112">
        <f t="shared" ref="P35" si="74">IFERROR(2*P33*P34/(P33+P34),IF(AND(P33=0,P34=0),0,""))</f>
        <v>0.96618357487922701</v>
      </c>
      <c r="Q35" s="113"/>
      <c r="R35" s="113"/>
      <c r="S35" s="114"/>
      <c r="T35" s="112">
        <f t="shared" ref="T35" si="75">IFERROR(2*T33*T34/(T33+T34),IF(AND(T33=0,T34=0),0,""))</f>
        <v>0.55813953488372081</v>
      </c>
      <c r="U35" s="113"/>
      <c r="V35" s="113"/>
      <c r="W35" s="114"/>
      <c r="X35" s="112">
        <f t="shared" ref="X35" si="76">IFERROR(2*X33*X34/(X33+X34),IF(AND(X33=0,X34=0),0,""))</f>
        <v>0.98550724637681153</v>
      </c>
      <c r="Y35" s="113"/>
      <c r="Z35" s="113"/>
      <c r="AA35" s="114"/>
      <c r="AB35" s="112">
        <f t="shared" ref="AB35" si="77">IFERROR(2*AB33*AB34/(AB33+AB34),IF(AND(AB33=0,AB34=0),0,""))</f>
        <v>1</v>
      </c>
      <c r="AC35" s="113"/>
      <c r="AD35" s="113"/>
      <c r="AE35" s="114"/>
      <c r="AF35" s="112">
        <f t="shared" ref="AF35" si="78">IFERROR(2*AF33*AF34/(AF33+AF34),IF(AND(AF33=0,AF34=0),0,""))</f>
        <v>0.38297872340425526</v>
      </c>
      <c r="AG35" s="113"/>
      <c r="AH35" s="113"/>
      <c r="AI35" s="114"/>
      <c r="AJ35" s="112">
        <f t="shared" ref="AJ35" si="79">IFERROR(2*AJ33*AJ34/(AJ33+AJ34),IF(AND(AJ33=0,AJ34=0),0,""))</f>
        <v>0.97777777777777775</v>
      </c>
      <c r="AK35" s="113"/>
      <c r="AL35" s="113"/>
      <c r="AM35" s="114"/>
      <c r="AN35" s="112">
        <f t="shared" ref="AN35" si="80">IFERROR(2*AN33*AN34/(AN33+AN34),IF(AND(AN33=0,AN34=0),0,""))</f>
        <v>0.4</v>
      </c>
      <c r="AO35" s="113"/>
      <c r="AP35" s="113"/>
      <c r="AQ35" s="114"/>
      <c r="AR35" s="112">
        <f t="shared" ref="AR35" si="81">IFERROR(2*AR33*AR34/(AR33+AR34),IF(AND(AR33=0,AR34=0),0,""))</f>
        <v>0.26666666666666666</v>
      </c>
      <c r="AS35" s="113"/>
      <c r="AT35" s="113"/>
      <c r="AU35" s="114"/>
      <c r="AV35" s="112">
        <f t="shared" ref="AV35" si="82">IFERROR(2*AV33*AV34/(AV33+AV34),IF(AND(AV33=0,AV34=0),0,""))</f>
        <v>0.39999999999999997</v>
      </c>
      <c r="AW35" s="113"/>
      <c r="AX35" s="113"/>
      <c r="AY35" s="114"/>
      <c r="AZ35" s="112">
        <f t="shared" ref="AZ35" si="83">IFERROR(2*AZ33*AZ34/(AZ33+AZ34),IF(AND(AZ33=0,AZ34=0),0,""))</f>
        <v>0.88421052631578945</v>
      </c>
      <c r="BA35" s="113"/>
      <c r="BB35" s="113"/>
      <c r="BC35" s="114"/>
      <c r="BD35" s="112">
        <f t="shared" ref="BD35" si="84">IFERROR(2*BD33*BD34/(BD33+BD34),IF(AND(BD33=0,BD34=0),0,""))</f>
        <v>0.90909090909090906</v>
      </c>
      <c r="BE35" s="113"/>
      <c r="BF35" s="113"/>
      <c r="BG35" s="114"/>
      <c r="BH35" s="112">
        <f t="shared" ref="BH35" si="85">IFERROR(2*BH33*BH34/(BH33+BH34),IF(AND(BH33=0,BH34=0),0,""))</f>
        <v>0.4</v>
      </c>
      <c r="BI35" s="113"/>
      <c r="BJ35" s="113"/>
      <c r="BK35" s="114"/>
      <c r="BL35" s="112">
        <f t="shared" ref="BL35" si="86">IFERROR(2*BL33*BL34/(BL33+BL34),IF(AND(BL33=0,BL34=0),0,""))</f>
        <v>0.2857142857142857</v>
      </c>
      <c r="BM35" s="113"/>
      <c r="BN35" s="113"/>
      <c r="BO35" s="114"/>
      <c r="BP35" s="112">
        <f t="shared" ref="BP35" si="87">IFERROR(2*BP33*BP34/(BP33+BP34),IF(AND(BP33=0,BP34=0),0,""))</f>
        <v>0.53333333333333333</v>
      </c>
      <c r="BQ35" s="113"/>
      <c r="BR35" s="113"/>
      <c r="BS35" s="114"/>
    </row>
  </sheetData>
  <mergeCells count="82">
    <mergeCell ref="BL35:BO35"/>
    <mergeCell ref="BP35:BS35"/>
    <mergeCell ref="BH34:BK34"/>
    <mergeCell ref="BL34:BO34"/>
    <mergeCell ref="BP34:BS34"/>
    <mergeCell ref="D35:G35"/>
    <mergeCell ref="H35:K35"/>
    <mergeCell ref="L35:O35"/>
    <mergeCell ref="P35:S35"/>
    <mergeCell ref="T35:W35"/>
    <mergeCell ref="X35:AA35"/>
    <mergeCell ref="AB35:AE35"/>
    <mergeCell ref="AF35:AI35"/>
    <mergeCell ref="AJ35:AM35"/>
    <mergeCell ref="AN35:AQ35"/>
    <mergeCell ref="AR35:AU35"/>
    <mergeCell ref="AV35:AY35"/>
    <mergeCell ref="AZ35:BC35"/>
    <mergeCell ref="BL33:BO33"/>
    <mergeCell ref="BP33:BS33"/>
    <mergeCell ref="AR34:AU34"/>
    <mergeCell ref="AV34:AY34"/>
    <mergeCell ref="AZ34:BC34"/>
    <mergeCell ref="BD34:BG34"/>
    <mergeCell ref="AR33:AU33"/>
    <mergeCell ref="AV33:AY33"/>
    <mergeCell ref="AZ33:BC33"/>
    <mergeCell ref="BD33:BG33"/>
    <mergeCell ref="BH33:BK33"/>
    <mergeCell ref="BD35:BG35"/>
    <mergeCell ref="BH35:BK35"/>
    <mergeCell ref="D34:G34"/>
    <mergeCell ref="H34:K34"/>
    <mergeCell ref="L34:O34"/>
    <mergeCell ref="P34:S34"/>
    <mergeCell ref="T34:W34"/>
    <mergeCell ref="X34:AA34"/>
    <mergeCell ref="AB34:AE34"/>
    <mergeCell ref="AF34:AI34"/>
    <mergeCell ref="AJ34:AM34"/>
    <mergeCell ref="AN34:AQ34"/>
    <mergeCell ref="X33:AA33"/>
    <mergeCell ref="AB33:AE33"/>
    <mergeCell ref="AF33:AI33"/>
    <mergeCell ref="AJ33:AM33"/>
    <mergeCell ref="AN33:AQ33"/>
    <mergeCell ref="D33:G33"/>
    <mergeCell ref="H33:K33"/>
    <mergeCell ref="L33:O33"/>
    <mergeCell ref="P33:S33"/>
    <mergeCell ref="T33:W33"/>
    <mergeCell ref="BX1:BX2"/>
    <mergeCell ref="AZ1:BC1"/>
    <mergeCell ref="BD1:BG1"/>
    <mergeCell ref="BH1:BK1"/>
    <mergeCell ref="BL1:BO1"/>
    <mergeCell ref="BP1:BS1"/>
    <mergeCell ref="B3:B30"/>
    <mergeCell ref="BT1:BT2"/>
    <mergeCell ref="BU1:BU2"/>
    <mergeCell ref="BV1:BV2"/>
    <mergeCell ref="BW1:BW2"/>
    <mergeCell ref="AF1:AI1"/>
    <mergeCell ref="AJ1:AM1"/>
    <mergeCell ref="AN1:AQ1"/>
    <mergeCell ref="AR1:AU1"/>
    <mergeCell ref="CC1:CC2"/>
    <mergeCell ref="CD1:CD2"/>
    <mergeCell ref="CE1:CE2"/>
    <mergeCell ref="CF1:CF2"/>
    <mergeCell ref="A1:A2"/>
    <mergeCell ref="B1:B2"/>
    <mergeCell ref="C1:C2"/>
    <mergeCell ref="D1:G1"/>
    <mergeCell ref="H1:K1"/>
    <mergeCell ref="AV1:AY1"/>
    <mergeCell ref="L1:O1"/>
    <mergeCell ref="P1:S1"/>
    <mergeCell ref="T1:W1"/>
    <mergeCell ref="X1:AA1"/>
    <mergeCell ref="AB1:AE1"/>
    <mergeCell ref="BY1:BY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9ECB-3FB3-4DDB-A54C-20472C5CFD31}">
  <dimension ref="A1:CF35"/>
  <sheetViews>
    <sheetView zoomScale="99" zoomScaleNormal="99" workbookViewId="0">
      <pane ySplit="2" topLeftCell="A3" activePane="bottomLeft" state="frozen"/>
      <selection activeCell="AW40" sqref="AW40"/>
      <selection pane="bottomLeft" activeCell="C34" sqref="C34"/>
    </sheetView>
  </sheetViews>
  <sheetFormatPr defaultRowHeight="14.5" x14ac:dyDescent="0.35"/>
  <cols>
    <col min="1" max="1" width="11.1796875" customWidth="1"/>
    <col min="2" max="2" width="35.26953125" customWidth="1"/>
    <col min="3" max="3" width="13.7265625"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7.7265625" customWidth="1"/>
    <col min="72" max="72" width="9" customWidth="1"/>
    <col min="76" max="76" width="12.36328125" customWidth="1"/>
    <col min="81" max="81" width="13" bestFit="1" customWidth="1"/>
    <col min="83" max="83" width="11.90625" bestFit="1" customWidth="1"/>
  </cols>
  <sheetData>
    <row r="1" spans="1:84" ht="15.5" thickTop="1" thickBot="1" x14ac:dyDescent="0.4">
      <c r="A1" s="92" t="s">
        <v>0</v>
      </c>
      <c r="B1" s="94" t="s">
        <v>1</v>
      </c>
      <c r="C1" s="96" t="s">
        <v>2</v>
      </c>
      <c r="D1" s="98" t="s">
        <v>3</v>
      </c>
      <c r="E1" s="99"/>
      <c r="F1" s="99"/>
      <c r="G1" s="100"/>
      <c r="H1" s="101" t="s">
        <v>71</v>
      </c>
      <c r="I1" s="101"/>
      <c r="J1" s="101"/>
      <c r="K1" s="102"/>
      <c r="L1" s="92" t="s">
        <v>72</v>
      </c>
      <c r="M1" s="103"/>
      <c r="N1" s="103"/>
      <c r="O1" s="96"/>
      <c r="P1" s="92" t="s">
        <v>73</v>
      </c>
      <c r="Q1" s="103"/>
      <c r="R1" s="103"/>
      <c r="S1" s="96"/>
      <c r="T1" s="92" t="s">
        <v>74</v>
      </c>
      <c r="U1" s="103"/>
      <c r="V1" s="103"/>
      <c r="W1" s="96"/>
      <c r="X1" s="92" t="s">
        <v>75</v>
      </c>
      <c r="Y1" s="103"/>
      <c r="Z1" s="103"/>
      <c r="AA1" s="96"/>
      <c r="AB1" s="92" t="s">
        <v>76</v>
      </c>
      <c r="AC1" s="103"/>
      <c r="AD1" s="103"/>
      <c r="AE1" s="96"/>
      <c r="AF1" s="92" t="s">
        <v>77</v>
      </c>
      <c r="AG1" s="103"/>
      <c r="AH1" s="103"/>
      <c r="AI1" s="96"/>
      <c r="AJ1" s="92" t="s">
        <v>78</v>
      </c>
      <c r="AK1" s="103"/>
      <c r="AL1" s="103"/>
      <c r="AM1" s="96"/>
      <c r="AN1" s="92" t="s">
        <v>79</v>
      </c>
      <c r="AO1" s="103"/>
      <c r="AP1" s="103"/>
      <c r="AQ1" s="96"/>
      <c r="AR1" s="92" t="s">
        <v>80</v>
      </c>
      <c r="AS1" s="103"/>
      <c r="AT1" s="103"/>
      <c r="AU1" s="96"/>
      <c r="AV1" s="92" t="s">
        <v>81</v>
      </c>
      <c r="AW1" s="103"/>
      <c r="AX1" s="103"/>
      <c r="AY1" s="111"/>
      <c r="AZ1" s="104" t="s">
        <v>82</v>
      </c>
      <c r="BA1" s="101"/>
      <c r="BB1" s="101"/>
      <c r="BC1" s="102"/>
      <c r="BD1" s="92" t="s">
        <v>83</v>
      </c>
      <c r="BE1" s="103"/>
      <c r="BF1" s="103"/>
      <c r="BG1" s="96"/>
      <c r="BH1" s="92" t="s">
        <v>84</v>
      </c>
      <c r="BI1" s="103"/>
      <c r="BJ1" s="103"/>
      <c r="BK1" s="96"/>
      <c r="BL1" s="92" t="s">
        <v>85</v>
      </c>
      <c r="BM1" s="103"/>
      <c r="BN1" s="103"/>
      <c r="BO1" s="96"/>
      <c r="BP1" s="92" t="s">
        <v>86</v>
      </c>
      <c r="BQ1" s="103"/>
      <c r="BR1" s="103"/>
      <c r="BS1" s="96"/>
      <c r="BT1" s="109" t="s">
        <v>4</v>
      </c>
      <c r="BU1" s="103" t="s">
        <v>5</v>
      </c>
      <c r="BV1" s="103" t="s">
        <v>6</v>
      </c>
      <c r="BW1" s="103" t="s">
        <v>7</v>
      </c>
      <c r="BX1" s="103" t="s">
        <v>117</v>
      </c>
      <c r="BY1" s="96" t="s">
        <v>8</v>
      </c>
      <c r="CC1" s="91" t="s">
        <v>2</v>
      </c>
      <c r="CD1" s="91" t="str">
        <f>BW1</f>
        <v>Recall</v>
      </c>
      <c r="CE1" s="91" t="str">
        <f>BX1</f>
        <v>Precision</v>
      </c>
      <c r="CF1" s="91" t="str">
        <f>BY1</f>
        <v>F1</v>
      </c>
    </row>
    <row r="2" spans="1:84" ht="15.5" thickTop="1" thickBot="1" x14ac:dyDescent="0.4">
      <c r="A2" s="93"/>
      <c r="B2" s="95"/>
      <c r="C2" s="97"/>
      <c r="D2" s="5" t="s">
        <v>9</v>
      </c>
      <c r="E2" s="1" t="s">
        <v>4</v>
      </c>
      <c r="F2" s="1" t="s">
        <v>5</v>
      </c>
      <c r="G2" s="2" t="s">
        <v>6</v>
      </c>
      <c r="H2" s="1" t="s">
        <v>9</v>
      </c>
      <c r="I2" s="3" t="s">
        <v>4</v>
      </c>
      <c r="J2" s="3" t="s">
        <v>5</v>
      </c>
      <c r="K2" s="2" t="s">
        <v>6</v>
      </c>
      <c r="L2" s="1" t="s">
        <v>9</v>
      </c>
      <c r="M2" s="3" t="s">
        <v>4</v>
      </c>
      <c r="N2" s="3" t="s">
        <v>5</v>
      </c>
      <c r="O2" s="2" t="s">
        <v>6</v>
      </c>
      <c r="P2" s="1" t="s">
        <v>9</v>
      </c>
      <c r="Q2" s="3" t="s">
        <v>4</v>
      </c>
      <c r="R2" s="3" t="s">
        <v>5</v>
      </c>
      <c r="S2" s="2" t="s">
        <v>6</v>
      </c>
      <c r="T2" s="1" t="s">
        <v>9</v>
      </c>
      <c r="U2" s="3" t="s">
        <v>4</v>
      </c>
      <c r="V2" s="3" t="s">
        <v>5</v>
      </c>
      <c r="W2" s="2" t="s">
        <v>6</v>
      </c>
      <c r="X2" s="1" t="s">
        <v>9</v>
      </c>
      <c r="Y2" s="3" t="s">
        <v>4</v>
      </c>
      <c r="Z2" s="3" t="s">
        <v>5</v>
      </c>
      <c r="AA2" s="2" t="s">
        <v>6</v>
      </c>
      <c r="AB2" s="1" t="s">
        <v>9</v>
      </c>
      <c r="AC2" s="3" t="s">
        <v>4</v>
      </c>
      <c r="AD2" s="3" t="s">
        <v>5</v>
      </c>
      <c r="AE2" s="2" t="s">
        <v>6</v>
      </c>
      <c r="AF2" s="1" t="s">
        <v>9</v>
      </c>
      <c r="AG2" s="3" t="s">
        <v>4</v>
      </c>
      <c r="AH2" s="3" t="s">
        <v>5</v>
      </c>
      <c r="AI2" s="2" t="s">
        <v>6</v>
      </c>
      <c r="AJ2" s="1" t="s">
        <v>9</v>
      </c>
      <c r="AK2" s="3" t="s">
        <v>4</v>
      </c>
      <c r="AL2" s="3" t="s">
        <v>5</v>
      </c>
      <c r="AM2" s="2" t="s">
        <v>6</v>
      </c>
      <c r="AN2" s="1" t="s">
        <v>9</v>
      </c>
      <c r="AO2" s="3" t="s">
        <v>4</v>
      </c>
      <c r="AP2" s="3" t="s">
        <v>5</v>
      </c>
      <c r="AQ2" s="2" t="s">
        <v>6</v>
      </c>
      <c r="AR2" s="1" t="s">
        <v>9</v>
      </c>
      <c r="AS2" s="3" t="s">
        <v>4</v>
      </c>
      <c r="AT2" s="3" t="s">
        <v>5</v>
      </c>
      <c r="AU2" s="2" t="s">
        <v>6</v>
      </c>
      <c r="AV2" s="1" t="s">
        <v>9</v>
      </c>
      <c r="AW2" s="3" t="s">
        <v>4</v>
      </c>
      <c r="AX2" s="3" t="s">
        <v>5</v>
      </c>
      <c r="AY2" s="68" t="s">
        <v>6</v>
      </c>
      <c r="AZ2" s="66" t="s">
        <v>9</v>
      </c>
      <c r="BA2" s="67" t="s">
        <v>4</v>
      </c>
      <c r="BB2" s="67" t="s">
        <v>5</v>
      </c>
      <c r="BC2" s="68" t="s">
        <v>6</v>
      </c>
      <c r="BD2" s="5" t="s">
        <v>9</v>
      </c>
      <c r="BE2" s="3" t="s">
        <v>4</v>
      </c>
      <c r="BF2" s="3" t="s">
        <v>5</v>
      </c>
      <c r="BG2" s="2" t="s">
        <v>6</v>
      </c>
      <c r="BH2" s="1" t="s">
        <v>9</v>
      </c>
      <c r="BI2" s="3" t="s">
        <v>4</v>
      </c>
      <c r="BJ2" s="3" t="s">
        <v>5</v>
      </c>
      <c r="BK2" s="2" t="s">
        <v>6</v>
      </c>
      <c r="BL2" s="1" t="s">
        <v>9</v>
      </c>
      <c r="BM2" s="3" t="s">
        <v>4</v>
      </c>
      <c r="BN2" s="3" t="s">
        <v>5</v>
      </c>
      <c r="BO2" s="2" t="s">
        <v>6</v>
      </c>
      <c r="BP2" s="1" t="s">
        <v>9</v>
      </c>
      <c r="BQ2" s="3" t="s">
        <v>4</v>
      </c>
      <c r="BR2" s="3" t="s">
        <v>5</v>
      </c>
      <c r="BS2" s="2" t="s">
        <v>6</v>
      </c>
      <c r="BT2" s="110"/>
      <c r="BU2" s="105"/>
      <c r="BV2" s="105"/>
      <c r="BW2" s="105"/>
      <c r="BX2" s="105"/>
      <c r="BY2" s="106"/>
      <c r="CC2" s="91"/>
      <c r="CD2" s="91"/>
      <c r="CE2" s="91"/>
      <c r="CF2" s="91"/>
    </row>
    <row r="3" spans="1:84" ht="15" customHeight="1" thickTop="1" x14ac:dyDescent="0.35">
      <c r="A3" s="52" t="s">
        <v>10</v>
      </c>
      <c r="B3" s="107" t="s">
        <v>41</v>
      </c>
      <c r="C3" s="6" t="s">
        <v>11</v>
      </c>
      <c r="D3" s="7">
        <v>2</v>
      </c>
      <c r="E3" s="8">
        <v>2</v>
      </c>
      <c r="F3" s="8">
        <f>D3-E3</f>
        <v>0</v>
      </c>
      <c r="G3" s="6">
        <v>0</v>
      </c>
      <c r="H3" s="9">
        <v>0</v>
      </c>
      <c r="I3" s="8">
        <v>0</v>
      </c>
      <c r="J3" s="8">
        <f>H3-I3</f>
        <v>0</v>
      </c>
      <c r="K3" s="6">
        <v>0</v>
      </c>
      <c r="L3" s="9">
        <v>0</v>
      </c>
      <c r="M3" s="8">
        <v>0</v>
      </c>
      <c r="N3" s="8">
        <f>L3-M3</f>
        <v>0</v>
      </c>
      <c r="O3" s="6">
        <v>0</v>
      </c>
      <c r="P3" s="9">
        <v>2</v>
      </c>
      <c r="Q3" s="8">
        <v>2</v>
      </c>
      <c r="R3" s="8">
        <f>P3-Q3</f>
        <v>0</v>
      </c>
      <c r="S3" s="6">
        <v>0</v>
      </c>
      <c r="T3" s="9">
        <v>2</v>
      </c>
      <c r="U3" s="8">
        <v>2</v>
      </c>
      <c r="V3" s="8">
        <f>T3-U3</f>
        <v>0</v>
      </c>
      <c r="W3" s="6">
        <v>0</v>
      </c>
      <c r="X3" s="9">
        <v>3</v>
      </c>
      <c r="Y3" s="8">
        <v>3</v>
      </c>
      <c r="Z3" s="8">
        <f>X3-Y3</f>
        <v>0</v>
      </c>
      <c r="AA3" s="6">
        <v>0</v>
      </c>
      <c r="AB3" s="9">
        <v>2</v>
      </c>
      <c r="AC3" s="8">
        <v>2</v>
      </c>
      <c r="AD3" s="8">
        <f>AB3-AC3</f>
        <v>0</v>
      </c>
      <c r="AE3" s="6">
        <v>0</v>
      </c>
      <c r="AF3" s="9">
        <v>3</v>
      </c>
      <c r="AG3" s="8">
        <v>3</v>
      </c>
      <c r="AH3" s="8">
        <f>AF3-AG3</f>
        <v>0</v>
      </c>
      <c r="AI3" s="6">
        <v>0</v>
      </c>
      <c r="AJ3" s="9">
        <v>1</v>
      </c>
      <c r="AK3" s="8">
        <v>1</v>
      </c>
      <c r="AL3" s="8">
        <f>AJ3-AK3</f>
        <v>0</v>
      </c>
      <c r="AM3" s="6">
        <v>0</v>
      </c>
      <c r="AN3" s="9">
        <v>0</v>
      </c>
      <c r="AO3" s="8">
        <v>0</v>
      </c>
      <c r="AP3" s="8">
        <f>AN3-AO3</f>
        <v>0</v>
      </c>
      <c r="AQ3" s="6">
        <v>0</v>
      </c>
      <c r="AR3" s="9">
        <v>0</v>
      </c>
      <c r="AS3" s="8">
        <v>0</v>
      </c>
      <c r="AT3" s="8">
        <f>AR3-AS3</f>
        <v>0</v>
      </c>
      <c r="AU3" s="6">
        <v>0</v>
      </c>
      <c r="AV3" s="9">
        <v>0</v>
      </c>
      <c r="AW3" s="8">
        <v>0</v>
      </c>
      <c r="AX3" s="8">
        <f>AV3-AW3</f>
        <v>0</v>
      </c>
      <c r="AY3" s="6">
        <v>0</v>
      </c>
      <c r="AZ3" s="7">
        <v>1</v>
      </c>
      <c r="BA3" s="10">
        <v>1</v>
      </c>
      <c r="BB3" s="10">
        <f>AZ3-BA3</f>
        <v>0</v>
      </c>
      <c r="BC3" s="70">
        <v>0</v>
      </c>
      <c r="BD3" s="7">
        <v>1</v>
      </c>
      <c r="BE3" s="8">
        <v>1</v>
      </c>
      <c r="BF3" s="8">
        <f>BD3-BE3</f>
        <v>0</v>
      </c>
      <c r="BG3" s="6">
        <v>0</v>
      </c>
      <c r="BH3" s="9">
        <v>0</v>
      </c>
      <c r="BI3" s="8">
        <v>0</v>
      </c>
      <c r="BJ3" s="8">
        <f>BH3-BI3</f>
        <v>0</v>
      </c>
      <c r="BK3" s="6">
        <v>0</v>
      </c>
      <c r="BL3" s="9">
        <v>0</v>
      </c>
      <c r="BM3" s="8">
        <v>0</v>
      </c>
      <c r="BN3" s="8">
        <f>BL3-BM3</f>
        <v>0</v>
      </c>
      <c r="BO3" s="6">
        <v>0</v>
      </c>
      <c r="BP3" s="9">
        <v>0</v>
      </c>
      <c r="BQ3" s="8">
        <v>0</v>
      </c>
      <c r="BR3" s="8">
        <f>BP3-BQ3</f>
        <v>0</v>
      </c>
      <c r="BS3" s="6">
        <v>0</v>
      </c>
      <c r="BT3" s="9">
        <f>SUM(E3,I3,M3,Q3,U3,Y3,AC3,AG3,AK3,AO3,AS3,AW3,BE3,BI3,BM3,BQ3,BA3)</f>
        <v>17</v>
      </c>
      <c r="BU3" s="8">
        <f>SUM(BR3,BN3,BJ3,BF3,AX3,AT3,AP3,AL3,AH3,AD3,Z3,V3,R3,N3,J3,F3,BB3)</f>
        <v>0</v>
      </c>
      <c r="BV3" s="10">
        <f>SUM(BS3,BO3,BK3,BG3,AY3,AU3,AQ3,AM3,AI3,AE3,AA3,W3,S3,O3,K3,G3, BC3)</f>
        <v>0</v>
      </c>
      <c r="BW3" s="8">
        <f>BT3/(BT3+BU3)</f>
        <v>1</v>
      </c>
      <c r="BX3" s="8">
        <f>BT3/(BT3+BV3)</f>
        <v>1</v>
      </c>
      <c r="BY3" s="6">
        <f>2*(BX3*BW3)/(BX3+BW3)</f>
        <v>1</v>
      </c>
      <c r="CC3" s="75" t="s">
        <v>54</v>
      </c>
      <c r="CD3">
        <f>AVERAGE(BW3:BW4)</f>
        <v>0.85294117647058831</v>
      </c>
      <c r="CE3">
        <f>AVERAGE(BX3:BX4)</f>
        <v>1</v>
      </c>
      <c r="CF3">
        <f t="shared" ref="CF3" si="0">AVERAGE(BY3:BY4)</f>
        <v>0.9137931034482758</v>
      </c>
    </row>
    <row r="4" spans="1:84" x14ac:dyDescent="0.35">
      <c r="A4" s="52" t="s">
        <v>10</v>
      </c>
      <c r="B4" s="108"/>
      <c r="C4" s="70" t="s">
        <v>12</v>
      </c>
      <c r="D4" s="7">
        <v>2</v>
      </c>
      <c r="E4" s="10">
        <v>2</v>
      </c>
      <c r="F4" s="10">
        <f t="shared" ref="F4:F30" si="1">D4-E4</f>
        <v>0</v>
      </c>
      <c r="G4" s="70">
        <v>0</v>
      </c>
      <c r="H4" s="7">
        <v>0</v>
      </c>
      <c r="I4" s="10">
        <v>0</v>
      </c>
      <c r="J4" s="10">
        <f t="shared" ref="J4:J30" si="2">H4-I4</f>
        <v>0</v>
      </c>
      <c r="K4" s="70">
        <v>0</v>
      </c>
      <c r="L4" s="7">
        <v>0</v>
      </c>
      <c r="M4" s="10">
        <v>0</v>
      </c>
      <c r="N4" s="10">
        <f t="shared" ref="N4:N30" si="3">L4-M4</f>
        <v>0</v>
      </c>
      <c r="O4" s="70">
        <v>0</v>
      </c>
      <c r="P4" s="7">
        <v>2</v>
      </c>
      <c r="Q4" s="10">
        <v>2</v>
      </c>
      <c r="R4" s="10">
        <f t="shared" ref="R4:R30" si="4">P4-Q4</f>
        <v>0</v>
      </c>
      <c r="S4" s="70">
        <v>0</v>
      </c>
      <c r="T4" s="7">
        <v>2</v>
      </c>
      <c r="U4" s="10">
        <v>0</v>
      </c>
      <c r="V4" s="10">
        <f t="shared" ref="V4:V30" si="5">T4-U4</f>
        <v>2</v>
      </c>
      <c r="W4" s="70">
        <v>0</v>
      </c>
      <c r="X4" s="7">
        <v>3</v>
      </c>
      <c r="Y4" s="10">
        <v>3</v>
      </c>
      <c r="Z4" s="10">
        <f t="shared" ref="Z4:Z30" si="6">X4-Y4</f>
        <v>0</v>
      </c>
      <c r="AA4" s="70">
        <v>0</v>
      </c>
      <c r="AB4" s="7">
        <v>2</v>
      </c>
      <c r="AC4" s="10">
        <v>2</v>
      </c>
      <c r="AD4" s="10">
        <f t="shared" ref="AD4:AD29" si="7">AB4-AC4</f>
        <v>0</v>
      </c>
      <c r="AE4" s="70">
        <v>0</v>
      </c>
      <c r="AF4" s="7">
        <v>3</v>
      </c>
      <c r="AG4" s="10">
        <v>0</v>
      </c>
      <c r="AH4" s="10">
        <f t="shared" ref="AH4:AH30" si="8">AF4-AG4</f>
        <v>3</v>
      </c>
      <c r="AI4" s="70">
        <v>0</v>
      </c>
      <c r="AJ4" s="7">
        <v>1</v>
      </c>
      <c r="AK4" s="10">
        <v>1</v>
      </c>
      <c r="AL4" s="10">
        <f t="shared" ref="AL4:AL30" si="9">AJ4-AK4</f>
        <v>0</v>
      </c>
      <c r="AM4" s="70">
        <v>0</v>
      </c>
      <c r="AN4" s="7">
        <v>0</v>
      </c>
      <c r="AO4" s="10">
        <v>0</v>
      </c>
      <c r="AP4" s="10">
        <f t="shared" ref="AP4:AP30" si="10">AN4-AO4</f>
        <v>0</v>
      </c>
      <c r="AQ4" s="70">
        <v>0</v>
      </c>
      <c r="AR4" s="7">
        <v>0</v>
      </c>
      <c r="AS4" s="10">
        <v>0</v>
      </c>
      <c r="AT4" s="10">
        <f t="shared" ref="AT4:AT30" si="11">AR4-AS4</f>
        <v>0</v>
      </c>
      <c r="AU4" s="70">
        <v>0</v>
      </c>
      <c r="AV4" s="7">
        <v>0</v>
      </c>
      <c r="AW4" s="10">
        <v>0</v>
      </c>
      <c r="AX4" s="10">
        <f t="shared" ref="AX4:AX30" si="12">AV4-AW4</f>
        <v>0</v>
      </c>
      <c r="AY4" s="70">
        <v>0</v>
      </c>
      <c r="AZ4" s="7">
        <v>1</v>
      </c>
      <c r="BA4" s="10">
        <v>1</v>
      </c>
      <c r="BB4" s="10">
        <f t="shared" ref="BB4:BB30" si="13">AZ4-BA4</f>
        <v>0</v>
      </c>
      <c r="BC4" s="70">
        <v>0</v>
      </c>
      <c r="BD4" s="7">
        <v>1</v>
      </c>
      <c r="BE4" s="10">
        <v>1</v>
      </c>
      <c r="BF4" s="10">
        <f t="shared" ref="BF4:BF30" si="14">BD4-BE4</f>
        <v>0</v>
      </c>
      <c r="BG4" s="70">
        <v>0</v>
      </c>
      <c r="BH4" s="7">
        <v>0</v>
      </c>
      <c r="BI4" s="10">
        <v>0</v>
      </c>
      <c r="BJ4" s="10">
        <f t="shared" ref="BJ4:BJ30" si="15">BH4-BI4</f>
        <v>0</v>
      </c>
      <c r="BK4" s="70">
        <v>0</v>
      </c>
      <c r="BL4" s="7">
        <v>0</v>
      </c>
      <c r="BM4" s="10">
        <v>0</v>
      </c>
      <c r="BN4" s="10">
        <f t="shared" ref="BN4:BN30" si="16">BL4-BM4</f>
        <v>0</v>
      </c>
      <c r="BO4" s="70">
        <v>0</v>
      </c>
      <c r="BP4" s="7">
        <v>0</v>
      </c>
      <c r="BQ4" s="10">
        <v>0</v>
      </c>
      <c r="BR4" s="10">
        <f t="shared" ref="BR4:BR30" si="17">BP4-BQ4</f>
        <v>0</v>
      </c>
      <c r="BS4" s="70">
        <v>0</v>
      </c>
      <c r="BT4" s="7">
        <f t="shared" ref="BT4:BT30" si="18">SUM(E4,I4,M4,Q4,U4,Y4,AC4,AG4,AK4,AO4,AS4,AW4,BE4,BI4,BM4,BQ4,BA4)</f>
        <v>12</v>
      </c>
      <c r="BU4" s="10">
        <f t="shared" ref="BU4:BU30" si="19">SUM(BR4,BN4,BJ4,BF4,AX4,AT4,AP4,AL4,AH4,AD4,Z4,V4,R4,N4,J4,F4,BB4)</f>
        <v>5</v>
      </c>
      <c r="BV4" s="10">
        <f t="shared" ref="BV4:BV30" si="20">SUM(BS4,BO4,BK4,BG4,AY4,AU4,AQ4,AM4,AI4,AE4,AA4,W4,S4,O4,K4,G4, BC4)</f>
        <v>0</v>
      </c>
      <c r="BW4" s="10">
        <f t="shared" ref="BW4:BW30" si="21">BT4/(BT4+BU4)</f>
        <v>0.70588235294117652</v>
      </c>
      <c r="BX4" s="10">
        <f t="shared" ref="BX4:BX30" si="22">BT4/(BT4+BV4)</f>
        <v>1</v>
      </c>
      <c r="BY4" s="70">
        <f t="shared" ref="BY4:BY30" si="23">2*(BX4*BW4)/(BX4+BW4)</f>
        <v>0.82758620689655171</v>
      </c>
      <c r="CC4" s="75" t="s">
        <v>55</v>
      </c>
      <c r="CD4">
        <f>AVERAGE(BW5:BW6)</f>
        <v>0.9</v>
      </c>
      <c r="CE4">
        <f t="shared" ref="CE4" si="24">AVERAGE(BX5:BX6)</f>
        <v>0.96153846153846156</v>
      </c>
      <c r="CF4">
        <f>AVERAGE(BY5:BY6)</f>
        <v>0.9285714285714286</v>
      </c>
    </row>
    <row r="5" spans="1:84" x14ac:dyDescent="0.35">
      <c r="A5" s="53" t="s">
        <v>10</v>
      </c>
      <c r="B5" s="108"/>
      <c r="C5" s="11" t="s">
        <v>13</v>
      </c>
      <c r="D5" s="12">
        <v>4</v>
      </c>
      <c r="E5" s="13">
        <v>4</v>
      </c>
      <c r="F5" s="13">
        <f t="shared" si="1"/>
        <v>0</v>
      </c>
      <c r="G5" s="11">
        <v>0</v>
      </c>
      <c r="H5" s="12">
        <v>0</v>
      </c>
      <c r="I5" s="13">
        <v>0</v>
      </c>
      <c r="J5" s="13">
        <f t="shared" si="2"/>
        <v>0</v>
      </c>
      <c r="K5" s="11">
        <v>0</v>
      </c>
      <c r="L5" s="12">
        <v>0</v>
      </c>
      <c r="M5" s="13">
        <v>0</v>
      </c>
      <c r="N5" s="13">
        <f t="shared" si="3"/>
        <v>0</v>
      </c>
      <c r="O5" s="11">
        <v>0</v>
      </c>
      <c r="P5" s="12">
        <v>4</v>
      </c>
      <c r="Q5" s="13">
        <v>4</v>
      </c>
      <c r="R5" s="13">
        <f t="shared" si="4"/>
        <v>0</v>
      </c>
      <c r="S5" s="11">
        <v>0</v>
      </c>
      <c r="T5" s="12">
        <v>0</v>
      </c>
      <c r="U5" s="13">
        <v>0</v>
      </c>
      <c r="V5" s="13">
        <f t="shared" si="5"/>
        <v>0</v>
      </c>
      <c r="W5" s="11">
        <v>0</v>
      </c>
      <c r="X5" s="12">
        <v>1</v>
      </c>
      <c r="Y5" s="13">
        <v>1</v>
      </c>
      <c r="Z5" s="13">
        <f t="shared" si="6"/>
        <v>0</v>
      </c>
      <c r="AA5" s="11">
        <v>0</v>
      </c>
      <c r="AB5" s="12">
        <v>0</v>
      </c>
      <c r="AC5" s="13">
        <v>0</v>
      </c>
      <c r="AD5" s="13">
        <f t="shared" si="7"/>
        <v>0</v>
      </c>
      <c r="AE5" s="11">
        <v>0</v>
      </c>
      <c r="AF5" s="12">
        <v>0</v>
      </c>
      <c r="AG5" s="13">
        <v>0</v>
      </c>
      <c r="AH5" s="13">
        <f t="shared" si="8"/>
        <v>0</v>
      </c>
      <c r="AI5" s="11">
        <v>0</v>
      </c>
      <c r="AJ5" s="12">
        <v>3</v>
      </c>
      <c r="AK5" s="13">
        <v>3</v>
      </c>
      <c r="AL5" s="13">
        <f t="shared" si="9"/>
        <v>0</v>
      </c>
      <c r="AM5" s="11">
        <v>0</v>
      </c>
      <c r="AN5" s="12">
        <v>0</v>
      </c>
      <c r="AO5" s="13">
        <v>0</v>
      </c>
      <c r="AP5" s="13">
        <f t="shared" si="10"/>
        <v>0</v>
      </c>
      <c r="AQ5" s="11">
        <v>0</v>
      </c>
      <c r="AR5" s="12">
        <v>0</v>
      </c>
      <c r="AS5" s="13">
        <v>0</v>
      </c>
      <c r="AT5" s="13">
        <f t="shared" si="11"/>
        <v>0</v>
      </c>
      <c r="AU5" s="11">
        <v>0</v>
      </c>
      <c r="AV5" s="12">
        <v>0</v>
      </c>
      <c r="AW5" s="13">
        <v>0</v>
      </c>
      <c r="AX5" s="13">
        <f t="shared" si="12"/>
        <v>0</v>
      </c>
      <c r="AY5" s="11">
        <v>0</v>
      </c>
      <c r="AZ5" s="12">
        <v>3</v>
      </c>
      <c r="BA5" s="13">
        <v>3</v>
      </c>
      <c r="BB5" s="13">
        <f t="shared" si="13"/>
        <v>0</v>
      </c>
      <c r="BC5" s="11">
        <v>0</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0</v>
      </c>
      <c r="BT5" s="12">
        <f t="shared" si="18"/>
        <v>15</v>
      </c>
      <c r="BU5" s="13">
        <f t="shared" si="19"/>
        <v>0</v>
      </c>
      <c r="BV5" s="13">
        <f t="shared" si="20"/>
        <v>0</v>
      </c>
      <c r="BW5" s="13">
        <f t="shared" si="21"/>
        <v>1</v>
      </c>
      <c r="BX5" s="13">
        <f t="shared" si="22"/>
        <v>1</v>
      </c>
      <c r="BY5" s="11">
        <f t="shared" si="23"/>
        <v>1</v>
      </c>
      <c r="CC5" s="75" t="s">
        <v>56</v>
      </c>
      <c r="CD5">
        <f>AVERAGE(BW7:BW8)</f>
        <v>1</v>
      </c>
      <c r="CE5">
        <f t="shared" ref="CE5:CF5" si="25">AVERAGE(BX7:BX8)</f>
        <v>0.91666666666666674</v>
      </c>
      <c r="CF5">
        <f t="shared" si="25"/>
        <v>0.95454545454545459</v>
      </c>
    </row>
    <row r="6" spans="1:84" x14ac:dyDescent="0.35">
      <c r="A6" s="53" t="s">
        <v>10</v>
      </c>
      <c r="B6" s="108"/>
      <c r="C6" s="11" t="s">
        <v>14</v>
      </c>
      <c r="D6" s="12">
        <v>4</v>
      </c>
      <c r="E6" s="13">
        <v>4</v>
      </c>
      <c r="F6" s="13">
        <f t="shared" si="1"/>
        <v>0</v>
      </c>
      <c r="G6" s="11">
        <v>0</v>
      </c>
      <c r="H6" s="12">
        <v>0</v>
      </c>
      <c r="I6" s="13">
        <v>0</v>
      </c>
      <c r="J6" s="13">
        <f t="shared" si="2"/>
        <v>0</v>
      </c>
      <c r="K6" s="11">
        <v>0</v>
      </c>
      <c r="L6" s="12">
        <v>0</v>
      </c>
      <c r="M6" s="13">
        <v>0</v>
      </c>
      <c r="N6" s="13">
        <f t="shared" si="3"/>
        <v>0</v>
      </c>
      <c r="O6" s="11">
        <v>0</v>
      </c>
      <c r="P6" s="12">
        <v>4</v>
      </c>
      <c r="Q6" s="13">
        <v>4</v>
      </c>
      <c r="R6" s="13">
        <f t="shared" si="4"/>
        <v>0</v>
      </c>
      <c r="S6" s="11">
        <v>0</v>
      </c>
      <c r="T6" s="12">
        <v>0</v>
      </c>
      <c r="U6" s="13">
        <v>0</v>
      </c>
      <c r="V6" s="13">
        <f t="shared" si="5"/>
        <v>0</v>
      </c>
      <c r="W6" s="11">
        <v>0</v>
      </c>
      <c r="X6" s="12">
        <v>1</v>
      </c>
      <c r="Y6" s="13">
        <v>1</v>
      </c>
      <c r="Z6" s="13">
        <f t="shared" si="6"/>
        <v>0</v>
      </c>
      <c r="AA6" s="11">
        <v>0</v>
      </c>
      <c r="AB6" s="12">
        <v>0</v>
      </c>
      <c r="AC6" s="13">
        <v>0</v>
      </c>
      <c r="AD6" s="13">
        <f t="shared" si="7"/>
        <v>0</v>
      </c>
      <c r="AE6" s="11">
        <v>1</v>
      </c>
      <c r="AF6" s="12">
        <v>0</v>
      </c>
      <c r="AG6" s="13">
        <v>0</v>
      </c>
      <c r="AH6" s="13">
        <f t="shared" si="8"/>
        <v>0</v>
      </c>
      <c r="AI6" s="11">
        <v>0</v>
      </c>
      <c r="AJ6" s="12">
        <v>3</v>
      </c>
      <c r="AK6" s="13">
        <v>3</v>
      </c>
      <c r="AL6" s="13">
        <f t="shared" si="9"/>
        <v>0</v>
      </c>
      <c r="AM6" s="11">
        <v>0</v>
      </c>
      <c r="AN6" s="12">
        <v>0</v>
      </c>
      <c r="AO6" s="13">
        <v>0</v>
      </c>
      <c r="AP6" s="13">
        <f t="shared" si="10"/>
        <v>0</v>
      </c>
      <c r="AQ6" s="11">
        <v>0</v>
      </c>
      <c r="AR6" s="12">
        <v>0</v>
      </c>
      <c r="AS6" s="13">
        <v>0</v>
      </c>
      <c r="AT6" s="13">
        <f t="shared" si="11"/>
        <v>0</v>
      </c>
      <c r="AU6" s="11">
        <v>0</v>
      </c>
      <c r="AV6" s="12">
        <v>0</v>
      </c>
      <c r="AW6" s="13">
        <v>0</v>
      </c>
      <c r="AX6" s="13">
        <f t="shared" si="12"/>
        <v>0</v>
      </c>
      <c r="AY6" s="11">
        <v>0</v>
      </c>
      <c r="AZ6" s="12">
        <v>3</v>
      </c>
      <c r="BA6" s="13">
        <v>0</v>
      </c>
      <c r="BB6" s="13">
        <f t="shared" si="13"/>
        <v>3</v>
      </c>
      <c r="BC6" s="11">
        <v>0</v>
      </c>
      <c r="BD6" s="12">
        <v>0</v>
      </c>
      <c r="BE6" s="13">
        <v>0</v>
      </c>
      <c r="BF6" s="13">
        <f t="shared" si="14"/>
        <v>0</v>
      </c>
      <c r="BG6" s="11">
        <v>0</v>
      </c>
      <c r="BH6" s="12">
        <v>0</v>
      </c>
      <c r="BI6" s="13">
        <v>0</v>
      </c>
      <c r="BJ6" s="13">
        <f t="shared" si="15"/>
        <v>0</v>
      </c>
      <c r="BK6" s="11">
        <v>0</v>
      </c>
      <c r="BL6" s="12">
        <v>0</v>
      </c>
      <c r="BM6" s="13">
        <v>0</v>
      </c>
      <c r="BN6" s="13">
        <f t="shared" si="16"/>
        <v>0</v>
      </c>
      <c r="BO6" s="11">
        <v>0</v>
      </c>
      <c r="BP6" s="12">
        <v>0</v>
      </c>
      <c r="BQ6" s="13">
        <v>0</v>
      </c>
      <c r="BR6" s="13">
        <f t="shared" si="17"/>
        <v>0</v>
      </c>
      <c r="BS6" s="11">
        <v>0</v>
      </c>
      <c r="BT6" s="12">
        <f t="shared" si="18"/>
        <v>12</v>
      </c>
      <c r="BU6" s="13">
        <f t="shared" si="19"/>
        <v>3</v>
      </c>
      <c r="BV6" s="13">
        <f t="shared" si="20"/>
        <v>1</v>
      </c>
      <c r="BW6" s="13">
        <f t="shared" si="21"/>
        <v>0.8</v>
      </c>
      <c r="BX6" s="13">
        <f t="shared" si="22"/>
        <v>0.92307692307692313</v>
      </c>
      <c r="BY6" s="11">
        <f t="shared" si="23"/>
        <v>0.8571428571428571</v>
      </c>
      <c r="CC6" s="75" t="s">
        <v>57</v>
      </c>
      <c r="CD6">
        <f>AVERAGE(BW9:BW10)</f>
        <v>0.92307692307692313</v>
      </c>
      <c r="CE6">
        <f t="shared" ref="CE6:CF6" si="26">AVERAGE(BX9:BX10)</f>
        <v>0.96153846153846156</v>
      </c>
      <c r="CF6">
        <f t="shared" si="26"/>
        <v>0.94153846153846166</v>
      </c>
    </row>
    <row r="7" spans="1:84" x14ac:dyDescent="0.35">
      <c r="A7" s="54" t="s">
        <v>10</v>
      </c>
      <c r="B7" s="108"/>
      <c r="C7" s="14" t="s">
        <v>15</v>
      </c>
      <c r="D7" s="15">
        <v>6</v>
      </c>
      <c r="E7" s="16">
        <v>6</v>
      </c>
      <c r="F7" s="16">
        <f t="shared" si="1"/>
        <v>0</v>
      </c>
      <c r="G7" s="14">
        <v>0</v>
      </c>
      <c r="H7" s="15">
        <v>0</v>
      </c>
      <c r="I7" s="16">
        <v>0</v>
      </c>
      <c r="J7" s="16">
        <f t="shared" si="2"/>
        <v>0</v>
      </c>
      <c r="K7" s="14">
        <v>0</v>
      </c>
      <c r="L7" s="15">
        <v>0</v>
      </c>
      <c r="M7" s="16">
        <v>0</v>
      </c>
      <c r="N7" s="16">
        <f t="shared" si="3"/>
        <v>0</v>
      </c>
      <c r="O7" s="14">
        <v>0</v>
      </c>
      <c r="P7" s="15">
        <v>9</v>
      </c>
      <c r="Q7" s="16">
        <v>9</v>
      </c>
      <c r="R7" s="16">
        <f t="shared" si="4"/>
        <v>0</v>
      </c>
      <c r="S7" s="14">
        <v>0</v>
      </c>
      <c r="T7" s="15">
        <v>0</v>
      </c>
      <c r="U7" s="16">
        <v>0</v>
      </c>
      <c r="V7" s="16">
        <f t="shared" si="5"/>
        <v>0</v>
      </c>
      <c r="W7" s="14">
        <v>0</v>
      </c>
      <c r="X7" s="15">
        <v>0</v>
      </c>
      <c r="Y7" s="16">
        <v>0</v>
      </c>
      <c r="Z7" s="16">
        <f t="shared" si="6"/>
        <v>0</v>
      </c>
      <c r="AA7" s="14">
        <v>0</v>
      </c>
      <c r="AB7" s="15">
        <v>0</v>
      </c>
      <c r="AC7" s="16">
        <v>0</v>
      </c>
      <c r="AD7" s="16">
        <f t="shared" si="7"/>
        <v>0</v>
      </c>
      <c r="AE7" s="14">
        <v>0</v>
      </c>
      <c r="AF7" s="15">
        <v>0</v>
      </c>
      <c r="AG7" s="16">
        <v>0</v>
      </c>
      <c r="AH7" s="16">
        <f t="shared" si="8"/>
        <v>0</v>
      </c>
      <c r="AI7" s="14">
        <v>0</v>
      </c>
      <c r="AJ7" s="15">
        <v>5</v>
      </c>
      <c r="AK7" s="16">
        <v>5</v>
      </c>
      <c r="AL7" s="16">
        <f t="shared" si="9"/>
        <v>0</v>
      </c>
      <c r="AM7" s="14">
        <v>0</v>
      </c>
      <c r="AN7" s="15">
        <v>0</v>
      </c>
      <c r="AO7" s="16">
        <v>0</v>
      </c>
      <c r="AP7" s="16">
        <f t="shared" si="10"/>
        <v>0</v>
      </c>
      <c r="AQ7" s="14">
        <v>0</v>
      </c>
      <c r="AR7" s="15">
        <v>0</v>
      </c>
      <c r="AS7" s="16">
        <v>0</v>
      </c>
      <c r="AT7" s="16">
        <f t="shared" si="11"/>
        <v>0</v>
      </c>
      <c r="AU7" s="14">
        <v>5</v>
      </c>
      <c r="AV7" s="15">
        <v>0</v>
      </c>
      <c r="AW7" s="16">
        <v>0</v>
      </c>
      <c r="AX7" s="16">
        <f t="shared" si="12"/>
        <v>0</v>
      </c>
      <c r="AY7" s="14">
        <v>0</v>
      </c>
      <c r="AZ7" s="15">
        <v>5</v>
      </c>
      <c r="BA7" s="16">
        <v>5</v>
      </c>
      <c r="BB7" s="16">
        <f t="shared" si="13"/>
        <v>0</v>
      </c>
      <c r="BC7" s="14">
        <v>0</v>
      </c>
      <c r="BD7" s="15">
        <v>0</v>
      </c>
      <c r="BE7" s="16">
        <v>0</v>
      </c>
      <c r="BF7" s="16">
        <f t="shared" si="14"/>
        <v>0</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25</v>
      </c>
      <c r="BU7" s="16">
        <f t="shared" si="19"/>
        <v>0</v>
      </c>
      <c r="BV7" s="16">
        <f t="shared" si="20"/>
        <v>5</v>
      </c>
      <c r="BW7" s="16">
        <f t="shared" si="21"/>
        <v>1</v>
      </c>
      <c r="BX7" s="16">
        <f t="shared" si="22"/>
        <v>0.83333333333333337</v>
      </c>
      <c r="BY7" s="14">
        <f t="shared" si="23"/>
        <v>0.90909090909090906</v>
      </c>
      <c r="CC7" s="75" t="s">
        <v>58</v>
      </c>
      <c r="CD7">
        <f>AVERAGE(BW11:BW12)</f>
        <v>0.77777777777777779</v>
      </c>
      <c r="CE7">
        <f t="shared" ref="CE7" si="27">AVERAGE(BX11:BX12)</f>
        <v>0.8217592592592593</v>
      </c>
      <c r="CF7">
        <f>AVERAGE(BY11:BY12)</f>
        <v>0.79847494553376919</v>
      </c>
    </row>
    <row r="8" spans="1:84" x14ac:dyDescent="0.35">
      <c r="A8" s="54" t="s">
        <v>10</v>
      </c>
      <c r="B8" s="108"/>
      <c r="C8" s="14" t="s">
        <v>16</v>
      </c>
      <c r="D8" s="15">
        <v>6</v>
      </c>
      <c r="E8" s="16">
        <v>6</v>
      </c>
      <c r="F8" s="16">
        <f t="shared" si="1"/>
        <v>0</v>
      </c>
      <c r="G8" s="14">
        <v>0</v>
      </c>
      <c r="H8" s="15">
        <v>0</v>
      </c>
      <c r="I8" s="16">
        <v>0</v>
      </c>
      <c r="J8" s="16">
        <f t="shared" si="2"/>
        <v>0</v>
      </c>
      <c r="K8" s="14">
        <v>0</v>
      </c>
      <c r="L8" s="15">
        <v>0</v>
      </c>
      <c r="M8" s="16">
        <v>0</v>
      </c>
      <c r="N8" s="16">
        <f t="shared" si="3"/>
        <v>0</v>
      </c>
      <c r="O8" s="14">
        <v>0</v>
      </c>
      <c r="P8" s="15">
        <v>9</v>
      </c>
      <c r="Q8" s="16">
        <v>9</v>
      </c>
      <c r="R8" s="16">
        <f t="shared" si="4"/>
        <v>0</v>
      </c>
      <c r="S8" s="14">
        <v>0</v>
      </c>
      <c r="T8" s="15">
        <v>0</v>
      </c>
      <c r="U8" s="16">
        <v>0</v>
      </c>
      <c r="V8" s="16">
        <f t="shared" si="5"/>
        <v>0</v>
      </c>
      <c r="W8" s="14">
        <v>0</v>
      </c>
      <c r="X8" s="15">
        <v>0</v>
      </c>
      <c r="Y8" s="16">
        <v>0</v>
      </c>
      <c r="Z8" s="16">
        <f t="shared" si="6"/>
        <v>0</v>
      </c>
      <c r="AA8" s="14">
        <v>0</v>
      </c>
      <c r="AB8" s="15">
        <v>0</v>
      </c>
      <c r="AC8" s="16">
        <v>0</v>
      </c>
      <c r="AD8" s="16">
        <f t="shared" si="7"/>
        <v>0</v>
      </c>
      <c r="AE8" s="14">
        <v>0</v>
      </c>
      <c r="AF8" s="15">
        <v>0</v>
      </c>
      <c r="AG8" s="16">
        <v>0</v>
      </c>
      <c r="AH8" s="16">
        <f t="shared" si="8"/>
        <v>0</v>
      </c>
      <c r="AI8" s="14">
        <v>0</v>
      </c>
      <c r="AJ8" s="15">
        <v>5</v>
      </c>
      <c r="AK8" s="16">
        <v>5</v>
      </c>
      <c r="AL8" s="16">
        <f t="shared" si="9"/>
        <v>0</v>
      </c>
      <c r="AM8" s="14">
        <v>0</v>
      </c>
      <c r="AN8" s="15">
        <v>0</v>
      </c>
      <c r="AO8" s="16">
        <v>0</v>
      </c>
      <c r="AP8" s="16">
        <f t="shared" si="10"/>
        <v>0</v>
      </c>
      <c r="AQ8" s="14">
        <v>0</v>
      </c>
      <c r="AR8" s="15">
        <v>0</v>
      </c>
      <c r="AS8" s="16">
        <v>0</v>
      </c>
      <c r="AT8" s="16">
        <f t="shared" si="11"/>
        <v>0</v>
      </c>
      <c r="AU8" s="14">
        <v>0</v>
      </c>
      <c r="AV8" s="15">
        <v>0</v>
      </c>
      <c r="AW8" s="16">
        <v>0</v>
      </c>
      <c r="AX8" s="16">
        <f t="shared" si="12"/>
        <v>0</v>
      </c>
      <c r="AY8" s="14">
        <v>0</v>
      </c>
      <c r="AZ8" s="15">
        <v>5</v>
      </c>
      <c r="BA8" s="16">
        <v>5</v>
      </c>
      <c r="BB8" s="16">
        <f t="shared" si="13"/>
        <v>0</v>
      </c>
      <c r="BC8" s="14">
        <v>0</v>
      </c>
      <c r="BD8" s="15">
        <v>0</v>
      </c>
      <c r="BE8" s="16">
        <v>0</v>
      </c>
      <c r="BF8" s="16">
        <f t="shared" si="14"/>
        <v>0</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25</v>
      </c>
      <c r="BU8" s="16">
        <f t="shared" si="19"/>
        <v>0</v>
      </c>
      <c r="BV8" s="16">
        <f t="shared" si="20"/>
        <v>0</v>
      </c>
      <c r="BW8" s="16">
        <f t="shared" si="21"/>
        <v>1</v>
      </c>
      <c r="BX8" s="16">
        <f t="shared" si="22"/>
        <v>1</v>
      </c>
      <c r="BY8" s="14">
        <f t="shared" si="23"/>
        <v>1</v>
      </c>
      <c r="CC8" s="75" t="s">
        <v>59</v>
      </c>
      <c r="CD8">
        <f>AVERAGE(BW13:BW14)</f>
        <v>0.75</v>
      </c>
      <c r="CE8">
        <f t="shared" ref="CE8:CF8" si="28">AVERAGE(BX13:BX14)</f>
        <v>0.75245098039215685</v>
      </c>
      <c r="CF8">
        <f t="shared" si="28"/>
        <v>0.74565756823821339</v>
      </c>
    </row>
    <row r="9" spans="1:84" x14ac:dyDescent="0.35">
      <c r="A9" s="55" t="s">
        <v>10</v>
      </c>
      <c r="B9" s="108"/>
      <c r="C9" s="17" t="s">
        <v>17</v>
      </c>
      <c r="D9" s="18">
        <v>3</v>
      </c>
      <c r="E9" s="19">
        <v>3</v>
      </c>
      <c r="F9" s="19">
        <f t="shared" si="1"/>
        <v>0</v>
      </c>
      <c r="G9" s="17">
        <v>0</v>
      </c>
      <c r="H9" s="18">
        <v>0</v>
      </c>
      <c r="I9" s="19">
        <v>0</v>
      </c>
      <c r="J9" s="19">
        <f t="shared" si="2"/>
        <v>0</v>
      </c>
      <c r="K9" s="17">
        <v>0</v>
      </c>
      <c r="L9" s="18">
        <v>0</v>
      </c>
      <c r="M9" s="19">
        <v>0</v>
      </c>
      <c r="N9" s="19">
        <f t="shared" si="3"/>
        <v>0</v>
      </c>
      <c r="O9" s="17">
        <v>0</v>
      </c>
      <c r="P9" s="18">
        <v>5</v>
      </c>
      <c r="Q9" s="19">
        <v>5</v>
      </c>
      <c r="R9" s="19">
        <f t="shared" si="4"/>
        <v>0</v>
      </c>
      <c r="S9" s="17">
        <v>0</v>
      </c>
      <c r="T9" s="18">
        <v>0</v>
      </c>
      <c r="U9" s="19">
        <v>0</v>
      </c>
      <c r="V9" s="19">
        <f t="shared" si="5"/>
        <v>0</v>
      </c>
      <c r="W9" s="17">
        <v>0</v>
      </c>
      <c r="X9" s="18">
        <v>0</v>
      </c>
      <c r="Y9" s="19">
        <v>0</v>
      </c>
      <c r="Z9" s="19">
        <f t="shared" si="6"/>
        <v>0</v>
      </c>
      <c r="AA9" s="17">
        <v>0</v>
      </c>
      <c r="AB9" s="18">
        <v>0</v>
      </c>
      <c r="AC9" s="19">
        <v>0</v>
      </c>
      <c r="AD9" s="19">
        <f t="shared" si="7"/>
        <v>0</v>
      </c>
      <c r="AE9" s="17">
        <v>0</v>
      </c>
      <c r="AF9" s="18">
        <v>0</v>
      </c>
      <c r="AG9" s="19">
        <v>0</v>
      </c>
      <c r="AH9" s="19">
        <f t="shared" si="8"/>
        <v>0</v>
      </c>
      <c r="AI9" s="17">
        <v>0</v>
      </c>
      <c r="AJ9" s="18">
        <v>1</v>
      </c>
      <c r="AK9" s="19">
        <v>1</v>
      </c>
      <c r="AL9" s="19">
        <f t="shared" si="9"/>
        <v>0</v>
      </c>
      <c r="AM9" s="17">
        <v>0</v>
      </c>
      <c r="AN9" s="18">
        <v>0</v>
      </c>
      <c r="AO9" s="19">
        <v>0</v>
      </c>
      <c r="AP9" s="19">
        <f t="shared" si="10"/>
        <v>0</v>
      </c>
      <c r="AQ9" s="17">
        <v>0</v>
      </c>
      <c r="AR9" s="18">
        <v>1</v>
      </c>
      <c r="AS9" s="19">
        <v>1</v>
      </c>
      <c r="AT9" s="19">
        <f t="shared" si="11"/>
        <v>0</v>
      </c>
      <c r="AU9" s="17">
        <v>0</v>
      </c>
      <c r="AV9" s="18">
        <v>0</v>
      </c>
      <c r="AW9" s="19">
        <v>0</v>
      </c>
      <c r="AX9" s="19">
        <f t="shared" si="12"/>
        <v>0</v>
      </c>
      <c r="AY9" s="17">
        <v>0</v>
      </c>
      <c r="AZ9" s="18">
        <v>2</v>
      </c>
      <c r="BA9" s="19">
        <v>2</v>
      </c>
      <c r="BB9" s="19">
        <f t="shared" si="13"/>
        <v>0</v>
      </c>
      <c r="BC9" s="17">
        <v>0</v>
      </c>
      <c r="BD9" s="18">
        <v>0</v>
      </c>
      <c r="BE9" s="19">
        <v>0</v>
      </c>
      <c r="BF9" s="19">
        <f t="shared" si="14"/>
        <v>0</v>
      </c>
      <c r="BG9" s="17">
        <v>0</v>
      </c>
      <c r="BH9" s="18">
        <v>0</v>
      </c>
      <c r="BI9" s="19">
        <v>0</v>
      </c>
      <c r="BJ9" s="19">
        <f t="shared" si="15"/>
        <v>0</v>
      </c>
      <c r="BK9" s="17">
        <v>0</v>
      </c>
      <c r="BL9" s="18">
        <v>1</v>
      </c>
      <c r="BM9" s="19">
        <v>0</v>
      </c>
      <c r="BN9" s="19">
        <f t="shared" si="16"/>
        <v>1</v>
      </c>
      <c r="BO9" s="17">
        <v>0</v>
      </c>
      <c r="BP9" s="18">
        <v>0</v>
      </c>
      <c r="BQ9" s="19">
        <v>0</v>
      </c>
      <c r="BR9" s="19">
        <f t="shared" si="17"/>
        <v>0</v>
      </c>
      <c r="BS9" s="17">
        <v>0</v>
      </c>
      <c r="BT9" s="18">
        <f t="shared" si="18"/>
        <v>12</v>
      </c>
      <c r="BU9" s="19">
        <f t="shared" si="19"/>
        <v>1</v>
      </c>
      <c r="BV9" s="19">
        <f t="shared" si="20"/>
        <v>0</v>
      </c>
      <c r="BW9" s="19">
        <f t="shared" si="21"/>
        <v>0.92307692307692313</v>
      </c>
      <c r="BX9" s="19">
        <f t="shared" si="22"/>
        <v>1</v>
      </c>
      <c r="BY9" s="17">
        <f t="shared" si="23"/>
        <v>0.96000000000000008</v>
      </c>
      <c r="CC9" s="75" t="s">
        <v>60</v>
      </c>
      <c r="CD9">
        <f>AVERAGE(BW15:BW16)</f>
        <v>0.8125</v>
      </c>
      <c r="CE9">
        <f t="shared" ref="CE9:CF9" si="29">AVERAGE(BX15:BX16)</f>
        <v>0.76388888888888884</v>
      </c>
      <c r="CF9">
        <f t="shared" si="29"/>
        <v>0.78676470588235303</v>
      </c>
    </row>
    <row r="10" spans="1:84" x14ac:dyDescent="0.35">
      <c r="A10" s="55" t="s">
        <v>10</v>
      </c>
      <c r="B10" s="108"/>
      <c r="C10" s="17" t="s">
        <v>18</v>
      </c>
      <c r="D10" s="18">
        <v>3</v>
      </c>
      <c r="E10" s="19">
        <v>3</v>
      </c>
      <c r="F10" s="19">
        <f t="shared" si="1"/>
        <v>0</v>
      </c>
      <c r="G10" s="17">
        <v>0</v>
      </c>
      <c r="H10" s="18">
        <v>0</v>
      </c>
      <c r="I10" s="19">
        <v>0</v>
      </c>
      <c r="J10" s="19">
        <f t="shared" si="2"/>
        <v>0</v>
      </c>
      <c r="K10" s="17">
        <v>0</v>
      </c>
      <c r="L10" s="18">
        <v>0</v>
      </c>
      <c r="M10" s="19">
        <v>0</v>
      </c>
      <c r="N10" s="19">
        <f t="shared" si="3"/>
        <v>0</v>
      </c>
      <c r="O10" s="17">
        <v>0</v>
      </c>
      <c r="P10" s="18">
        <v>5</v>
      </c>
      <c r="Q10" s="19">
        <v>5</v>
      </c>
      <c r="R10" s="19">
        <f t="shared" si="4"/>
        <v>0</v>
      </c>
      <c r="S10" s="17">
        <v>1</v>
      </c>
      <c r="T10" s="18">
        <v>0</v>
      </c>
      <c r="U10" s="19">
        <v>0</v>
      </c>
      <c r="V10" s="19">
        <f t="shared" si="5"/>
        <v>0</v>
      </c>
      <c r="W10" s="17">
        <v>0</v>
      </c>
      <c r="X10" s="18">
        <v>0</v>
      </c>
      <c r="Y10" s="19">
        <v>0</v>
      </c>
      <c r="Z10" s="19">
        <f t="shared" si="6"/>
        <v>0</v>
      </c>
      <c r="AA10" s="17">
        <v>0</v>
      </c>
      <c r="AB10" s="18">
        <v>0</v>
      </c>
      <c r="AC10" s="19">
        <v>0</v>
      </c>
      <c r="AD10" s="19">
        <f t="shared" si="7"/>
        <v>0</v>
      </c>
      <c r="AE10" s="17">
        <v>0</v>
      </c>
      <c r="AF10" s="18">
        <v>0</v>
      </c>
      <c r="AG10" s="19">
        <v>0</v>
      </c>
      <c r="AH10" s="19">
        <f t="shared" si="8"/>
        <v>0</v>
      </c>
      <c r="AI10" s="17">
        <v>0</v>
      </c>
      <c r="AJ10" s="18">
        <v>1</v>
      </c>
      <c r="AK10" s="19">
        <v>1</v>
      </c>
      <c r="AL10" s="19">
        <f t="shared" si="9"/>
        <v>0</v>
      </c>
      <c r="AM10" s="17">
        <v>0</v>
      </c>
      <c r="AN10" s="18">
        <v>0</v>
      </c>
      <c r="AO10" s="19">
        <v>0</v>
      </c>
      <c r="AP10" s="19">
        <f t="shared" si="10"/>
        <v>0</v>
      </c>
      <c r="AQ10" s="17">
        <v>0</v>
      </c>
      <c r="AR10" s="18">
        <v>1</v>
      </c>
      <c r="AS10" s="19">
        <v>1</v>
      </c>
      <c r="AT10" s="19">
        <f t="shared" si="11"/>
        <v>0</v>
      </c>
      <c r="AU10" s="17">
        <v>0</v>
      </c>
      <c r="AV10" s="18">
        <v>0</v>
      </c>
      <c r="AW10" s="19">
        <v>0</v>
      </c>
      <c r="AX10" s="19">
        <f t="shared" si="12"/>
        <v>0</v>
      </c>
      <c r="AY10" s="17">
        <v>0</v>
      </c>
      <c r="AZ10" s="18">
        <v>2</v>
      </c>
      <c r="BA10" s="19">
        <v>2</v>
      </c>
      <c r="BB10" s="19">
        <f t="shared" si="13"/>
        <v>0</v>
      </c>
      <c r="BC10" s="17">
        <v>0</v>
      </c>
      <c r="BD10" s="18">
        <v>0</v>
      </c>
      <c r="BE10" s="19">
        <v>0</v>
      </c>
      <c r="BF10" s="19">
        <f t="shared" si="14"/>
        <v>0</v>
      </c>
      <c r="BG10" s="17">
        <v>0</v>
      </c>
      <c r="BH10" s="18">
        <v>0</v>
      </c>
      <c r="BI10" s="19">
        <v>0</v>
      </c>
      <c r="BJ10" s="19">
        <f t="shared" si="15"/>
        <v>0</v>
      </c>
      <c r="BK10" s="17">
        <v>0</v>
      </c>
      <c r="BL10" s="18">
        <v>1</v>
      </c>
      <c r="BM10" s="19">
        <v>0</v>
      </c>
      <c r="BN10" s="19">
        <f t="shared" si="16"/>
        <v>1</v>
      </c>
      <c r="BO10" s="17">
        <v>0</v>
      </c>
      <c r="BP10" s="18">
        <v>0</v>
      </c>
      <c r="BQ10" s="19">
        <v>0</v>
      </c>
      <c r="BR10" s="19">
        <f t="shared" si="17"/>
        <v>0</v>
      </c>
      <c r="BS10" s="17">
        <v>0</v>
      </c>
      <c r="BT10" s="18">
        <f t="shared" si="18"/>
        <v>12</v>
      </c>
      <c r="BU10" s="19">
        <f t="shared" si="19"/>
        <v>1</v>
      </c>
      <c r="BV10" s="19">
        <f t="shared" si="20"/>
        <v>1</v>
      </c>
      <c r="BW10" s="19">
        <f t="shared" si="21"/>
        <v>0.92307692307692313</v>
      </c>
      <c r="BX10" s="19">
        <f t="shared" si="22"/>
        <v>0.92307692307692313</v>
      </c>
      <c r="BY10" s="17">
        <f t="shared" si="23"/>
        <v>0.92307692307692313</v>
      </c>
      <c r="CC10" s="75" t="s">
        <v>61</v>
      </c>
      <c r="CD10">
        <f>AVERAGE(BW17:BW18)</f>
        <v>0.9</v>
      </c>
      <c r="CE10">
        <f t="shared" ref="CE10:CF10" si="30">AVERAGE(BX17:BX18)</f>
        <v>1</v>
      </c>
      <c r="CF10">
        <f t="shared" si="30"/>
        <v>0.94736842105263164</v>
      </c>
    </row>
    <row r="11" spans="1:84" x14ac:dyDescent="0.35">
      <c r="A11" s="56" t="s">
        <v>10</v>
      </c>
      <c r="B11" s="108"/>
      <c r="C11" s="20" t="s">
        <v>19</v>
      </c>
      <c r="D11" s="21">
        <v>2</v>
      </c>
      <c r="E11" s="22">
        <v>2</v>
      </c>
      <c r="F11" s="22">
        <f t="shared" si="1"/>
        <v>0</v>
      </c>
      <c r="G11" s="20">
        <v>0</v>
      </c>
      <c r="H11" s="21">
        <v>2</v>
      </c>
      <c r="I11" s="22">
        <v>2</v>
      </c>
      <c r="J11" s="22">
        <f t="shared" si="2"/>
        <v>0</v>
      </c>
      <c r="K11" s="20">
        <v>0</v>
      </c>
      <c r="L11" s="21">
        <v>8</v>
      </c>
      <c r="M11" s="22">
        <v>8</v>
      </c>
      <c r="N11" s="22">
        <f t="shared" si="3"/>
        <v>0</v>
      </c>
      <c r="O11" s="20">
        <v>0</v>
      </c>
      <c r="P11" s="21">
        <v>7</v>
      </c>
      <c r="Q11" s="22">
        <v>7</v>
      </c>
      <c r="R11" s="22">
        <f t="shared" si="4"/>
        <v>0</v>
      </c>
      <c r="S11" s="20">
        <v>2</v>
      </c>
      <c r="T11" s="21">
        <v>0</v>
      </c>
      <c r="U11" s="22">
        <v>0</v>
      </c>
      <c r="V11" s="22">
        <f t="shared" si="5"/>
        <v>0</v>
      </c>
      <c r="W11" s="20">
        <v>0</v>
      </c>
      <c r="X11" s="21">
        <v>1</v>
      </c>
      <c r="Y11" s="22">
        <v>1</v>
      </c>
      <c r="Z11" s="22">
        <f t="shared" si="6"/>
        <v>0</v>
      </c>
      <c r="AA11" s="20">
        <v>0</v>
      </c>
      <c r="AB11" s="21">
        <v>1</v>
      </c>
      <c r="AC11" s="22">
        <v>1</v>
      </c>
      <c r="AD11" s="22">
        <f t="shared" si="7"/>
        <v>0</v>
      </c>
      <c r="AE11" s="20">
        <v>0</v>
      </c>
      <c r="AF11" s="21">
        <v>3</v>
      </c>
      <c r="AG11" s="22">
        <v>0</v>
      </c>
      <c r="AH11" s="22">
        <f t="shared" si="8"/>
        <v>3</v>
      </c>
      <c r="AI11" s="20">
        <v>0</v>
      </c>
      <c r="AJ11" s="21">
        <v>0</v>
      </c>
      <c r="AK11" s="22">
        <v>0</v>
      </c>
      <c r="AL11" s="22">
        <f t="shared" si="9"/>
        <v>0</v>
      </c>
      <c r="AM11" s="20">
        <v>0</v>
      </c>
      <c r="AN11" s="21">
        <v>0</v>
      </c>
      <c r="AO11" s="22">
        <v>0</v>
      </c>
      <c r="AP11" s="22">
        <f t="shared" si="10"/>
        <v>0</v>
      </c>
      <c r="AQ11" s="20">
        <v>0</v>
      </c>
      <c r="AR11" s="21">
        <v>0</v>
      </c>
      <c r="AS11" s="22">
        <v>0</v>
      </c>
      <c r="AT11" s="22">
        <f t="shared" si="11"/>
        <v>0</v>
      </c>
      <c r="AU11" s="20">
        <v>0</v>
      </c>
      <c r="AV11" s="21">
        <v>1</v>
      </c>
      <c r="AW11" s="22">
        <v>1</v>
      </c>
      <c r="AX11" s="22">
        <f t="shared" si="12"/>
        <v>0</v>
      </c>
      <c r="AY11" s="20">
        <v>1</v>
      </c>
      <c r="AZ11" s="21">
        <v>1</v>
      </c>
      <c r="BA11" s="22">
        <v>1</v>
      </c>
      <c r="BB11" s="22">
        <f t="shared" si="13"/>
        <v>0</v>
      </c>
      <c r="BC11" s="20">
        <v>1</v>
      </c>
      <c r="BD11" s="21">
        <v>0</v>
      </c>
      <c r="BE11" s="22">
        <v>0</v>
      </c>
      <c r="BF11" s="22">
        <f t="shared" si="14"/>
        <v>0</v>
      </c>
      <c r="BG11" s="20">
        <v>0</v>
      </c>
      <c r="BH11" s="21">
        <v>0</v>
      </c>
      <c r="BI11" s="22">
        <v>0</v>
      </c>
      <c r="BJ11" s="22">
        <f t="shared" si="15"/>
        <v>0</v>
      </c>
      <c r="BK11" s="20">
        <v>0</v>
      </c>
      <c r="BL11" s="21">
        <v>1</v>
      </c>
      <c r="BM11" s="22">
        <v>0</v>
      </c>
      <c r="BN11" s="22">
        <f t="shared" si="16"/>
        <v>1</v>
      </c>
      <c r="BO11" s="20">
        <v>0</v>
      </c>
      <c r="BP11" s="21">
        <v>0</v>
      </c>
      <c r="BQ11" s="22">
        <v>0</v>
      </c>
      <c r="BR11" s="22">
        <f t="shared" si="17"/>
        <v>0</v>
      </c>
      <c r="BS11" s="20">
        <v>0</v>
      </c>
      <c r="BT11" s="21">
        <f t="shared" si="18"/>
        <v>23</v>
      </c>
      <c r="BU11" s="22">
        <f t="shared" si="19"/>
        <v>4</v>
      </c>
      <c r="BV11" s="22">
        <f t="shared" si="20"/>
        <v>4</v>
      </c>
      <c r="BW11" s="22">
        <f t="shared" si="21"/>
        <v>0.85185185185185186</v>
      </c>
      <c r="BX11" s="22">
        <f t="shared" si="22"/>
        <v>0.85185185185185186</v>
      </c>
      <c r="BY11" s="20">
        <f t="shared" si="23"/>
        <v>0.85185185185185186</v>
      </c>
      <c r="CC11" s="75" t="s">
        <v>62</v>
      </c>
      <c r="CD11">
        <f>AVERAGE(BW19:BW20)</f>
        <v>0.70588235294117652</v>
      </c>
      <c r="CE11">
        <f t="shared" ref="CE11:CF11" si="31">AVERAGE(BX19:BX20)</f>
        <v>0.82857142857142851</v>
      </c>
      <c r="CF11">
        <f t="shared" si="31"/>
        <v>0.76209677419354849</v>
      </c>
    </row>
    <row r="12" spans="1:84" x14ac:dyDescent="0.35">
      <c r="A12" s="56" t="s">
        <v>10</v>
      </c>
      <c r="B12" s="108"/>
      <c r="C12" s="20" t="s">
        <v>20</v>
      </c>
      <c r="D12" s="21">
        <v>2</v>
      </c>
      <c r="E12" s="22">
        <v>2</v>
      </c>
      <c r="F12" s="22">
        <f t="shared" si="1"/>
        <v>0</v>
      </c>
      <c r="G12" s="20">
        <v>0</v>
      </c>
      <c r="H12" s="21">
        <v>2</v>
      </c>
      <c r="I12" s="22">
        <v>1</v>
      </c>
      <c r="J12" s="22">
        <f>H12-I12</f>
        <v>1</v>
      </c>
      <c r="K12" s="20">
        <v>0</v>
      </c>
      <c r="L12" s="21">
        <v>8</v>
      </c>
      <c r="M12" s="22">
        <v>5</v>
      </c>
      <c r="N12" s="22">
        <f t="shared" si="3"/>
        <v>3</v>
      </c>
      <c r="O12" s="20">
        <v>0</v>
      </c>
      <c r="P12" s="21">
        <v>7</v>
      </c>
      <c r="Q12" s="22">
        <v>7</v>
      </c>
      <c r="R12" s="22">
        <f t="shared" si="4"/>
        <v>0</v>
      </c>
      <c r="S12" s="20">
        <v>2</v>
      </c>
      <c r="T12" s="21">
        <v>0</v>
      </c>
      <c r="U12" s="22">
        <v>0</v>
      </c>
      <c r="V12" s="22">
        <f t="shared" si="5"/>
        <v>0</v>
      </c>
      <c r="W12" s="20">
        <v>0</v>
      </c>
      <c r="X12" s="21">
        <v>1</v>
      </c>
      <c r="Y12" s="22">
        <v>1</v>
      </c>
      <c r="Z12" s="22">
        <f t="shared" si="6"/>
        <v>0</v>
      </c>
      <c r="AA12" s="20">
        <v>0</v>
      </c>
      <c r="AB12" s="21">
        <v>1</v>
      </c>
      <c r="AC12" s="22">
        <v>1</v>
      </c>
      <c r="AD12" s="22">
        <f t="shared" si="7"/>
        <v>0</v>
      </c>
      <c r="AE12" s="20">
        <v>0</v>
      </c>
      <c r="AF12" s="21">
        <v>3</v>
      </c>
      <c r="AG12" s="22">
        <v>0</v>
      </c>
      <c r="AH12" s="22">
        <f t="shared" si="8"/>
        <v>3</v>
      </c>
      <c r="AI12" s="20">
        <v>0</v>
      </c>
      <c r="AJ12" s="21">
        <v>0</v>
      </c>
      <c r="AK12" s="22">
        <v>0</v>
      </c>
      <c r="AL12" s="22">
        <f t="shared" si="9"/>
        <v>0</v>
      </c>
      <c r="AM12" s="20">
        <v>0</v>
      </c>
      <c r="AN12" s="21">
        <v>0</v>
      </c>
      <c r="AO12" s="22">
        <v>0</v>
      </c>
      <c r="AP12" s="22">
        <f t="shared" si="10"/>
        <v>0</v>
      </c>
      <c r="AQ12" s="20">
        <v>0</v>
      </c>
      <c r="AR12" s="21">
        <v>0</v>
      </c>
      <c r="AS12" s="22">
        <v>0</v>
      </c>
      <c r="AT12" s="22">
        <f t="shared" si="11"/>
        <v>0</v>
      </c>
      <c r="AU12" s="20">
        <v>0</v>
      </c>
      <c r="AV12" s="21">
        <v>1</v>
      </c>
      <c r="AW12" s="22">
        <v>1</v>
      </c>
      <c r="AX12" s="22">
        <f>AV12-AW12</f>
        <v>0</v>
      </c>
      <c r="AY12" s="20">
        <v>1</v>
      </c>
      <c r="AZ12" s="21">
        <v>1</v>
      </c>
      <c r="BA12" s="22">
        <v>1</v>
      </c>
      <c r="BB12" s="22">
        <f t="shared" si="13"/>
        <v>0</v>
      </c>
      <c r="BC12" s="20">
        <v>1</v>
      </c>
      <c r="BD12" s="21">
        <v>0</v>
      </c>
      <c r="BE12" s="22">
        <v>0</v>
      </c>
      <c r="BF12" s="22">
        <f t="shared" si="14"/>
        <v>0</v>
      </c>
      <c r="BG12" s="20">
        <v>0</v>
      </c>
      <c r="BH12" s="21">
        <v>0</v>
      </c>
      <c r="BI12" s="22">
        <v>0</v>
      </c>
      <c r="BJ12" s="22">
        <f t="shared" si="15"/>
        <v>0</v>
      </c>
      <c r="BK12" s="20">
        <v>0</v>
      </c>
      <c r="BL12" s="21">
        <v>1</v>
      </c>
      <c r="BM12" s="22">
        <v>0</v>
      </c>
      <c r="BN12" s="22">
        <f t="shared" si="16"/>
        <v>1</v>
      </c>
      <c r="BO12" s="20">
        <v>1</v>
      </c>
      <c r="BP12" s="21">
        <v>0</v>
      </c>
      <c r="BQ12" s="22">
        <v>0</v>
      </c>
      <c r="BR12" s="22">
        <f t="shared" si="17"/>
        <v>0</v>
      </c>
      <c r="BS12" s="20">
        <v>0</v>
      </c>
      <c r="BT12" s="21">
        <f t="shared" si="18"/>
        <v>19</v>
      </c>
      <c r="BU12" s="22">
        <f t="shared" si="19"/>
        <v>8</v>
      </c>
      <c r="BV12" s="22">
        <f t="shared" si="20"/>
        <v>5</v>
      </c>
      <c r="BW12" s="22">
        <f t="shared" si="21"/>
        <v>0.70370370370370372</v>
      </c>
      <c r="BX12" s="22">
        <f t="shared" si="22"/>
        <v>0.79166666666666663</v>
      </c>
      <c r="BY12" s="20">
        <f t="shared" si="23"/>
        <v>0.7450980392156864</v>
      </c>
      <c r="CC12" s="75" t="s">
        <v>63</v>
      </c>
      <c r="CD12">
        <f>AVERAGE(BW21:BW22)</f>
        <v>0.85000000000000009</v>
      </c>
      <c r="CE12">
        <f t="shared" ref="CE12:CF12" si="32">AVERAGE(BX21:BX22)</f>
        <v>0.79059829059829057</v>
      </c>
      <c r="CF12">
        <f t="shared" si="32"/>
        <v>0.81235697940503426</v>
      </c>
    </row>
    <row r="13" spans="1:84" ht="13.5" customHeight="1" x14ac:dyDescent="0.35">
      <c r="A13" s="57" t="s">
        <v>10</v>
      </c>
      <c r="B13" s="108"/>
      <c r="C13" s="23" t="s">
        <v>21</v>
      </c>
      <c r="D13" s="24">
        <v>3</v>
      </c>
      <c r="E13" s="25">
        <v>3</v>
      </c>
      <c r="F13" s="25">
        <f t="shared" si="1"/>
        <v>0</v>
      </c>
      <c r="G13" s="23">
        <v>0</v>
      </c>
      <c r="H13" s="24">
        <v>0</v>
      </c>
      <c r="I13" s="25">
        <v>0</v>
      </c>
      <c r="J13" s="25">
        <f t="shared" si="2"/>
        <v>0</v>
      </c>
      <c r="K13" s="23">
        <v>0</v>
      </c>
      <c r="L13" s="24">
        <v>0</v>
      </c>
      <c r="M13" s="25">
        <v>0</v>
      </c>
      <c r="N13" s="25">
        <f t="shared" si="3"/>
        <v>0</v>
      </c>
      <c r="O13" s="23">
        <v>0</v>
      </c>
      <c r="P13" s="24">
        <v>5</v>
      </c>
      <c r="Q13" s="25">
        <v>5</v>
      </c>
      <c r="R13" s="25">
        <f t="shared" si="4"/>
        <v>0</v>
      </c>
      <c r="S13" s="23">
        <v>0</v>
      </c>
      <c r="T13" s="24">
        <v>0</v>
      </c>
      <c r="U13" s="25">
        <v>0</v>
      </c>
      <c r="V13" s="25">
        <f t="shared" si="5"/>
        <v>0</v>
      </c>
      <c r="W13" s="23">
        <v>0</v>
      </c>
      <c r="X13" s="24">
        <v>0</v>
      </c>
      <c r="Y13" s="25">
        <v>0</v>
      </c>
      <c r="Z13" s="25">
        <f t="shared" si="6"/>
        <v>0</v>
      </c>
      <c r="AA13" s="23">
        <v>0</v>
      </c>
      <c r="AB13" s="24">
        <v>0</v>
      </c>
      <c r="AC13" s="25">
        <v>0</v>
      </c>
      <c r="AD13" s="25">
        <f t="shared" si="7"/>
        <v>0</v>
      </c>
      <c r="AE13" s="23">
        <v>0</v>
      </c>
      <c r="AF13" s="24">
        <v>0</v>
      </c>
      <c r="AG13" s="25">
        <v>0</v>
      </c>
      <c r="AH13" s="25">
        <f t="shared" si="8"/>
        <v>0</v>
      </c>
      <c r="AI13" s="23">
        <v>0</v>
      </c>
      <c r="AJ13" s="24">
        <v>0</v>
      </c>
      <c r="AK13" s="25">
        <v>0</v>
      </c>
      <c r="AL13" s="25">
        <f t="shared" si="9"/>
        <v>0</v>
      </c>
      <c r="AM13" s="23">
        <v>0</v>
      </c>
      <c r="AN13" s="24">
        <v>0</v>
      </c>
      <c r="AO13" s="25">
        <v>0</v>
      </c>
      <c r="AP13" s="25">
        <f t="shared" si="10"/>
        <v>0</v>
      </c>
      <c r="AQ13" s="23">
        <v>0</v>
      </c>
      <c r="AR13" s="24">
        <v>2</v>
      </c>
      <c r="AS13" s="25">
        <v>1</v>
      </c>
      <c r="AT13" s="25">
        <f t="shared" si="11"/>
        <v>1</v>
      </c>
      <c r="AU13" s="23">
        <v>0</v>
      </c>
      <c r="AV13" s="24">
        <v>0</v>
      </c>
      <c r="AW13" s="25">
        <v>0</v>
      </c>
      <c r="AX13" s="25">
        <f t="shared" si="12"/>
        <v>0</v>
      </c>
      <c r="AY13" s="23">
        <v>1</v>
      </c>
      <c r="AZ13" s="24">
        <v>2</v>
      </c>
      <c r="BA13" s="25">
        <v>2</v>
      </c>
      <c r="BB13" s="25">
        <f t="shared" si="13"/>
        <v>0</v>
      </c>
      <c r="BC13" s="23">
        <v>0</v>
      </c>
      <c r="BD13" s="24">
        <v>0</v>
      </c>
      <c r="BE13" s="25">
        <v>0</v>
      </c>
      <c r="BF13" s="25">
        <f t="shared" si="14"/>
        <v>0</v>
      </c>
      <c r="BG13" s="23">
        <v>0</v>
      </c>
      <c r="BH13" s="24">
        <v>0</v>
      </c>
      <c r="BI13" s="25">
        <v>0</v>
      </c>
      <c r="BJ13" s="25">
        <f t="shared" si="15"/>
        <v>0</v>
      </c>
      <c r="BK13" s="23">
        <v>0</v>
      </c>
      <c r="BL13" s="24">
        <v>2</v>
      </c>
      <c r="BM13" s="25">
        <v>0</v>
      </c>
      <c r="BN13" s="25">
        <f t="shared" si="16"/>
        <v>2</v>
      </c>
      <c r="BO13" s="23">
        <v>0</v>
      </c>
      <c r="BP13" s="24">
        <v>0</v>
      </c>
      <c r="BQ13" s="25">
        <v>0</v>
      </c>
      <c r="BR13" s="25">
        <f t="shared" si="17"/>
        <v>0</v>
      </c>
      <c r="BS13" s="23">
        <v>0</v>
      </c>
      <c r="BT13" s="24">
        <f t="shared" si="18"/>
        <v>11</v>
      </c>
      <c r="BU13" s="25">
        <f t="shared" si="19"/>
        <v>3</v>
      </c>
      <c r="BV13" s="25">
        <f t="shared" si="20"/>
        <v>1</v>
      </c>
      <c r="BW13" s="25">
        <f t="shared" si="21"/>
        <v>0.7857142857142857</v>
      </c>
      <c r="BX13" s="25">
        <f t="shared" si="22"/>
        <v>0.91666666666666663</v>
      </c>
      <c r="BY13" s="23">
        <f t="shared" si="23"/>
        <v>0.84615384615384615</v>
      </c>
      <c r="CC13" s="75" t="s">
        <v>64</v>
      </c>
      <c r="CD13">
        <f>AVERAGE(BW23:BW24)</f>
        <v>0.63888888888888884</v>
      </c>
      <c r="CE13">
        <f t="shared" ref="CE13:CF13" si="33">AVERAGE(BX23:BX24)</f>
        <v>0.85439560439560447</v>
      </c>
      <c r="CF13">
        <f t="shared" si="33"/>
        <v>0.73084677419354849</v>
      </c>
    </row>
    <row r="14" spans="1:84" x14ac:dyDescent="0.35">
      <c r="A14" s="57" t="s">
        <v>10</v>
      </c>
      <c r="B14" s="108"/>
      <c r="C14" s="23" t="s">
        <v>22</v>
      </c>
      <c r="D14" s="24">
        <v>3</v>
      </c>
      <c r="E14" s="25">
        <v>3</v>
      </c>
      <c r="F14" s="25">
        <f t="shared" si="1"/>
        <v>0</v>
      </c>
      <c r="G14" s="23">
        <v>0</v>
      </c>
      <c r="H14" s="24">
        <v>0</v>
      </c>
      <c r="I14" s="24">
        <v>0</v>
      </c>
      <c r="J14" s="24">
        <v>0</v>
      </c>
      <c r="K14" s="23">
        <v>0</v>
      </c>
      <c r="L14" s="24">
        <v>0</v>
      </c>
      <c r="M14" s="24">
        <v>0</v>
      </c>
      <c r="N14" s="24">
        <v>0</v>
      </c>
      <c r="O14" s="23">
        <v>0</v>
      </c>
      <c r="P14" s="24">
        <v>5</v>
      </c>
      <c r="Q14" s="25">
        <v>5</v>
      </c>
      <c r="R14" s="25">
        <f t="shared" si="4"/>
        <v>0</v>
      </c>
      <c r="S14" s="23">
        <v>0</v>
      </c>
      <c r="T14" s="24">
        <v>0</v>
      </c>
      <c r="U14" s="25">
        <v>0</v>
      </c>
      <c r="V14" s="25">
        <v>0</v>
      </c>
      <c r="W14" s="23">
        <v>5</v>
      </c>
      <c r="X14" s="24">
        <v>0</v>
      </c>
      <c r="Y14" s="24">
        <v>0</v>
      </c>
      <c r="Z14" s="24">
        <f>X14-Y14</f>
        <v>0</v>
      </c>
      <c r="AA14" s="23">
        <v>0</v>
      </c>
      <c r="AB14" s="24">
        <v>0</v>
      </c>
      <c r="AC14" s="24">
        <v>0</v>
      </c>
      <c r="AD14" s="24">
        <f>AB14-AC14</f>
        <v>0</v>
      </c>
      <c r="AE14" s="23">
        <v>0</v>
      </c>
      <c r="AF14" s="24">
        <v>0</v>
      </c>
      <c r="AG14" s="24">
        <v>0</v>
      </c>
      <c r="AH14" s="24">
        <f>AF14-AG14</f>
        <v>0</v>
      </c>
      <c r="AI14" s="23">
        <v>0</v>
      </c>
      <c r="AJ14" s="24">
        <v>0</v>
      </c>
      <c r="AK14" s="24">
        <v>0</v>
      </c>
      <c r="AL14" s="24">
        <f>AJ14-AK14</f>
        <v>0</v>
      </c>
      <c r="AM14" s="23">
        <v>0</v>
      </c>
      <c r="AN14" s="24">
        <v>0</v>
      </c>
      <c r="AO14" s="24">
        <v>0</v>
      </c>
      <c r="AP14" s="24">
        <f>AN14-AO14</f>
        <v>0</v>
      </c>
      <c r="AQ14" s="23">
        <v>0</v>
      </c>
      <c r="AR14" s="24">
        <v>2</v>
      </c>
      <c r="AS14" s="25">
        <v>0</v>
      </c>
      <c r="AT14" s="25">
        <f t="shared" si="11"/>
        <v>2</v>
      </c>
      <c r="AU14" s="23">
        <v>0</v>
      </c>
      <c r="AV14" s="24">
        <v>0</v>
      </c>
      <c r="AW14" s="25">
        <v>0</v>
      </c>
      <c r="AX14" s="25">
        <f t="shared" si="12"/>
        <v>0</v>
      </c>
      <c r="AY14" s="23">
        <v>2</v>
      </c>
      <c r="AZ14" s="24">
        <v>2</v>
      </c>
      <c r="BA14" s="25">
        <v>2</v>
      </c>
      <c r="BB14" s="25">
        <f t="shared" si="13"/>
        <v>0</v>
      </c>
      <c r="BC14" s="23">
        <v>0</v>
      </c>
      <c r="BD14" s="24">
        <v>0</v>
      </c>
      <c r="BE14" s="25">
        <v>0</v>
      </c>
      <c r="BF14" s="25">
        <f t="shared" si="14"/>
        <v>0</v>
      </c>
      <c r="BG14" s="23">
        <v>0</v>
      </c>
      <c r="BH14" s="24">
        <v>0</v>
      </c>
      <c r="BI14" s="25">
        <v>0</v>
      </c>
      <c r="BJ14" s="25">
        <f t="shared" si="15"/>
        <v>0</v>
      </c>
      <c r="BK14" s="23">
        <v>0</v>
      </c>
      <c r="BL14" s="24">
        <v>2</v>
      </c>
      <c r="BM14" s="25">
        <v>0</v>
      </c>
      <c r="BN14" s="25">
        <f t="shared" si="16"/>
        <v>2</v>
      </c>
      <c r="BO14" s="23">
        <v>0</v>
      </c>
      <c r="BP14" s="24">
        <v>0</v>
      </c>
      <c r="BQ14" s="25">
        <v>0</v>
      </c>
      <c r="BR14" s="25">
        <f t="shared" si="17"/>
        <v>0</v>
      </c>
      <c r="BS14" s="23">
        <v>0</v>
      </c>
      <c r="BT14" s="24">
        <f t="shared" si="18"/>
        <v>10</v>
      </c>
      <c r="BU14" s="25">
        <f t="shared" si="19"/>
        <v>4</v>
      </c>
      <c r="BV14" s="25">
        <f t="shared" si="20"/>
        <v>7</v>
      </c>
      <c r="BW14" s="25">
        <f t="shared" si="21"/>
        <v>0.7142857142857143</v>
      </c>
      <c r="BX14" s="25">
        <f t="shared" si="22"/>
        <v>0.58823529411764708</v>
      </c>
      <c r="BY14" s="23">
        <f t="shared" si="23"/>
        <v>0.64516129032258063</v>
      </c>
      <c r="CC14" s="75" t="s">
        <v>65</v>
      </c>
      <c r="CD14">
        <f>AVERAGE(BW25:BW26)</f>
        <v>0.8571428571428571</v>
      </c>
      <c r="CE14">
        <f t="shared" ref="CE14:CF14" si="34">AVERAGE(BX25:BX26)</f>
        <v>1</v>
      </c>
      <c r="CF14">
        <f t="shared" si="34"/>
        <v>0.92307692307692302</v>
      </c>
    </row>
    <row r="15" spans="1:84" x14ac:dyDescent="0.35">
      <c r="A15" s="58" t="s">
        <v>10</v>
      </c>
      <c r="B15" s="108"/>
      <c r="C15" s="26" t="s">
        <v>23</v>
      </c>
      <c r="D15" s="27">
        <v>2</v>
      </c>
      <c r="E15" s="28">
        <v>2</v>
      </c>
      <c r="F15" s="28">
        <f t="shared" si="1"/>
        <v>0</v>
      </c>
      <c r="G15" s="26">
        <v>0</v>
      </c>
      <c r="H15" s="27">
        <v>0</v>
      </c>
      <c r="I15" s="27">
        <v>0</v>
      </c>
      <c r="J15" s="27">
        <f t="shared" si="2"/>
        <v>0</v>
      </c>
      <c r="K15" s="26">
        <v>0</v>
      </c>
      <c r="L15" s="27">
        <v>0</v>
      </c>
      <c r="M15" s="27">
        <v>0</v>
      </c>
      <c r="N15" s="27">
        <f t="shared" si="3"/>
        <v>0</v>
      </c>
      <c r="O15" s="26">
        <v>0</v>
      </c>
      <c r="P15" s="27">
        <v>3</v>
      </c>
      <c r="Q15" s="28">
        <v>3</v>
      </c>
      <c r="R15" s="28">
        <f t="shared" si="4"/>
        <v>0</v>
      </c>
      <c r="S15" s="26">
        <v>1</v>
      </c>
      <c r="T15" s="27">
        <v>0</v>
      </c>
      <c r="U15" s="28">
        <v>0</v>
      </c>
      <c r="V15" s="28">
        <f t="shared" si="5"/>
        <v>0</v>
      </c>
      <c r="W15" s="26">
        <v>0</v>
      </c>
      <c r="X15" s="27">
        <v>0</v>
      </c>
      <c r="Y15" s="27">
        <v>0</v>
      </c>
      <c r="Z15" s="27">
        <f t="shared" si="6"/>
        <v>0</v>
      </c>
      <c r="AA15" s="26">
        <v>0</v>
      </c>
      <c r="AB15" s="27">
        <v>0</v>
      </c>
      <c r="AC15" s="27">
        <v>0</v>
      </c>
      <c r="AD15" s="27">
        <f t="shared" si="7"/>
        <v>0</v>
      </c>
      <c r="AE15" s="26">
        <v>0</v>
      </c>
      <c r="AF15" s="27">
        <v>0</v>
      </c>
      <c r="AG15" s="27">
        <v>0</v>
      </c>
      <c r="AH15" s="27">
        <f t="shared" si="8"/>
        <v>0</v>
      </c>
      <c r="AI15" s="26">
        <v>0</v>
      </c>
      <c r="AJ15" s="27">
        <v>0</v>
      </c>
      <c r="AK15" s="27">
        <v>0</v>
      </c>
      <c r="AL15" s="27">
        <f t="shared" si="9"/>
        <v>0</v>
      </c>
      <c r="AM15" s="26">
        <v>0</v>
      </c>
      <c r="AN15" s="27">
        <v>0</v>
      </c>
      <c r="AO15" s="27">
        <v>0</v>
      </c>
      <c r="AP15" s="27">
        <f t="shared" si="10"/>
        <v>0</v>
      </c>
      <c r="AQ15" s="26">
        <v>0</v>
      </c>
      <c r="AR15" s="27">
        <v>1</v>
      </c>
      <c r="AS15" s="28">
        <v>0</v>
      </c>
      <c r="AT15" s="28">
        <f t="shared" si="11"/>
        <v>1</v>
      </c>
      <c r="AU15" s="26">
        <v>0</v>
      </c>
      <c r="AV15" s="27">
        <v>0</v>
      </c>
      <c r="AW15" s="28">
        <v>0</v>
      </c>
      <c r="AX15" s="28">
        <f t="shared" si="12"/>
        <v>0</v>
      </c>
      <c r="AY15" s="26">
        <v>1</v>
      </c>
      <c r="AZ15" s="27">
        <v>1</v>
      </c>
      <c r="BA15" s="28">
        <v>1</v>
      </c>
      <c r="BB15" s="28">
        <f t="shared" si="13"/>
        <v>0</v>
      </c>
      <c r="BC15" s="26">
        <v>0</v>
      </c>
      <c r="BD15" s="27">
        <v>0</v>
      </c>
      <c r="BE15" s="28">
        <v>0</v>
      </c>
      <c r="BF15" s="28">
        <f t="shared" si="14"/>
        <v>0</v>
      </c>
      <c r="BG15" s="26">
        <v>0</v>
      </c>
      <c r="BH15" s="27">
        <v>0</v>
      </c>
      <c r="BI15" s="28">
        <v>0</v>
      </c>
      <c r="BJ15" s="28">
        <f t="shared" si="15"/>
        <v>0</v>
      </c>
      <c r="BK15" s="26">
        <v>0</v>
      </c>
      <c r="BL15" s="27">
        <v>1</v>
      </c>
      <c r="BM15" s="28">
        <v>1</v>
      </c>
      <c r="BN15" s="28">
        <f t="shared" si="16"/>
        <v>0</v>
      </c>
      <c r="BO15" s="26">
        <v>0</v>
      </c>
      <c r="BP15" s="27">
        <v>0</v>
      </c>
      <c r="BQ15" s="28">
        <v>0</v>
      </c>
      <c r="BR15" s="28">
        <f t="shared" si="17"/>
        <v>0</v>
      </c>
      <c r="BS15" s="26">
        <v>0</v>
      </c>
      <c r="BT15" s="27">
        <f t="shared" si="18"/>
        <v>7</v>
      </c>
      <c r="BU15" s="28">
        <f t="shared" si="19"/>
        <v>1</v>
      </c>
      <c r="BV15" s="28">
        <f t="shared" si="20"/>
        <v>2</v>
      </c>
      <c r="BW15" s="28">
        <f t="shared" si="21"/>
        <v>0.875</v>
      </c>
      <c r="BX15" s="28">
        <f t="shared" si="22"/>
        <v>0.77777777777777779</v>
      </c>
      <c r="BY15" s="26">
        <f t="shared" si="23"/>
        <v>0.82352941176470595</v>
      </c>
      <c r="CC15" s="75" t="s">
        <v>66</v>
      </c>
      <c r="CD15">
        <f>AVERAGE(BW27:BW28)</f>
        <v>0.55882352941176472</v>
      </c>
      <c r="CE15">
        <f t="shared" ref="CE15:CF15" si="35">AVERAGE(BX27:BX28)</f>
        <v>0.76666666666666661</v>
      </c>
      <c r="CF15">
        <f t="shared" si="35"/>
        <v>0.63701923076923084</v>
      </c>
    </row>
    <row r="16" spans="1:84" x14ac:dyDescent="0.35">
      <c r="A16" s="58" t="s">
        <v>10</v>
      </c>
      <c r="B16" s="108"/>
      <c r="C16" s="26" t="s">
        <v>24</v>
      </c>
      <c r="D16" s="27">
        <v>2</v>
      </c>
      <c r="E16" s="28">
        <v>2</v>
      </c>
      <c r="F16" s="28">
        <f t="shared" si="1"/>
        <v>0</v>
      </c>
      <c r="G16" s="26">
        <v>0</v>
      </c>
      <c r="H16" s="27">
        <v>0</v>
      </c>
      <c r="I16" s="27">
        <v>0</v>
      </c>
      <c r="J16" s="27">
        <f t="shared" si="2"/>
        <v>0</v>
      </c>
      <c r="K16" s="26">
        <v>0</v>
      </c>
      <c r="L16" s="27">
        <v>0</v>
      </c>
      <c r="M16" s="27">
        <v>0</v>
      </c>
      <c r="N16" s="27">
        <f t="shared" si="3"/>
        <v>0</v>
      </c>
      <c r="O16" s="26">
        <v>0</v>
      </c>
      <c r="P16" s="27">
        <v>3</v>
      </c>
      <c r="Q16" s="28">
        <v>3</v>
      </c>
      <c r="R16" s="28">
        <f t="shared" si="4"/>
        <v>0</v>
      </c>
      <c r="S16" s="26">
        <v>1</v>
      </c>
      <c r="T16" s="27">
        <v>0</v>
      </c>
      <c r="U16" s="28">
        <v>0</v>
      </c>
      <c r="V16" s="28">
        <f t="shared" si="5"/>
        <v>0</v>
      </c>
      <c r="W16" s="26">
        <v>0</v>
      </c>
      <c r="X16" s="27">
        <v>0</v>
      </c>
      <c r="Y16" s="27">
        <v>0</v>
      </c>
      <c r="Z16" s="27">
        <v>0</v>
      </c>
      <c r="AA16" s="26">
        <v>0</v>
      </c>
      <c r="AB16" s="27">
        <v>0</v>
      </c>
      <c r="AC16" s="27">
        <v>0</v>
      </c>
      <c r="AD16" s="27">
        <f t="shared" si="7"/>
        <v>0</v>
      </c>
      <c r="AE16" s="26">
        <v>0</v>
      </c>
      <c r="AF16" s="27">
        <v>0</v>
      </c>
      <c r="AG16" s="27">
        <v>0</v>
      </c>
      <c r="AH16" s="27">
        <f t="shared" si="8"/>
        <v>0</v>
      </c>
      <c r="AI16" s="26">
        <v>0</v>
      </c>
      <c r="AJ16" s="27">
        <v>0</v>
      </c>
      <c r="AK16" s="27">
        <v>0</v>
      </c>
      <c r="AL16" s="27">
        <f t="shared" si="9"/>
        <v>0</v>
      </c>
      <c r="AM16" s="26">
        <v>0</v>
      </c>
      <c r="AN16" s="27">
        <v>0</v>
      </c>
      <c r="AO16" s="27">
        <v>0</v>
      </c>
      <c r="AP16" s="27">
        <f t="shared" si="10"/>
        <v>0</v>
      </c>
      <c r="AQ16" s="26">
        <v>0</v>
      </c>
      <c r="AR16" s="27">
        <v>1</v>
      </c>
      <c r="AS16" s="28">
        <v>0</v>
      </c>
      <c r="AT16" s="28">
        <f t="shared" si="11"/>
        <v>1</v>
      </c>
      <c r="AU16" s="26">
        <v>0</v>
      </c>
      <c r="AV16" s="27">
        <v>0</v>
      </c>
      <c r="AW16" s="28">
        <v>0</v>
      </c>
      <c r="AX16" s="28">
        <f t="shared" si="12"/>
        <v>0</v>
      </c>
      <c r="AY16" s="26">
        <v>1</v>
      </c>
      <c r="AZ16" s="27">
        <v>1</v>
      </c>
      <c r="BA16" s="28">
        <v>1</v>
      </c>
      <c r="BB16" s="28">
        <f t="shared" si="13"/>
        <v>0</v>
      </c>
      <c r="BC16" s="26">
        <v>0</v>
      </c>
      <c r="BD16" s="27">
        <v>0</v>
      </c>
      <c r="BE16" s="28">
        <v>0</v>
      </c>
      <c r="BF16" s="28">
        <f t="shared" si="14"/>
        <v>0</v>
      </c>
      <c r="BG16" s="26">
        <v>0</v>
      </c>
      <c r="BH16" s="27">
        <v>0</v>
      </c>
      <c r="BI16" s="28">
        <v>0</v>
      </c>
      <c r="BJ16" s="28">
        <f t="shared" si="15"/>
        <v>0</v>
      </c>
      <c r="BK16" s="26">
        <v>0</v>
      </c>
      <c r="BL16" s="27">
        <v>1</v>
      </c>
      <c r="BM16" s="28">
        <v>0</v>
      </c>
      <c r="BN16" s="28">
        <f t="shared" si="16"/>
        <v>1</v>
      </c>
      <c r="BO16" s="26">
        <v>0</v>
      </c>
      <c r="BP16" s="27">
        <v>0</v>
      </c>
      <c r="BQ16" s="28">
        <v>0</v>
      </c>
      <c r="BR16" s="28">
        <f t="shared" si="17"/>
        <v>0</v>
      </c>
      <c r="BS16" s="26">
        <v>0</v>
      </c>
      <c r="BT16" s="27">
        <f t="shared" si="18"/>
        <v>6</v>
      </c>
      <c r="BU16" s="28">
        <f t="shared" si="19"/>
        <v>2</v>
      </c>
      <c r="BV16" s="28">
        <f t="shared" si="20"/>
        <v>2</v>
      </c>
      <c r="BW16" s="28">
        <f t="shared" si="21"/>
        <v>0.75</v>
      </c>
      <c r="BX16" s="28">
        <f t="shared" si="22"/>
        <v>0.75</v>
      </c>
      <c r="BY16" s="26">
        <f t="shared" si="23"/>
        <v>0.75</v>
      </c>
      <c r="CC16" s="75" t="s">
        <v>67</v>
      </c>
      <c r="CD16">
        <f>AVERAGE(BW29:BW30)</f>
        <v>1</v>
      </c>
      <c r="CE16">
        <f t="shared" ref="CE16:CF16" si="36">AVERAGE(BX29:BX30)</f>
        <v>0.90909090909090906</v>
      </c>
      <c r="CF16">
        <f t="shared" si="36"/>
        <v>0.95238095238095233</v>
      </c>
    </row>
    <row r="17" spans="1:84" x14ac:dyDescent="0.35">
      <c r="A17" s="59" t="s">
        <v>10</v>
      </c>
      <c r="B17" s="108"/>
      <c r="C17" s="29" t="s">
        <v>25</v>
      </c>
      <c r="D17" s="30">
        <v>2</v>
      </c>
      <c r="E17" s="31">
        <v>2</v>
      </c>
      <c r="F17" s="31">
        <f t="shared" si="1"/>
        <v>0</v>
      </c>
      <c r="G17" s="29">
        <v>0</v>
      </c>
      <c r="H17" s="30">
        <v>0</v>
      </c>
      <c r="I17" s="31">
        <v>0</v>
      </c>
      <c r="J17" s="31">
        <f t="shared" si="2"/>
        <v>0</v>
      </c>
      <c r="K17" s="29">
        <v>0</v>
      </c>
      <c r="L17" s="30">
        <v>0</v>
      </c>
      <c r="M17" s="31">
        <v>0</v>
      </c>
      <c r="N17" s="31">
        <f t="shared" si="3"/>
        <v>0</v>
      </c>
      <c r="O17" s="29">
        <v>0</v>
      </c>
      <c r="P17" s="30">
        <v>3</v>
      </c>
      <c r="Q17" s="31">
        <v>3</v>
      </c>
      <c r="R17" s="31">
        <f t="shared" si="4"/>
        <v>0</v>
      </c>
      <c r="S17" s="29">
        <v>0</v>
      </c>
      <c r="T17" s="30">
        <v>0</v>
      </c>
      <c r="U17" s="31">
        <v>0</v>
      </c>
      <c r="V17" s="31">
        <f t="shared" si="5"/>
        <v>0</v>
      </c>
      <c r="W17" s="29">
        <v>0</v>
      </c>
      <c r="X17" s="30">
        <v>1</v>
      </c>
      <c r="Y17" s="31">
        <v>1</v>
      </c>
      <c r="Z17" s="31">
        <f t="shared" si="6"/>
        <v>0</v>
      </c>
      <c r="AA17" s="29">
        <v>0</v>
      </c>
      <c r="AB17" s="30">
        <v>1</v>
      </c>
      <c r="AC17" s="31">
        <v>1</v>
      </c>
      <c r="AD17" s="31">
        <f t="shared" si="7"/>
        <v>0</v>
      </c>
      <c r="AE17" s="29">
        <v>0</v>
      </c>
      <c r="AF17" s="30">
        <v>1</v>
      </c>
      <c r="AG17" s="31">
        <v>0</v>
      </c>
      <c r="AH17" s="31">
        <f t="shared" si="8"/>
        <v>1</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0</v>
      </c>
      <c r="AW17" s="31">
        <v>0</v>
      </c>
      <c r="AX17" s="31">
        <f t="shared" si="12"/>
        <v>0</v>
      </c>
      <c r="AY17" s="29">
        <v>0</v>
      </c>
      <c r="AZ17" s="30">
        <v>1</v>
      </c>
      <c r="BA17" s="31">
        <v>1</v>
      </c>
      <c r="BB17" s="31">
        <f t="shared" si="13"/>
        <v>0</v>
      </c>
      <c r="BC17" s="29">
        <v>0</v>
      </c>
      <c r="BD17" s="30">
        <v>0</v>
      </c>
      <c r="BE17" s="31">
        <v>0</v>
      </c>
      <c r="BF17" s="31">
        <f t="shared" si="14"/>
        <v>0</v>
      </c>
      <c r="BG17" s="29">
        <v>0</v>
      </c>
      <c r="BH17" s="30">
        <v>0</v>
      </c>
      <c r="BI17" s="31">
        <v>0</v>
      </c>
      <c r="BJ17" s="31">
        <f t="shared" si="15"/>
        <v>0</v>
      </c>
      <c r="BK17" s="29">
        <v>0</v>
      </c>
      <c r="BL17" s="30">
        <v>0</v>
      </c>
      <c r="BM17" s="31">
        <v>0</v>
      </c>
      <c r="BN17" s="31">
        <f t="shared" si="16"/>
        <v>0</v>
      </c>
      <c r="BO17" s="29">
        <v>0</v>
      </c>
      <c r="BP17" s="30">
        <v>1</v>
      </c>
      <c r="BQ17" s="31">
        <v>1</v>
      </c>
      <c r="BR17" s="31">
        <f t="shared" si="17"/>
        <v>0</v>
      </c>
      <c r="BS17" s="29">
        <v>0</v>
      </c>
      <c r="BT17" s="30">
        <f t="shared" si="18"/>
        <v>9</v>
      </c>
      <c r="BU17" s="31">
        <f t="shared" si="19"/>
        <v>1</v>
      </c>
      <c r="BV17" s="31">
        <f t="shared" si="20"/>
        <v>0</v>
      </c>
      <c r="BW17" s="31">
        <f t="shared" si="21"/>
        <v>0.9</v>
      </c>
      <c r="BX17" s="31">
        <f t="shared" si="22"/>
        <v>1</v>
      </c>
      <c r="BY17" s="29">
        <f t="shared" si="23"/>
        <v>0.94736842105263164</v>
      </c>
      <c r="CC17" s="75" t="s">
        <v>42</v>
      </c>
      <c r="CD17">
        <f>AVERAGE(CD3:CD16)</f>
        <v>0.8233595361221413</v>
      </c>
      <c r="CE17">
        <f t="shared" ref="CE17:CF17" si="37">AVERAGE(CE3:CE16)</f>
        <v>0.88051182982905696</v>
      </c>
      <c r="CF17">
        <f t="shared" si="37"/>
        <v>0.84532083734498742</v>
      </c>
    </row>
    <row r="18" spans="1:84" x14ac:dyDescent="0.35">
      <c r="A18" s="59" t="s">
        <v>10</v>
      </c>
      <c r="B18" s="108"/>
      <c r="C18" s="29" t="s">
        <v>26</v>
      </c>
      <c r="D18" s="30">
        <v>2</v>
      </c>
      <c r="E18" s="31">
        <v>2</v>
      </c>
      <c r="F18" s="31">
        <f t="shared" si="1"/>
        <v>0</v>
      </c>
      <c r="G18" s="29">
        <v>0</v>
      </c>
      <c r="H18" s="30">
        <v>0</v>
      </c>
      <c r="I18" s="31">
        <v>0</v>
      </c>
      <c r="J18" s="31">
        <f t="shared" si="2"/>
        <v>0</v>
      </c>
      <c r="K18" s="29">
        <v>0</v>
      </c>
      <c r="L18" s="30">
        <v>0</v>
      </c>
      <c r="M18" s="31">
        <v>0</v>
      </c>
      <c r="N18" s="31">
        <f t="shared" si="3"/>
        <v>0</v>
      </c>
      <c r="O18" s="29">
        <v>0</v>
      </c>
      <c r="P18" s="30">
        <v>3</v>
      </c>
      <c r="Q18" s="31">
        <v>3</v>
      </c>
      <c r="R18" s="31">
        <f t="shared" si="4"/>
        <v>0</v>
      </c>
      <c r="S18" s="29">
        <v>0</v>
      </c>
      <c r="T18" s="30">
        <v>0</v>
      </c>
      <c r="U18" s="31">
        <v>0</v>
      </c>
      <c r="V18" s="31">
        <f t="shared" si="5"/>
        <v>0</v>
      </c>
      <c r="W18" s="29">
        <v>0</v>
      </c>
      <c r="X18" s="30">
        <v>1</v>
      </c>
      <c r="Y18" s="31">
        <v>1</v>
      </c>
      <c r="Z18" s="31">
        <f t="shared" si="6"/>
        <v>0</v>
      </c>
      <c r="AA18" s="29">
        <v>0</v>
      </c>
      <c r="AB18" s="30">
        <v>1</v>
      </c>
      <c r="AC18" s="31">
        <v>1</v>
      </c>
      <c r="AD18" s="31">
        <f t="shared" si="7"/>
        <v>0</v>
      </c>
      <c r="AE18" s="29">
        <v>0</v>
      </c>
      <c r="AF18" s="30">
        <v>1</v>
      </c>
      <c r="AG18" s="31">
        <v>0</v>
      </c>
      <c r="AH18" s="31">
        <f t="shared" si="8"/>
        <v>1</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0</v>
      </c>
      <c r="AW18" s="31">
        <v>0</v>
      </c>
      <c r="AX18" s="31">
        <f t="shared" si="12"/>
        <v>0</v>
      </c>
      <c r="AY18" s="29">
        <v>0</v>
      </c>
      <c r="AZ18" s="30">
        <v>1</v>
      </c>
      <c r="BA18" s="31">
        <v>1</v>
      </c>
      <c r="BB18" s="31">
        <f t="shared" si="13"/>
        <v>0</v>
      </c>
      <c r="BC18" s="29">
        <v>0</v>
      </c>
      <c r="BD18" s="30">
        <v>0</v>
      </c>
      <c r="BE18" s="31">
        <v>0</v>
      </c>
      <c r="BF18" s="31">
        <f t="shared" si="14"/>
        <v>0</v>
      </c>
      <c r="BG18" s="29">
        <v>0</v>
      </c>
      <c r="BH18" s="30">
        <v>0</v>
      </c>
      <c r="BI18" s="31">
        <v>0</v>
      </c>
      <c r="BJ18" s="31">
        <f t="shared" si="15"/>
        <v>0</v>
      </c>
      <c r="BK18" s="29">
        <v>0</v>
      </c>
      <c r="BL18" s="30">
        <v>0</v>
      </c>
      <c r="BM18" s="31">
        <v>0</v>
      </c>
      <c r="BN18" s="31">
        <f>BL18-BM18</f>
        <v>0</v>
      </c>
      <c r="BO18" s="29">
        <v>0</v>
      </c>
      <c r="BP18" s="30">
        <v>1</v>
      </c>
      <c r="BQ18" s="31">
        <v>1</v>
      </c>
      <c r="BR18" s="31">
        <f t="shared" si="17"/>
        <v>0</v>
      </c>
      <c r="BS18" s="29">
        <v>0</v>
      </c>
      <c r="BT18" s="30">
        <f t="shared" si="18"/>
        <v>9</v>
      </c>
      <c r="BU18" s="31">
        <f t="shared" si="19"/>
        <v>1</v>
      </c>
      <c r="BV18" s="31">
        <f t="shared" si="20"/>
        <v>0</v>
      </c>
      <c r="BW18" s="31">
        <f t="shared" si="21"/>
        <v>0.9</v>
      </c>
      <c r="BX18" s="31">
        <f t="shared" si="22"/>
        <v>1</v>
      </c>
      <c r="BY18" s="29">
        <f t="shared" si="23"/>
        <v>0.94736842105263164</v>
      </c>
    </row>
    <row r="19" spans="1:84" x14ac:dyDescent="0.35">
      <c r="A19" s="60" t="s">
        <v>10</v>
      </c>
      <c r="B19" s="108"/>
      <c r="C19" s="32" t="s">
        <v>27</v>
      </c>
      <c r="D19" s="33">
        <v>3</v>
      </c>
      <c r="E19" s="34">
        <v>3</v>
      </c>
      <c r="F19" s="34">
        <f t="shared" si="1"/>
        <v>0</v>
      </c>
      <c r="G19" s="32">
        <v>0</v>
      </c>
      <c r="H19" s="33">
        <v>0</v>
      </c>
      <c r="I19" s="34">
        <v>0</v>
      </c>
      <c r="J19" s="34">
        <f t="shared" si="2"/>
        <v>0</v>
      </c>
      <c r="K19" s="32">
        <v>0</v>
      </c>
      <c r="L19" s="33">
        <v>0</v>
      </c>
      <c r="M19" s="34">
        <v>0</v>
      </c>
      <c r="N19" s="34">
        <f t="shared" si="3"/>
        <v>0</v>
      </c>
      <c r="O19" s="32">
        <v>0</v>
      </c>
      <c r="P19" s="33">
        <v>3</v>
      </c>
      <c r="Q19" s="34">
        <v>3</v>
      </c>
      <c r="R19" s="34">
        <f t="shared" si="4"/>
        <v>0</v>
      </c>
      <c r="S19" s="32">
        <v>0</v>
      </c>
      <c r="T19" s="33">
        <v>0</v>
      </c>
      <c r="U19" s="34">
        <v>0</v>
      </c>
      <c r="V19" s="34">
        <f t="shared" si="5"/>
        <v>0</v>
      </c>
      <c r="W19" s="32">
        <v>0</v>
      </c>
      <c r="X19" s="33">
        <v>2</v>
      </c>
      <c r="Y19" s="34">
        <v>2</v>
      </c>
      <c r="Z19" s="34">
        <f t="shared" si="6"/>
        <v>0</v>
      </c>
      <c r="AA19" s="32">
        <v>0</v>
      </c>
      <c r="AB19" s="33">
        <v>2</v>
      </c>
      <c r="AC19" s="34">
        <v>2</v>
      </c>
      <c r="AD19" s="34">
        <f t="shared" si="7"/>
        <v>0</v>
      </c>
      <c r="AE19" s="32">
        <v>0</v>
      </c>
      <c r="AF19" s="33">
        <v>2</v>
      </c>
      <c r="AG19" s="34">
        <v>0</v>
      </c>
      <c r="AH19" s="34">
        <f t="shared" si="8"/>
        <v>2</v>
      </c>
      <c r="AI19" s="32">
        <v>0</v>
      </c>
      <c r="AJ19" s="33">
        <v>0</v>
      </c>
      <c r="AK19" s="34">
        <v>0</v>
      </c>
      <c r="AL19" s="34">
        <f t="shared" si="9"/>
        <v>0</v>
      </c>
      <c r="AM19" s="32">
        <v>0</v>
      </c>
      <c r="AN19" s="33">
        <v>0</v>
      </c>
      <c r="AO19" s="34">
        <v>0</v>
      </c>
      <c r="AP19" s="34">
        <f t="shared" si="10"/>
        <v>0</v>
      </c>
      <c r="AQ19" s="32">
        <v>1</v>
      </c>
      <c r="AR19" s="33">
        <v>0</v>
      </c>
      <c r="AS19" s="34">
        <v>0</v>
      </c>
      <c r="AT19" s="34">
        <f t="shared" si="11"/>
        <v>0</v>
      </c>
      <c r="AU19" s="32">
        <v>1</v>
      </c>
      <c r="AV19" s="33">
        <v>0</v>
      </c>
      <c r="AW19" s="34">
        <v>0</v>
      </c>
      <c r="AX19" s="34">
        <f t="shared" si="12"/>
        <v>0</v>
      </c>
      <c r="AY19" s="32">
        <v>0</v>
      </c>
      <c r="AZ19" s="33">
        <v>2</v>
      </c>
      <c r="BA19" s="34">
        <v>2</v>
      </c>
      <c r="BB19" s="34">
        <f t="shared" si="13"/>
        <v>0</v>
      </c>
      <c r="BC19" s="32">
        <v>0</v>
      </c>
      <c r="BD19" s="33">
        <v>0</v>
      </c>
      <c r="BE19" s="34">
        <v>0</v>
      </c>
      <c r="BF19" s="34">
        <f t="shared" si="14"/>
        <v>0</v>
      </c>
      <c r="BG19" s="32">
        <v>0</v>
      </c>
      <c r="BH19" s="33">
        <v>1</v>
      </c>
      <c r="BI19" s="34">
        <v>0</v>
      </c>
      <c r="BJ19" s="34">
        <f t="shared" si="15"/>
        <v>1</v>
      </c>
      <c r="BK19" s="32">
        <v>0</v>
      </c>
      <c r="BL19" s="33">
        <v>0</v>
      </c>
      <c r="BM19" s="34">
        <v>0</v>
      </c>
      <c r="BN19" s="34">
        <f t="shared" si="16"/>
        <v>0</v>
      </c>
      <c r="BO19" s="32">
        <v>0</v>
      </c>
      <c r="BP19" s="33">
        <v>2</v>
      </c>
      <c r="BQ19" s="34">
        <v>0</v>
      </c>
      <c r="BR19" s="34">
        <f t="shared" si="17"/>
        <v>2</v>
      </c>
      <c r="BS19" s="32">
        <v>0</v>
      </c>
      <c r="BT19" s="33">
        <f t="shared" si="18"/>
        <v>12</v>
      </c>
      <c r="BU19" s="34">
        <f t="shared" si="19"/>
        <v>5</v>
      </c>
      <c r="BV19" s="34">
        <f t="shared" si="20"/>
        <v>2</v>
      </c>
      <c r="BW19" s="34">
        <f t="shared" si="21"/>
        <v>0.70588235294117652</v>
      </c>
      <c r="BX19" s="34">
        <f t="shared" si="22"/>
        <v>0.8571428571428571</v>
      </c>
      <c r="BY19" s="32">
        <f t="shared" si="23"/>
        <v>0.77419354838709675</v>
      </c>
    </row>
    <row r="20" spans="1:84" x14ac:dyDescent="0.35">
      <c r="A20" s="60" t="s">
        <v>10</v>
      </c>
      <c r="B20" s="108"/>
      <c r="C20" s="32" t="s">
        <v>28</v>
      </c>
      <c r="D20" s="33">
        <v>3</v>
      </c>
      <c r="E20" s="34">
        <v>3</v>
      </c>
      <c r="F20" s="34">
        <f t="shared" si="1"/>
        <v>0</v>
      </c>
      <c r="G20" s="32">
        <v>0</v>
      </c>
      <c r="H20" s="33">
        <v>0</v>
      </c>
      <c r="I20" s="34">
        <v>0</v>
      </c>
      <c r="J20" s="34">
        <f t="shared" si="2"/>
        <v>0</v>
      </c>
      <c r="K20" s="32">
        <v>0</v>
      </c>
      <c r="L20" s="33">
        <v>0</v>
      </c>
      <c r="M20" s="34">
        <v>0</v>
      </c>
      <c r="N20" s="34">
        <f t="shared" si="3"/>
        <v>0</v>
      </c>
      <c r="O20" s="32">
        <v>0</v>
      </c>
      <c r="P20" s="33">
        <v>3</v>
      </c>
      <c r="Q20" s="34">
        <v>3</v>
      </c>
      <c r="R20" s="34">
        <f t="shared" si="4"/>
        <v>0</v>
      </c>
      <c r="S20" s="32">
        <v>0</v>
      </c>
      <c r="T20" s="33">
        <v>0</v>
      </c>
      <c r="U20" s="34">
        <v>0</v>
      </c>
      <c r="V20" s="34">
        <f t="shared" si="5"/>
        <v>0</v>
      </c>
      <c r="W20" s="32">
        <v>0</v>
      </c>
      <c r="X20" s="33">
        <v>2</v>
      </c>
      <c r="Y20" s="34">
        <v>2</v>
      </c>
      <c r="Z20" s="34">
        <f t="shared" si="6"/>
        <v>0</v>
      </c>
      <c r="AA20" s="32">
        <v>0</v>
      </c>
      <c r="AB20" s="33">
        <v>2</v>
      </c>
      <c r="AC20" s="34">
        <v>2</v>
      </c>
      <c r="AD20" s="34">
        <f t="shared" si="7"/>
        <v>0</v>
      </c>
      <c r="AE20" s="32">
        <v>0</v>
      </c>
      <c r="AF20" s="33">
        <v>2</v>
      </c>
      <c r="AG20" s="34">
        <v>0</v>
      </c>
      <c r="AH20" s="34">
        <f t="shared" si="8"/>
        <v>2</v>
      </c>
      <c r="AI20" s="32">
        <v>0</v>
      </c>
      <c r="AJ20" s="33">
        <v>0</v>
      </c>
      <c r="AK20" s="34">
        <v>0</v>
      </c>
      <c r="AL20" s="34">
        <f t="shared" si="9"/>
        <v>0</v>
      </c>
      <c r="AM20" s="32">
        <v>0</v>
      </c>
      <c r="AN20" s="33">
        <v>0</v>
      </c>
      <c r="AO20" s="34">
        <v>0</v>
      </c>
      <c r="AP20" s="34">
        <f t="shared" si="10"/>
        <v>0</v>
      </c>
      <c r="AQ20" s="32">
        <v>1</v>
      </c>
      <c r="AR20" s="33">
        <v>0</v>
      </c>
      <c r="AS20" s="34">
        <v>0</v>
      </c>
      <c r="AT20" s="34">
        <f t="shared" si="11"/>
        <v>0</v>
      </c>
      <c r="AU20" s="32">
        <v>1</v>
      </c>
      <c r="AV20" s="33">
        <v>0</v>
      </c>
      <c r="AW20" s="34">
        <v>0</v>
      </c>
      <c r="AX20" s="34">
        <f t="shared" si="12"/>
        <v>0</v>
      </c>
      <c r="AY20" s="32">
        <v>0</v>
      </c>
      <c r="AZ20" s="33">
        <v>2</v>
      </c>
      <c r="BA20" s="34">
        <v>2</v>
      </c>
      <c r="BB20" s="34">
        <f t="shared" si="13"/>
        <v>0</v>
      </c>
      <c r="BC20" s="32">
        <v>0</v>
      </c>
      <c r="BD20" s="33">
        <v>0</v>
      </c>
      <c r="BE20" s="34">
        <v>0</v>
      </c>
      <c r="BF20" s="34">
        <f t="shared" si="14"/>
        <v>0</v>
      </c>
      <c r="BG20" s="32">
        <v>0</v>
      </c>
      <c r="BH20" s="33">
        <v>1</v>
      </c>
      <c r="BI20" s="34">
        <v>0</v>
      </c>
      <c r="BJ20" s="34">
        <f t="shared" si="15"/>
        <v>1</v>
      </c>
      <c r="BK20" s="32">
        <v>0</v>
      </c>
      <c r="BL20" s="33">
        <v>0</v>
      </c>
      <c r="BM20" s="34">
        <v>0</v>
      </c>
      <c r="BN20" s="34">
        <f t="shared" si="16"/>
        <v>0</v>
      </c>
      <c r="BO20" s="32">
        <v>0</v>
      </c>
      <c r="BP20" s="33">
        <v>2</v>
      </c>
      <c r="BQ20" s="34">
        <v>0</v>
      </c>
      <c r="BR20" s="34">
        <f t="shared" si="17"/>
        <v>2</v>
      </c>
      <c r="BS20" s="32">
        <v>1</v>
      </c>
      <c r="BT20" s="33">
        <f t="shared" si="18"/>
        <v>12</v>
      </c>
      <c r="BU20" s="34">
        <f t="shared" si="19"/>
        <v>5</v>
      </c>
      <c r="BV20" s="34">
        <f t="shared" si="20"/>
        <v>3</v>
      </c>
      <c r="BW20" s="34">
        <f t="shared" si="21"/>
        <v>0.70588235294117652</v>
      </c>
      <c r="BX20" s="34">
        <f t="shared" si="22"/>
        <v>0.8</v>
      </c>
      <c r="BY20" s="32">
        <f t="shared" si="23"/>
        <v>0.75000000000000011</v>
      </c>
    </row>
    <row r="21" spans="1:84" x14ac:dyDescent="0.35">
      <c r="A21" s="61" t="s">
        <v>10</v>
      </c>
      <c r="B21" s="108"/>
      <c r="C21" s="35" t="s">
        <v>29</v>
      </c>
      <c r="D21" s="36">
        <v>2</v>
      </c>
      <c r="E21" s="37">
        <v>2</v>
      </c>
      <c r="F21" s="37">
        <f t="shared" si="1"/>
        <v>0</v>
      </c>
      <c r="G21" s="35">
        <v>0</v>
      </c>
      <c r="H21" s="36">
        <v>0</v>
      </c>
      <c r="I21" s="37">
        <v>0</v>
      </c>
      <c r="J21" s="37">
        <f t="shared" si="2"/>
        <v>0</v>
      </c>
      <c r="K21" s="35">
        <v>0</v>
      </c>
      <c r="L21" s="36">
        <v>0</v>
      </c>
      <c r="M21" s="37">
        <v>0</v>
      </c>
      <c r="N21" s="37">
        <f t="shared" si="3"/>
        <v>0</v>
      </c>
      <c r="O21" s="35">
        <v>0</v>
      </c>
      <c r="P21" s="36">
        <v>3</v>
      </c>
      <c r="Q21" s="37">
        <v>3</v>
      </c>
      <c r="R21" s="37">
        <f t="shared" si="4"/>
        <v>0</v>
      </c>
      <c r="S21" s="35">
        <v>0</v>
      </c>
      <c r="T21" s="36">
        <v>0</v>
      </c>
      <c r="U21" s="37">
        <v>0</v>
      </c>
      <c r="V21" s="37">
        <f t="shared" si="5"/>
        <v>0</v>
      </c>
      <c r="W21" s="35">
        <v>3</v>
      </c>
      <c r="X21" s="36">
        <v>1</v>
      </c>
      <c r="Y21" s="37">
        <v>1</v>
      </c>
      <c r="Z21" s="37">
        <f t="shared" si="6"/>
        <v>0</v>
      </c>
      <c r="AA21" s="35">
        <v>0</v>
      </c>
      <c r="AB21" s="36">
        <v>1</v>
      </c>
      <c r="AC21" s="37">
        <v>1</v>
      </c>
      <c r="AD21" s="37">
        <f t="shared" si="7"/>
        <v>0</v>
      </c>
      <c r="AE21" s="35">
        <v>0</v>
      </c>
      <c r="AF21" s="36">
        <v>1</v>
      </c>
      <c r="AG21" s="37">
        <v>1</v>
      </c>
      <c r="AH21" s="37">
        <f t="shared" si="8"/>
        <v>0</v>
      </c>
      <c r="AI21" s="35">
        <v>0</v>
      </c>
      <c r="AJ21" s="36">
        <v>0</v>
      </c>
      <c r="AK21" s="37">
        <v>0</v>
      </c>
      <c r="AL21" s="37">
        <f t="shared" si="9"/>
        <v>0</v>
      </c>
      <c r="AM21" s="35">
        <v>0</v>
      </c>
      <c r="AN21" s="36">
        <v>0</v>
      </c>
      <c r="AO21" s="37">
        <v>0</v>
      </c>
      <c r="AP21" s="37">
        <f t="shared" si="10"/>
        <v>0</v>
      </c>
      <c r="AQ21" s="35">
        <v>1</v>
      </c>
      <c r="AR21" s="36">
        <v>0</v>
      </c>
      <c r="AS21" s="37">
        <v>0</v>
      </c>
      <c r="AT21" s="37">
        <f t="shared" si="11"/>
        <v>0</v>
      </c>
      <c r="AU21" s="35">
        <v>0</v>
      </c>
      <c r="AV21" s="36">
        <v>0</v>
      </c>
      <c r="AW21" s="37">
        <v>0</v>
      </c>
      <c r="AX21" s="37">
        <f t="shared" si="12"/>
        <v>0</v>
      </c>
      <c r="AY21" s="35">
        <v>0</v>
      </c>
      <c r="AZ21" s="36">
        <v>1</v>
      </c>
      <c r="BA21" s="37">
        <v>1</v>
      </c>
      <c r="BB21" s="37">
        <f t="shared" si="13"/>
        <v>0</v>
      </c>
      <c r="BC21" s="35">
        <v>0</v>
      </c>
      <c r="BD21" s="36">
        <v>0</v>
      </c>
      <c r="BE21" s="37">
        <v>0</v>
      </c>
      <c r="BF21" s="37">
        <f t="shared" si="14"/>
        <v>0</v>
      </c>
      <c r="BG21" s="35">
        <v>0</v>
      </c>
      <c r="BH21" s="36">
        <v>0</v>
      </c>
      <c r="BI21" s="37">
        <v>0</v>
      </c>
      <c r="BJ21" s="37">
        <f t="shared" si="15"/>
        <v>0</v>
      </c>
      <c r="BK21" s="35">
        <v>0</v>
      </c>
      <c r="BL21" s="36">
        <v>0</v>
      </c>
      <c r="BM21" s="37">
        <v>0</v>
      </c>
      <c r="BN21" s="37">
        <f t="shared" si="16"/>
        <v>0</v>
      </c>
      <c r="BO21" s="35">
        <v>0</v>
      </c>
      <c r="BP21" s="36">
        <v>1</v>
      </c>
      <c r="BQ21" s="37">
        <v>0</v>
      </c>
      <c r="BR21" s="37">
        <f t="shared" si="17"/>
        <v>1</v>
      </c>
      <c r="BS21" s="35">
        <v>0</v>
      </c>
      <c r="BT21" s="36">
        <f t="shared" si="18"/>
        <v>9</v>
      </c>
      <c r="BU21" s="37">
        <f t="shared" si="19"/>
        <v>1</v>
      </c>
      <c r="BV21" s="37">
        <f t="shared" si="20"/>
        <v>4</v>
      </c>
      <c r="BW21" s="37">
        <f t="shared" si="21"/>
        <v>0.9</v>
      </c>
      <c r="BX21" s="37">
        <f t="shared" si="22"/>
        <v>0.69230769230769229</v>
      </c>
      <c r="BY21" s="35">
        <f t="shared" si="23"/>
        <v>0.78260869565217384</v>
      </c>
    </row>
    <row r="22" spans="1:84" x14ac:dyDescent="0.35">
      <c r="A22" s="61" t="s">
        <v>10</v>
      </c>
      <c r="B22" s="108"/>
      <c r="C22" s="35" t="s">
        <v>30</v>
      </c>
      <c r="D22" s="36">
        <v>2</v>
      </c>
      <c r="E22" s="37">
        <v>2</v>
      </c>
      <c r="F22" s="37">
        <f t="shared" si="1"/>
        <v>0</v>
      </c>
      <c r="G22" s="35">
        <v>0</v>
      </c>
      <c r="H22" s="36">
        <v>0</v>
      </c>
      <c r="I22" s="37">
        <v>0</v>
      </c>
      <c r="J22" s="37">
        <f t="shared" si="2"/>
        <v>0</v>
      </c>
      <c r="K22" s="35">
        <v>0</v>
      </c>
      <c r="L22" s="36">
        <v>0</v>
      </c>
      <c r="M22" s="37">
        <v>0</v>
      </c>
      <c r="N22" s="37">
        <f t="shared" si="3"/>
        <v>0</v>
      </c>
      <c r="O22" s="35">
        <v>0</v>
      </c>
      <c r="P22" s="36">
        <v>3</v>
      </c>
      <c r="Q22" s="37">
        <v>3</v>
      </c>
      <c r="R22" s="37">
        <f t="shared" si="4"/>
        <v>0</v>
      </c>
      <c r="S22" s="35">
        <v>0</v>
      </c>
      <c r="T22" s="36">
        <v>0</v>
      </c>
      <c r="U22" s="37">
        <v>0</v>
      </c>
      <c r="V22" s="37">
        <f t="shared" si="5"/>
        <v>0</v>
      </c>
      <c r="W22" s="35">
        <v>0</v>
      </c>
      <c r="X22" s="36">
        <v>1</v>
      </c>
      <c r="Y22" s="37">
        <v>1</v>
      </c>
      <c r="Z22" s="37">
        <f t="shared" si="6"/>
        <v>0</v>
      </c>
      <c r="AA22" s="35">
        <v>0</v>
      </c>
      <c r="AB22" s="36">
        <v>1</v>
      </c>
      <c r="AC22" s="37">
        <v>1</v>
      </c>
      <c r="AD22" s="37">
        <f t="shared" si="7"/>
        <v>0</v>
      </c>
      <c r="AE22" s="35">
        <v>0</v>
      </c>
      <c r="AF22" s="36">
        <v>1</v>
      </c>
      <c r="AG22" s="37">
        <v>0</v>
      </c>
      <c r="AH22" s="37">
        <f t="shared" si="8"/>
        <v>1</v>
      </c>
      <c r="AI22" s="35">
        <v>0</v>
      </c>
      <c r="AJ22" s="36">
        <v>0</v>
      </c>
      <c r="AK22" s="37">
        <v>0</v>
      </c>
      <c r="AL22" s="37">
        <f t="shared" si="9"/>
        <v>0</v>
      </c>
      <c r="AM22" s="35">
        <v>0</v>
      </c>
      <c r="AN22" s="36">
        <v>0</v>
      </c>
      <c r="AO22" s="37">
        <v>0</v>
      </c>
      <c r="AP22" s="37">
        <f t="shared" si="10"/>
        <v>0</v>
      </c>
      <c r="AQ22" s="35">
        <v>1</v>
      </c>
      <c r="AR22" s="36">
        <v>0</v>
      </c>
      <c r="AS22" s="37">
        <v>0</v>
      </c>
      <c r="AT22" s="37">
        <f t="shared" si="11"/>
        <v>0</v>
      </c>
      <c r="AU22" s="35">
        <v>0</v>
      </c>
      <c r="AV22" s="36">
        <v>0</v>
      </c>
      <c r="AW22" s="37">
        <v>0</v>
      </c>
      <c r="AX22" s="37">
        <f t="shared" si="12"/>
        <v>0</v>
      </c>
      <c r="AY22" s="35">
        <v>0</v>
      </c>
      <c r="AZ22" s="36">
        <v>1</v>
      </c>
      <c r="BA22" s="37">
        <v>1</v>
      </c>
      <c r="BB22" s="37">
        <f t="shared" si="13"/>
        <v>0</v>
      </c>
      <c r="BC22" s="35">
        <v>0</v>
      </c>
      <c r="BD22" s="36">
        <v>0</v>
      </c>
      <c r="BE22" s="37">
        <v>0</v>
      </c>
      <c r="BF22" s="37">
        <f t="shared" si="14"/>
        <v>0</v>
      </c>
      <c r="BG22" s="35">
        <v>0</v>
      </c>
      <c r="BH22" s="36">
        <v>0</v>
      </c>
      <c r="BI22" s="37">
        <v>0</v>
      </c>
      <c r="BJ22" s="37">
        <f t="shared" si="15"/>
        <v>0</v>
      </c>
      <c r="BK22" s="35">
        <v>0</v>
      </c>
      <c r="BL22" s="36">
        <v>0</v>
      </c>
      <c r="BM22" s="37">
        <v>0</v>
      </c>
      <c r="BN22" s="37">
        <f t="shared" si="16"/>
        <v>0</v>
      </c>
      <c r="BO22" s="35">
        <v>0</v>
      </c>
      <c r="BP22" s="36">
        <v>1</v>
      </c>
      <c r="BQ22" s="37">
        <v>0</v>
      </c>
      <c r="BR22" s="37">
        <f t="shared" si="17"/>
        <v>1</v>
      </c>
      <c r="BS22" s="35">
        <v>0</v>
      </c>
      <c r="BT22" s="36">
        <f t="shared" si="18"/>
        <v>8</v>
      </c>
      <c r="BU22" s="37">
        <f t="shared" si="19"/>
        <v>2</v>
      </c>
      <c r="BV22" s="37">
        <f t="shared" si="20"/>
        <v>1</v>
      </c>
      <c r="BW22" s="37">
        <f t="shared" si="21"/>
        <v>0.8</v>
      </c>
      <c r="BX22" s="37">
        <f t="shared" si="22"/>
        <v>0.88888888888888884</v>
      </c>
      <c r="BY22" s="35">
        <f t="shared" si="23"/>
        <v>0.8421052631578948</v>
      </c>
    </row>
    <row r="23" spans="1:84" x14ac:dyDescent="0.35">
      <c r="A23" s="62" t="s">
        <v>10</v>
      </c>
      <c r="B23" s="108"/>
      <c r="C23" s="38" t="s">
        <v>31</v>
      </c>
      <c r="D23" s="39">
        <v>4</v>
      </c>
      <c r="E23" s="40">
        <v>3</v>
      </c>
      <c r="F23" s="40">
        <f t="shared" si="1"/>
        <v>1</v>
      </c>
      <c r="G23" s="38">
        <v>0</v>
      </c>
      <c r="H23" s="39">
        <v>0</v>
      </c>
      <c r="I23" s="40">
        <v>0</v>
      </c>
      <c r="J23" s="40">
        <f t="shared" si="2"/>
        <v>0</v>
      </c>
      <c r="K23" s="38">
        <v>0</v>
      </c>
      <c r="L23" s="39">
        <v>0</v>
      </c>
      <c r="M23" s="40">
        <v>0</v>
      </c>
      <c r="N23" s="40">
        <f t="shared" si="3"/>
        <v>0</v>
      </c>
      <c r="O23" s="38">
        <v>0</v>
      </c>
      <c r="P23" s="39">
        <v>0</v>
      </c>
      <c r="Q23" s="40">
        <v>0</v>
      </c>
      <c r="R23" s="40">
        <f t="shared" si="4"/>
        <v>0</v>
      </c>
      <c r="S23" s="38">
        <v>0</v>
      </c>
      <c r="T23" s="39">
        <v>0</v>
      </c>
      <c r="U23" s="40">
        <v>0</v>
      </c>
      <c r="V23" s="40">
        <f t="shared" si="5"/>
        <v>0</v>
      </c>
      <c r="W23" s="38">
        <v>0</v>
      </c>
      <c r="X23" s="39">
        <v>4</v>
      </c>
      <c r="Y23" s="40">
        <v>3</v>
      </c>
      <c r="Z23" s="40">
        <f t="shared" si="6"/>
        <v>1</v>
      </c>
      <c r="AA23" s="38">
        <v>0</v>
      </c>
      <c r="AB23" s="39">
        <v>1</v>
      </c>
      <c r="AC23" s="40">
        <v>0</v>
      </c>
      <c r="AD23" s="40">
        <f t="shared" si="7"/>
        <v>1</v>
      </c>
      <c r="AE23" s="38">
        <v>0</v>
      </c>
      <c r="AF23" s="39">
        <v>2</v>
      </c>
      <c r="AG23" s="40">
        <v>1</v>
      </c>
      <c r="AH23" s="40">
        <f t="shared" si="8"/>
        <v>1</v>
      </c>
      <c r="AI23" s="38">
        <v>1</v>
      </c>
      <c r="AJ23" s="39">
        <v>1</v>
      </c>
      <c r="AK23" s="40">
        <v>1</v>
      </c>
      <c r="AL23" s="40">
        <f t="shared" si="9"/>
        <v>0</v>
      </c>
      <c r="AM23" s="38">
        <v>0</v>
      </c>
      <c r="AN23" s="39">
        <v>1</v>
      </c>
      <c r="AO23" s="40">
        <v>1</v>
      </c>
      <c r="AP23" s="40">
        <f t="shared" si="10"/>
        <v>0</v>
      </c>
      <c r="AQ23" s="38">
        <v>0</v>
      </c>
      <c r="AR23" s="39">
        <v>0</v>
      </c>
      <c r="AS23" s="40">
        <v>0</v>
      </c>
      <c r="AT23" s="40">
        <f t="shared" si="11"/>
        <v>0</v>
      </c>
      <c r="AU23" s="38">
        <v>0</v>
      </c>
      <c r="AV23" s="39">
        <v>0</v>
      </c>
      <c r="AW23" s="40">
        <v>0</v>
      </c>
      <c r="AX23" s="40">
        <f t="shared" si="12"/>
        <v>0</v>
      </c>
      <c r="AY23" s="38">
        <v>0</v>
      </c>
      <c r="AZ23" s="39">
        <v>3</v>
      </c>
      <c r="BA23" s="40">
        <v>2</v>
      </c>
      <c r="BB23" s="40">
        <f t="shared" si="13"/>
        <v>1</v>
      </c>
      <c r="BC23" s="38">
        <v>2</v>
      </c>
      <c r="BD23" s="39">
        <v>0</v>
      </c>
      <c r="BE23" s="40">
        <v>0</v>
      </c>
      <c r="BF23" s="40">
        <f t="shared" si="14"/>
        <v>0</v>
      </c>
      <c r="BG23" s="38">
        <v>0</v>
      </c>
      <c r="BH23" s="39">
        <v>1</v>
      </c>
      <c r="BI23" s="40">
        <v>0</v>
      </c>
      <c r="BJ23" s="40">
        <f t="shared" si="15"/>
        <v>1</v>
      </c>
      <c r="BK23" s="38">
        <v>0</v>
      </c>
      <c r="BL23" s="39">
        <v>0</v>
      </c>
      <c r="BM23" s="40">
        <v>0</v>
      </c>
      <c r="BN23" s="40">
        <f t="shared" si="16"/>
        <v>0</v>
      </c>
      <c r="BO23" s="38">
        <v>0</v>
      </c>
      <c r="BP23" s="39">
        <v>1</v>
      </c>
      <c r="BQ23" s="40">
        <v>0</v>
      </c>
      <c r="BR23" s="40">
        <f t="shared" si="17"/>
        <v>1</v>
      </c>
      <c r="BS23" s="38">
        <v>0</v>
      </c>
      <c r="BT23" s="39">
        <f t="shared" si="18"/>
        <v>11</v>
      </c>
      <c r="BU23" s="40">
        <f t="shared" si="19"/>
        <v>7</v>
      </c>
      <c r="BV23" s="40">
        <f t="shared" si="20"/>
        <v>3</v>
      </c>
      <c r="BW23" s="40">
        <f t="shared" si="21"/>
        <v>0.61111111111111116</v>
      </c>
      <c r="BX23" s="40">
        <f t="shared" si="22"/>
        <v>0.7857142857142857</v>
      </c>
      <c r="BY23" s="38">
        <f t="shared" si="23"/>
        <v>0.68750000000000011</v>
      </c>
    </row>
    <row r="24" spans="1:84" x14ac:dyDescent="0.35">
      <c r="A24" s="62" t="s">
        <v>10</v>
      </c>
      <c r="B24" s="108"/>
      <c r="C24" s="38" t="s">
        <v>32</v>
      </c>
      <c r="D24" s="39">
        <v>4</v>
      </c>
      <c r="E24" s="40">
        <v>3</v>
      </c>
      <c r="F24" s="40">
        <f t="shared" si="1"/>
        <v>1</v>
      </c>
      <c r="G24" s="38">
        <v>0</v>
      </c>
      <c r="H24" s="39">
        <v>0</v>
      </c>
      <c r="I24" s="40">
        <v>0</v>
      </c>
      <c r="J24" s="40">
        <v>0</v>
      </c>
      <c r="K24" s="38">
        <v>0</v>
      </c>
      <c r="L24" s="39">
        <v>0</v>
      </c>
      <c r="M24" s="40">
        <v>0</v>
      </c>
      <c r="N24" s="40">
        <f t="shared" si="3"/>
        <v>0</v>
      </c>
      <c r="O24" s="38">
        <v>0</v>
      </c>
      <c r="P24" s="39">
        <v>0</v>
      </c>
      <c r="Q24" s="40">
        <v>0</v>
      </c>
      <c r="R24" s="40">
        <f t="shared" si="4"/>
        <v>0</v>
      </c>
      <c r="S24" s="38">
        <v>0</v>
      </c>
      <c r="T24" s="39">
        <v>0</v>
      </c>
      <c r="U24" s="40">
        <v>0</v>
      </c>
      <c r="V24" s="40">
        <f t="shared" si="5"/>
        <v>0</v>
      </c>
      <c r="W24" s="38">
        <v>0</v>
      </c>
      <c r="X24" s="39">
        <v>4</v>
      </c>
      <c r="Y24" s="40">
        <v>3</v>
      </c>
      <c r="Z24" s="40">
        <f t="shared" si="6"/>
        <v>1</v>
      </c>
      <c r="AA24" s="38">
        <v>1</v>
      </c>
      <c r="AB24" s="39">
        <v>1</v>
      </c>
      <c r="AC24" s="40">
        <v>0</v>
      </c>
      <c r="AD24" s="40">
        <f t="shared" si="7"/>
        <v>1</v>
      </c>
      <c r="AE24" s="38">
        <v>0</v>
      </c>
      <c r="AF24" s="39">
        <v>2</v>
      </c>
      <c r="AG24" s="40">
        <v>0</v>
      </c>
      <c r="AH24" s="40">
        <f t="shared" si="8"/>
        <v>2</v>
      </c>
      <c r="AI24" s="38">
        <v>0</v>
      </c>
      <c r="AJ24" s="39">
        <v>1</v>
      </c>
      <c r="AK24" s="40">
        <v>1</v>
      </c>
      <c r="AL24" s="40">
        <f t="shared" si="9"/>
        <v>0</v>
      </c>
      <c r="AM24" s="38">
        <v>0</v>
      </c>
      <c r="AN24" s="39">
        <v>1</v>
      </c>
      <c r="AO24" s="40">
        <v>1</v>
      </c>
      <c r="AP24" s="40">
        <f t="shared" si="10"/>
        <v>0</v>
      </c>
      <c r="AQ24" s="38">
        <v>0</v>
      </c>
      <c r="AR24" s="39">
        <v>0</v>
      </c>
      <c r="AS24" s="40">
        <v>0</v>
      </c>
      <c r="AT24" s="40">
        <f t="shared" si="11"/>
        <v>0</v>
      </c>
      <c r="AU24" s="38">
        <v>0</v>
      </c>
      <c r="AV24" s="39">
        <v>0</v>
      </c>
      <c r="AW24" s="40">
        <v>0</v>
      </c>
      <c r="AX24" s="40">
        <f t="shared" si="12"/>
        <v>0</v>
      </c>
      <c r="AY24" s="38">
        <v>0</v>
      </c>
      <c r="AZ24" s="39">
        <v>3</v>
      </c>
      <c r="BA24" s="40">
        <v>3</v>
      </c>
      <c r="BB24" s="40">
        <f t="shared" si="13"/>
        <v>0</v>
      </c>
      <c r="BC24" s="38">
        <v>0</v>
      </c>
      <c r="BD24" s="39">
        <v>0</v>
      </c>
      <c r="BE24" s="40">
        <v>0</v>
      </c>
      <c r="BF24" s="40">
        <f t="shared" si="14"/>
        <v>0</v>
      </c>
      <c r="BG24" s="38">
        <v>0</v>
      </c>
      <c r="BH24" s="39">
        <v>1</v>
      </c>
      <c r="BI24" s="40">
        <v>0</v>
      </c>
      <c r="BJ24" s="40">
        <f t="shared" si="15"/>
        <v>1</v>
      </c>
      <c r="BK24" s="38">
        <v>0</v>
      </c>
      <c r="BL24" s="39">
        <v>0</v>
      </c>
      <c r="BM24" s="40">
        <v>0</v>
      </c>
      <c r="BN24" s="40">
        <f t="shared" si="16"/>
        <v>0</v>
      </c>
      <c r="BO24" s="38">
        <v>0</v>
      </c>
      <c r="BP24" s="39">
        <v>1</v>
      </c>
      <c r="BQ24" s="40">
        <v>1</v>
      </c>
      <c r="BR24" s="40">
        <f t="shared" si="17"/>
        <v>0</v>
      </c>
      <c r="BS24" s="38">
        <v>0</v>
      </c>
      <c r="BT24" s="39">
        <f t="shared" si="18"/>
        <v>12</v>
      </c>
      <c r="BU24" s="40">
        <f t="shared" si="19"/>
        <v>6</v>
      </c>
      <c r="BV24" s="40">
        <f t="shared" si="20"/>
        <v>1</v>
      </c>
      <c r="BW24" s="40">
        <f t="shared" si="21"/>
        <v>0.66666666666666663</v>
      </c>
      <c r="BX24" s="40">
        <f t="shared" si="22"/>
        <v>0.92307692307692313</v>
      </c>
      <c r="BY24" s="38">
        <f t="shared" si="23"/>
        <v>0.77419354838709675</v>
      </c>
    </row>
    <row r="25" spans="1:84" ht="15" customHeight="1" x14ac:dyDescent="0.35">
      <c r="A25" s="63" t="s">
        <v>10</v>
      </c>
      <c r="B25" s="108"/>
      <c r="C25" s="41" t="s">
        <v>33</v>
      </c>
      <c r="D25" s="42">
        <v>1</v>
      </c>
      <c r="E25" s="43">
        <v>1</v>
      </c>
      <c r="F25" s="43">
        <f t="shared" si="1"/>
        <v>0</v>
      </c>
      <c r="G25" s="41">
        <v>0</v>
      </c>
      <c r="H25" s="42">
        <v>0</v>
      </c>
      <c r="I25" s="43">
        <v>0</v>
      </c>
      <c r="J25" s="43">
        <f t="shared" si="2"/>
        <v>0</v>
      </c>
      <c r="K25" s="41">
        <v>0</v>
      </c>
      <c r="L25" s="42">
        <v>0</v>
      </c>
      <c r="M25" s="43">
        <v>0</v>
      </c>
      <c r="N25" s="43">
        <f t="shared" si="3"/>
        <v>0</v>
      </c>
      <c r="O25" s="41">
        <v>0</v>
      </c>
      <c r="P25" s="42">
        <v>0</v>
      </c>
      <c r="Q25" s="43">
        <v>0</v>
      </c>
      <c r="R25" s="43">
        <f t="shared" si="4"/>
        <v>0</v>
      </c>
      <c r="S25" s="41">
        <v>0</v>
      </c>
      <c r="T25" s="42">
        <v>0</v>
      </c>
      <c r="U25" s="43">
        <v>0</v>
      </c>
      <c r="V25" s="43">
        <f t="shared" si="5"/>
        <v>0</v>
      </c>
      <c r="W25" s="41">
        <v>0</v>
      </c>
      <c r="X25" s="42">
        <v>2</v>
      </c>
      <c r="Y25" s="43">
        <v>2</v>
      </c>
      <c r="Z25" s="43">
        <f t="shared" si="6"/>
        <v>0</v>
      </c>
      <c r="AA25" s="41">
        <v>0</v>
      </c>
      <c r="AB25" s="42">
        <v>0</v>
      </c>
      <c r="AC25" s="43">
        <v>0</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0</v>
      </c>
      <c r="AS25" s="43">
        <v>0</v>
      </c>
      <c r="AT25" s="43">
        <f t="shared" si="11"/>
        <v>0</v>
      </c>
      <c r="AU25" s="41">
        <v>0</v>
      </c>
      <c r="AV25" s="42">
        <v>0</v>
      </c>
      <c r="AW25" s="43">
        <v>0</v>
      </c>
      <c r="AX25" s="43">
        <f t="shared" si="12"/>
        <v>0</v>
      </c>
      <c r="AY25" s="41">
        <v>0</v>
      </c>
      <c r="AZ25" s="42">
        <v>0</v>
      </c>
      <c r="BA25" s="43">
        <v>0</v>
      </c>
      <c r="BB25" s="43">
        <f t="shared" si="13"/>
        <v>0</v>
      </c>
      <c r="BC25" s="41">
        <v>0</v>
      </c>
      <c r="BD25" s="42">
        <v>2</v>
      </c>
      <c r="BE25" s="43">
        <v>1</v>
      </c>
      <c r="BF25" s="43">
        <f t="shared" si="14"/>
        <v>1</v>
      </c>
      <c r="BG25" s="41">
        <v>0</v>
      </c>
      <c r="BH25" s="42">
        <v>0</v>
      </c>
      <c r="BI25" s="43">
        <v>0</v>
      </c>
      <c r="BJ25" s="43">
        <f t="shared" si="15"/>
        <v>0</v>
      </c>
      <c r="BK25" s="41">
        <v>0</v>
      </c>
      <c r="BL25" s="42">
        <v>0</v>
      </c>
      <c r="BM25" s="43">
        <v>0</v>
      </c>
      <c r="BN25" s="43">
        <f t="shared" si="16"/>
        <v>0</v>
      </c>
      <c r="BO25" s="41">
        <v>0</v>
      </c>
      <c r="BP25" s="42">
        <v>0</v>
      </c>
      <c r="BQ25" s="43">
        <v>0</v>
      </c>
      <c r="BR25" s="43">
        <f t="shared" si="17"/>
        <v>0</v>
      </c>
      <c r="BS25" s="41">
        <v>0</v>
      </c>
      <c r="BT25" s="42">
        <f t="shared" si="18"/>
        <v>6</v>
      </c>
      <c r="BU25" s="43">
        <f t="shared" si="19"/>
        <v>1</v>
      </c>
      <c r="BV25" s="43">
        <f t="shared" si="20"/>
        <v>0</v>
      </c>
      <c r="BW25" s="43">
        <f t="shared" si="21"/>
        <v>0.8571428571428571</v>
      </c>
      <c r="BX25" s="43">
        <f t="shared" si="22"/>
        <v>1</v>
      </c>
      <c r="BY25" s="41">
        <f t="shared" si="23"/>
        <v>0.92307692307692302</v>
      </c>
    </row>
    <row r="26" spans="1:84" x14ac:dyDescent="0.35">
      <c r="A26" s="63" t="s">
        <v>10</v>
      </c>
      <c r="B26" s="108"/>
      <c r="C26" s="41" t="s">
        <v>34</v>
      </c>
      <c r="D26" s="42">
        <v>1</v>
      </c>
      <c r="E26" s="43">
        <v>1</v>
      </c>
      <c r="F26" s="43">
        <f t="shared" si="1"/>
        <v>0</v>
      </c>
      <c r="G26" s="41">
        <v>0</v>
      </c>
      <c r="H26" s="42">
        <v>0</v>
      </c>
      <c r="I26" s="43">
        <v>0</v>
      </c>
      <c r="J26" s="43">
        <f t="shared" si="2"/>
        <v>0</v>
      </c>
      <c r="K26" s="41">
        <v>0</v>
      </c>
      <c r="L26" s="42">
        <v>0</v>
      </c>
      <c r="M26" s="43">
        <v>0</v>
      </c>
      <c r="N26" s="43">
        <f t="shared" si="3"/>
        <v>0</v>
      </c>
      <c r="O26" s="41">
        <v>0</v>
      </c>
      <c r="P26" s="42">
        <v>0</v>
      </c>
      <c r="Q26" s="43">
        <v>0</v>
      </c>
      <c r="R26" s="43">
        <f t="shared" si="4"/>
        <v>0</v>
      </c>
      <c r="S26" s="41">
        <v>0</v>
      </c>
      <c r="T26" s="42">
        <v>0</v>
      </c>
      <c r="U26" s="43">
        <v>0</v>
      </c>
      <c r="V26" s="43">
        <f t="shared" si="5"/>
        <v>0</v>
      </c>
      <c r="W26" s="41">
        <v>0</v>
      </c>
      <c r="X26" s="42">
        <v>2</v>
      </c>
      <c r="Y26" s="43">
        <v>2</v>
      </c>
      <c r="Z26" s="43">
        <f t="shared" si="6"/>
        <v>0</v>
      </c>
      <c r="AA26" s="41">
        <v>0</v>
      </c>
      <c r="AB26" s="42">
        <v>0</v>
      </c>
      <c r="AC26" s="43">
        <v>0</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0</v>
      </c>
      <c r="AS26" s="43">
        <v>0</v>
      </c>
      <c r="AT26" s="43">
        <f t="shared" si="11"/>
        <v>0</v>
      </c>
      <c r="AU26" s="41">
        <v>0</v>
      </c>
      <c r="AV26" s="42">
        <v>0</v>
      </c>
      <c r="AW26" s="43">
        <v>0</v>
      </c>
      <c r="AX26" s="43">
        <f t="shared" si="12"/>
        <v>0</v>
      </c>
      <c r="AY26" s="41">
        <v>0</v>
      </c>
      <c r="AZ26" s="42">
        <v>0</v>
      </c>
      <c r="BA26" s="43">
        <v>0</v>
      </c>
      <c r="BB26" s="43">
        <f t="shared" si="13"/>
        <v>0</v>
      </c>
      <c r="BC26" s="41">
        <v>0</v>
      </c>
      <c r="BD26" s="42">
        <v>2</v>
      </c>
      <c r="BE26" s="43">
        <v>1</v>
      </c>
      <c r="BF26" s="43">
        <f t="shared" si="14"/>
        <v>1</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6</v>
      </c>
      <c r="BU26" s="43">
        <f t="shared" si="19"/>
        <v>1</v>
      </c>
      <c r="BV26" s="43">
        <f t="shared" si="20"/>
        <v>0</v>
      </c>
      <c r="BW26" s="43">
        <f t="shared" si="21"/>
        <v>0.8571428571428571</v>
      </c>
      <c r="BX26" s="43">
        <f t="shared" si="22"/>
        <v>1</v>
      </c>
      <c r="BY26" s="41">
        <f t="shared" si="23"/>
        <v>0.92307692307692302</v>
      </c>
    </row>
    <row r="27" spans="1:84" x14ac:dyDescent="0.35">
      <c r="A27" s="47" t="s">
        <v>10</v>
      </c>
      <c r="B27" s="108"/>
      <c r="C27" s="44" t="s">
        <v>35</v>
      </c>
      <c r="D27" s="45">
        <v>2</v>
      </c>
      <c r="E27" s="46">
        <v>2</v>
      </c>
      <c r="F27" s="46">
        <f t="shared" si="1"/>
        <v>0</v>
      </c>
      <c r="G27" s="44">
        <v>0</v>
      </c>
      <c r="H27" s="45">
        <v>2</v>
      </c>
      <c r="I27" s="46">
        <v>0</v>
      </c>
      <c r="J27" s="46">
        <f t="shared" si="2"/>
        <v>2</v>
      </c>
      <c r="K27" s="44">
        <v>0</v>
      </c>
      <c r="L27" s="45">
        <v>2</v>
      </c>
      <c r="M27" s="46">
        <v>0</v>
      </c>
      <c r="N27" s="46">
        <f t="shared" si="3"/>
        <v>2</v>
      </c>
      <c r="O27" s="44">
        <v>0</v>
      </c>
      <c r="P27" s="45">
        <v>2</v>
      </c>
      <c r="Q27" s="46">
        <v>2</v>
      </c>
      <c r="R27" s="46">
        <f t="shared" si="4"/>
        <v>0</v>
      </c>
      <c r="S27" s="44">
        <v>0</v>
      </c>
      <c r="T27" s="45">
        <v>2</v>
      </c>
      <c r="U27" s="46">
        <v>0</v>
      </c>
      <c r="V27" s="46">
        <f>T27-U27</f>
        <v>2</v>
      </c>
      <c r="W27" s="44">
        <v>0</v>
      </c>
      <c r="X27" s="45">
        <v>1</v>
      </c>
      <c r="Y27" s="46">
        <v>1</v>
      </c>
      <c r="Z27" s="46">
        <f t="shared" si="6"/>
        <v>0</v>
      </c>
      <c r="AA27" s="44">
        <v>0</v>
      </c>
      <c r="AB27" s="45">
        <v>0</v>
      </c>
      <c r="AC27" s="46">
        <v>0</v>
      </c>
      <c r="AD27" s="46">
        <f t="shared" si="7"/>
        <v>0</v>
      </c>
      <c r="AE27" s="44">
        <v>0</v>
      </c>
      <c r="AF27" s="45">
        <v>3</v>
      </c>
      <c r="AG27" s="46">
        <v>0</v>
      </c>
      <c r="AH27" s="46">
        <f t="shared" si="8"/>
        <v>3</v>
      </c>
      <c r="AI27" s="44">
        <v>0</v>
      </c>
      <c r="AJ27" s="45">
        <v>0</v>
      </c>
      <c r="AK27" s="46">
        <v>0</v>
      </c>
      <c r="AL27" s="46">
        <f t="shared" si="9"/>
        <v>0</v>
      </c>
      <c r="AM27" s="44">
        <v>0</v>
      </c>
      <c r="AN27" s="45">
        <v>0</v>
      </c>
      <c r="AO27" s="46">
        <v>0</v>
      </c>
      <c r="AP27" s="46">
        <f t="shared" si="10"/>
        <v>0</v>
      </c>
      <c r="AQ27" s="44">
        <v>0</v>
      </c>
      <c r="AR27" s="45">
        <v>0</v>
      </c>
      <c r="AS27" s="46">
        <v>0</v>
      </c>
      <c r="AT27" s="46">
        <f t="shared" si="11"/>
        <v>0</v>
      </c>
      <c r="AU27" s="44">
        <v>1</v>
      </c>
      <c r="AV27" s="45">
        <v>1</v>
      </c>
      <c r="AW27" s="46">
        <v>0</v>
      </c>
      <c r="AX27" s="46">
        <f t="shared" si="12"/>
        <v>1</v>
      </c>
      <c r="AY27" s="44">
        <v>1</v>
      </c>
      <c r="AZ27" s="45">
        <v>1</v>
      </c>
      <c r="BA27" s="46">
        <v>1</v>
      </c>
      <c r="BB27" s="46">
        <f t="shared" si="13"/>
        <v>0</v>
      </c>
      <c r="BC27" s="44">
        <v>1</v>
      </c>
      <c r="BD27" s="45">
        <v>0</v>
      </c>
      <c r="BE27" s="46">
        <v>0</v>
      </c>
      <c r="BF27" s="46">
        <f t="shared" si="14"/>
        <v>0</v>
      </c>
      <c r="BG27" s="44">
        <v>0</v>
      </c>
      <c r="BH27" s="45">
        <v>0</v>
      </c>
      <c r="BI27" s="46">
        <v>0</v>
      </c>
      <c r="BJ27" s="46">
        <f t="shared" si="15"/>
        <v>0</v>
      </c>
      <c r="BK27" s="44">
        <v>0</v>
      </c>
      <c r="BL27" s="45">
        <v>1</v>
      </c>
      <c r="BM27" s="46">
        <v>0</v>
      </c>
      <c r="BN27" s="46">
        <f t="shared" si="16"/>
        <v>1</v>
      </c>
      <c r="BO27" s="44">
        <v>0</v>
      </c>
      <c r="BP27" s="45">
        <v>0</v>
      </c>
      <c r="BQ27" s="46">
        <v>0</v>
      </c>
      <c r="BR27" s="46">
        <f t="shared" si="17"/>
        <v>0</v>
      </c>
      <c r="BS27" s="44">
        <v>0</v>
      </c>
      <c r="BT27" s="45">
        <f t="shared" si="18"/>
        <v>6</v>
      </c>
      <c r="BU27" s="46">
        <f t="shared" si="19"/>
        <v>11</v>
      </c>
      <c r="BV27" s="46">
        <f t="shared" si="20"/>
        <v>3</v>
      </c>
      <c r="BW27" s="46">
        <f t="shared" si="21"/>
        <v>0.35294117647058826</v>
      </c>
      <c r="BX27" s="46">
        <f t="shared" si="22"/>
        <v>0.66666666666666663</v>
      </c>
      <c r="BY27" s="44">
        <f t="shared" si="23"/>
        <v>0.46153846153846156</v>
      </c>
    </row>
    <row r="28" spans="1:84" x14ac:dyDescent="0.35">
      <c r="A28" s="47" t="s">
        <v>10</v>
      </c>
      <c r="B28" s="108"/>
      <c r="C28" s="44" t="s">
        <v>36</v>
      </c>
      <c r="D28" s="45">
        <v>2</v>
      </c>
      <c r="E28" s="46">
        <v>2</v>
      </c>
      <c r="F28" s="46">
        <f t="shared" si="1"/>
        <v>0</v>
      </c>
      <c r="G28" s="44">
        <v>0</v>
      </c>
      <c r="H28" s="45">
        <v>2</v>
      </c>
      <c r="I28" s="46">
        <v>2</v>
      </c>
      <c r="J28" s="46">
        <f t="shared" si="2"/>
        <v>0</v>
      </c>
      <c r="K28" s="44">
        <v>0</v>
      </c>
      <c r="L28" s="45">
        <v>2</v>
      </c>
      <c r="M28" s="46">
        <v>2</v>
      </c>
      <c r="N28" s="46">
        <f t="shared" si="3"/>
        <v>0</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3</v>
      </c>
      <c r="AG28" s="46">
        <v>1</v>
      </c>
      <c r="AH28" s="46">
        <f t="shared" si="8"/>
        <v>2</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1</v>
      </c>
      <c r="AW28" s="46">
        <v>0</v>
      </c>
      <c r="AX28" s="46">
        <f t="shared" si="12"/>
        <v>1</v>
      </c>
      <c r="AY28" s="44">
        <v>1</v>
      </c>
      <c r="AZ28" s="45">
        <v>1</v>
      </c>
      <c r="BA28" s="46">
        <v>1</v>
      </c>
      <c r="BB28" s="46">
        <f t="shared" si="13"/>
        <v>0</v>
      </c>
      <c r="BC28" s="44">
        <v>0</v>
      </c>
      <c r="BD28" s="45">
        <v>0</v>
      </c>
      <c r="BE28" s="46">
        <v>0</v>
      </c>
      <c r="BF28" s="46">
        <f t="shared" si="14"/>
        <v>0</v>
      </c>
      <c r="BG28" s="44">
        <v>0</v>
      </c>
      <c r="BH28" s="45">
        <v>0</v>
      </c>
      <c r="BI28" s="46">
        <v>0</v>
      </c>
      <c r="BJ28" s="46">
        <f t="shared" si="15"/>
        <v>0</v>
      </c>
      <c r="BK28" s="44">
        <v>0</v>
      </c>
      <c r="BL28" s="45">
        <v>1</v>
      </c>
      <c r="BM28" s="46">
        <v>0</v>
      </c>
      <c r="BN28" s="46">
        <f t="shared" si="16"/>
        <v>1</v>
      </c>
      <c r="BO28" s="44">
        <v>0</v>
      </c>
      <c r="BP28" s="45">
        <v>0</v>
      </c>
      <c r="BQ28" s="46">
        <v>0</v>
      </c>
      <c r="BR28" s="46">
        <f t="shared" si="17"/>
        <v>0</v>
      </c>
      <c r="BS28" s="44">
        <v>1</v>
      </c>
      <c r="BT28" s="45">
        <f t="shared" si="18"/>
        <v>13</v>
      </c>
      <c r="BU28" s="46">
        <f t="shared" si="19"/>
        <v>4</v>
      </c>
      <c r="BV28" s="46">
        <f t="shared" si="20"/>
        <v>2</v>
      </c>
      <c r="BW28" s="46">
        <f t="shared" si="21"/>
        <v>0.76470588235294112</v>
      </c>
      <c r="BX28" s="46">
        <f t="shared" si="22"/>
        <v>0.8666666666666667</v>
      </c>
      <c r="BY28" s="44">
        <f t="shared" si="23"/>
        <v>0.8125</v>
      </c>
    </row>
    <row r="29" spans="1:84" x14ac:dyDescent="0.35">
      <c r="A29" s="64" t="s">
        <v>10</v>
      </c>
      <c r="B29" s="108"/>
      <c r="C29" s="48" t="s">
        <v>37</v>
      </c>
      <c r="D29" s="49">
        <v>1</v>
      </c>
      <c r="E29" s="50">
        <v>1</v>
      </c>
      <c r="F29" s="50">
        <f t="shared" si="1"/>
        <v>0</v>
      </c>
      <c r="G29" s="48">
        <v>0</v>
      </c>
      <c r="H29" s="49">
        <v>0</v>
      </c>
      <c r="I29" s="50">
        <v>0</v>
      </c>
      <c r="J29" s="50">
        <f t="shared" si="2"/>
        <v>0</v>
      </c>
      <c r="K29" s="48">
        <v>0</v>
      </c>
      <c r="L29" s="49">
        <v>0</v>
      </c>
      <c r="M29" s="50">
        <v>0</v>
      </c>
      <c r="N29" s="50">
        <f t="shared" si="3"/>
        <v>0</v>
      </c>
      <c r="O29" s="48">
        <v>0</v>
      </c>
      <c r="P29" s="49">
        <v>4</v>
      </c>
      <c r="Q29" s="50">
        <v>4</v>
      </c>
      <c r="R29" s="50">
        <f t="shared" si="4"/>
        <v>0</v>
      </c>
      <c r="S29" s="48">
        <v>0</v>
      </c>
      <c r="T29" s="49">
        <v>3</v>
      </c>
      <c r="U29" s="50">
        <v>3</v>
      </c>
      <c r="V29" s="50">
        <f t="shared" si="5"/>
        <v>0</v>
      </c>
      <c r="W29" s="48">
        <v>1</v>
      </c>
      <c r="X29" s="49">
        <v>1</v>
      </c>
      <c r="Y29" s="50">
        <v>1</v>
      </c>
      <c r="Z29" s="50">
        <f t="shared" si="6"/>
        <v>0</v>
      </c>
      <c r="AA29" s="48">
        <v>0</v>
      </c>
      <c r="AB29" s="49">
        <v>0</v>
      </c>
      <c r="AC29" s="50">
        <v>0</v>
      </c>
      <c r="AD29" s="50">
        <f t="shared" si="7"/>
        <v>0</v>
      </c>
      <c r="AE29" s="48">
        <v>0</v>
      </c>
      <c r="AF29" s="49">
        <v>1</v>
      </c>
      <c r="AG29" s="50">
        <v>1</v>
      </c>
      <c r="AH29" s="50">
        <f t="shared" si="8"/>
        <v>0</v>
      </c>
      <c r="AI29" s="48">
        <v>0</v>
      </c>
      <c r="AJ29" s="49">
        <v>0</v>
      </c>
      <c r="AK29" s="50">
        <v>0</v>
      </c>
      <c r="AL29" s="50">
        <f t="shared" si="9"/>
        <v>0</v>
      </c>
      <c r="AM29" s="48">
        <v>0</v>
      </c>
      <c r="AN29" s="49">
        <v>0</v>
      </c>
      <c r="AO29" s="50">
        <v>0</v>
      </c>
      <c r="AP29" s="50">
        <f t="shared" si="10"/>
        <v>0</v>
      </c>
      <c r="AQ29" s="48">
        <v>0</v>
      </c>
      <c r="AR29" s="49">
        <v>0</v>
      </c>
      <c r="AS29" s="50">
        <v>0</v>
      </c>
      <c r="AT29" s="50">
        <f t="shared" si="11"/>
        <v>0</v>
      </c>
      <c r="AU29" s="48">
        <v>0</v>
      </c>
      <c r="AV29" s="49">
        <v>0</v>
      </c>
      <c r="AW29" s="50">
        <v>0</v>
      </c>
      <c r="AX29" s="50">
        <f t="shared" si="12"/>
        <v>0</v>
      </c>
      <c r="AY29" s="48">
        <v>0</v>
      </c>
      <c r="AZ29" s="49">
        <v>0</v>
      </c>
      <c r="BA29" s="50">
        <v>0</v>
      </c>
      <c r="BB29" s="50">
        <f t="shared" si="13"/>
        <v>0</v>
      </c>
      <c r="BC29" s="48">
        <v>0</v>
      </c>
      <c r="BD29" s="49">
        <v>0</v>
      </c>
      <c r="BE29" s="50">
        <v>0</v>
      </c>
      <c r="BF29" s="50">
        <f t="shared" si="14"/>
        <v>0</v>
      </c>
      <c r="BG29" s="48">
        <v>0</v>
      </c>
      <c r="BH29" s="49">
        <v>0</v>
      </c>
      <c r="BI29" s="50">
        <v>0</v>
      </c>
      <c r="BJ29" s="50">
        <f t="shared" si="15"/>
        <v>0</v>
      </c>
      <c r="BK29" s="48">
        <v>0</v>
      </c>
      <c r="BL29" s="49">
        <v>0</v>
      </c>
      <c r="BM29" s="50">
        <v>0</v>
      </c>
      <c r="BN29" s="50">
        <f t="shared" si="16"/>
        <v>0</v>
      </c>
      <c r="BO29" s="48">
        <v>0</v>
      </c>
      <c r="BP29" s="49">
        <v>0</v>
      </c>
      <c r="BQ29" s="50">
        <v>0</v>
      </c>
      <c r="BR29" s="50">
        <f t="shared" si="17"/>
        <v>0</v>
      </c>
      <c r="BS29" s="48">
        <v>0</v>
      </c>
      <c r="BT29" s="49">
        <f t="shared" si="18"/>
        <v>10</v>
      </c>
      <c r="BU29" s="50">
        <f t="shared" si="19"/>
        <v>0</v>
      </c>
      <c r="BV29" s="50">
        <f t="shared" si="20"/>
        <v>1</v>
      </c>
      <c r="BW29" s="50">
        <f t="shared" si="21"/>
        <v>1</v>
      </c>
      <c r="BX29" s="50">
        <f t="shared" si="22"/>
        <v>0.90909090909090906</v>
      </c>
      <c r="BY29" s="48">
        <f t="shared" si="23"/>
        <v>0.95238095238095233</v>
      </c>
    </row>
    <row r="30" spans="1:84" ht="15" thickBot="1" x14ac:dyDescent="0.4">
      <c r="A30" s="50" t="s">
        <v>10</v>
      </c>
      <c r="B30" s="71"/>
      <c r="C30" s="72" t="s">
        <v>38</v>
      </c>
      <c r="D30" s="73">
        <v>1</v>
      </c>
      <c r="E30" s="74">
        <v>1</v>
      </c>
      <c r="F30" s="74">
        <f t="shared" si="1"/>
        <v>0</v>
      </c>
      <c r="G30" s="72">
        <v>0</v>
      </c>
      <c r="H30" s="73">
        <v>0</v>
      </c>
      <c r="I30" s="74">
        <v>0</v>
      </c>
      <c r="J30" s="74">
        <f t="shared" si="2"/>
        <v>0</v>
      </c>
      <c r="K30" s="72">
        <v>0</v>
      </c>
      <c r="L30" s="73">
        <v>0</v>
      </c>
      <c r="M30" s="74">
        <v>0</v>
      </c>
      <c r="N30" s="74">
        <f t="shared" si="3"/>
        <v>0</v>
      </c>
      <c r="O30" s="72">
        <v>0</v>
      </c>
      <c r="P30" s="73">
        <v>4</v>
      </c>
      <c r="Q30" s="74">
        <v>4</v>
      </c>
      <c r="R30" s="74">
        <f t="shared" si="4"/>
        <v>0</v>
      </c>
      <c r="S30" s="72">
        <v>0</v>
      </c>
      <c r="T30" s="73">
        <v>3</v>
      </c>
      <c r="U30" s="74">
        <v>3</v>
      </c>
      <c r="V30" s="74">
        <f t="shared" si="5"/>
        <v>0</v>
      </c>
      <c r="W30" s="72">
        <v>1</v>
      </c>
      <c r="X30" s="73">
        <v>1</v>
      </c>
      <c r="Y30" s="74">
        <v>1</v>
      </c>
      <c r="Z30" s="74">
        <f t="shared" si="6"/>
        <v>0</v>
      </c>
      <c r="AA30" s="72">
        <v>0</v>
      </c>
      <c r="AB30" s="73">
        <v>0</v>
      </c>
      <c r="AC30" s="74">
        <v>0</v>
      </c>
      <c r="AD30" s="74">
        <v>0</v>
      </c>
      <c r="AE30" s="72">
        <v>0</v>
      </c>
      <c r="AF30" s="73">
        <v>1</v>
      </c>
      <c r="AG30" s="74">
        <v>1</v>
      </c>
      <c r="AH30" s="74">
        <f t="shared" si="8"/>
        <v>0</v>
      </c>
      <c r="AI30" s="72">
        <v>0</v>
      </c>
      <c r="AJ30" s="73">
        <v>0</v>
      </c>
      <c r="AK30" s="74">
        <v>0</v>
      </c>
      <c r="AL30" s="74">
        <f t="shared" si="9"/>
        <v>0</v>
      </c>
      <c r="AM30" s="72">
        <v>0</v>
      </c>
      <c r="AN30" s="73">
        <v>0</v>
      </c>
      <c r="AO30" s="74">
        <v>0</v>
      </c>
      <c r="AP30" s="74">
        <f t="shared" si="10"/>
        <v>0</v>
      </c>
      <c r="AQ30" s="72">
        <v>0</v>
      </c>
      <c r="AR30" s="73">
        <v>0</v>
      </c>
      <c r="AS30" s="74">
        <v>0</v>
      </c>
      <c r="AT30" s="74">
        <f t="shared" si="11"/>
        <v>0</v>
      </c>
      <c r="AU30" s="72">
        <v>0</v>
      </c>
      <c r="AV30" s="73">
        <v>0</v>
      </c>
      <c r="AW30" s="74">
        <v>0</v>
      </c>
      <c r="AX30" s="74">
        <f t="shared" si="12"/>
        <v>0</v>
      </c>
      <c r="AY30" s="72">
        <v>0</v>
      </c>
      <c r="AZ30" s="73">
        <v>0</v>
      </c>
      <c r="BA30" s="74">
        <v>0</v>
      </c>
      <c r="BB30" s="74">
        <f t="shared" si="13"/>
        <v>0</v>
      </c>
      <c r="BC30" s="72">
        <v>0</v>
      </c>
      <c r="BD30" s="73">
        <v>0</v>
      </c>
      <c r="BE30" s="74">
        <v>0</v>
      </c>
      <c r="BF30" s="74">
        <f t="shared" si="14"/>
        <v>0</v>
      </c>
      <c r="BG30" s="72">
        <v>0</v>
      </c>
      <c r="BH30" s="73">
        <v>0</v>
      </c>
      <c r="BI30" s="74">
        <v>0</v>
      </c>
      <c r="BJ30" s="74">
        <f t="shared" si="15"/>
        <v>0</v>
      </c>
      <c r="BK30" s="72">
        <v>0</v>
      </c>
      <c r="BL30" s="73">
        <v>0</v>
      </c>
      <c r="BM30" s="74">
        <v>0</v>
      </c>
      <c r="BN30" s="74">
        <f t="shared" si="16"/>
        <v>0</v>
      </c>
      <c r="BO30" s="72">
        <v>0</v>
      </c>
      <c r="BP30" s="73">
        <v>0</v>
      </c>
      <c r="BQ30" s="74">
        <v>0</v>
      </c>
      <c r="BR30" s="74">
        <f t="shared" si="17"/>
        <v>0</v>
      </c>
      <c r="BS30" s="72">
        <v>0</v>
      </c>
      <c r="BT30" s="73">
        <f t="shared" si="18"/>
        <v>10</v>
      </c>
      <c r="BU30" s="74">
        <f t="shared" si="19"/>
        <v>0</v>
      </c>
      <c r="BV30" s="74">
        <f t="shared" si="20"/>
        <v>1</v>
      </c>
      <c r="BW30" s="74">
        <f t="shared" si="21"/>
        <v>1</v>
      </c>
      <c r="BX30" s="74">
        <f t="shared" si="22"/>
        <v>0.90909090909090906</v>
      </c>
      <c r="BY30" s="72">
        <f t="shared" si="23"/>
        <v>0.95238095238095233</v>
      </c>
    </row>
    <row r="31" spans="1:84" ht="15" thickTop="1" x14ac:dyDescent="0.35">
      <c r="C31" s="4" t="s">
        <v>88</v>
      </c>
      <c r="D31" s="51">
        <f>SUM(D3:D30)</f>
        <v>74</v>
      </c>
      <c r="E31" s="51">
        <f t="shared" ref="E31:BP31" si="38">SUM(E3:E30)</f>
        <v>72</v>
      </c>
      <c r="F31" s="51">
        <f t="shared" si="38"/>
        <v>2</v>
      </c>
      <c r="G31" s="51">
        <f t="shared" si="38"/>
        <v>0</v>
      </c>
      <c r="H31" s="51">
        <f t="shared" si="38"/>
        <v>8</v>
      </c>
      <c r="I31" s="51">
        <f t="shared" si="38"/>
        <v>5</v>
      </c>
      <c r="J31" s="51">
        <f t="shared" si="38"/>
        <v>3</v>
      </c>
      <c r="K31" s="51">
        <f t="shared" si="38"/>
        <v>0</v>
      </c>
      <c r="L31" s="51">
        <f t="shared" si="38"/>
        <v>20</v>
      </c>
      <c r="M31" s="51">
        <f t="shared" si="38"/>
        <v>15</v>
      </c>
      <c r="N31" s="51">
        <f t="shared" si="38"/>
        <v>5</v>
      </c>
      <c r="O31" s="51">
        <f t="shared" si="38"/>
        <v>0</v>
      </c>
      <c r="P31" s="51">
        <f t="shared" si="38"/>
        <v>100</v>
      </c>
      <c r="Q31" s="51">
        <f t="shared" si="38"/>
        <v>100</v>
      </c>
      <c r="R31" s="51">
        <f t="shared" si="38"/>
        <v>0</v>
      </c>
      <c r="S31" s="51">
        <f t="shared" si="38"/>
        <v>7</v>
      </c>
      <c r="T31" s="51">
        <f t="shared" si="38"/>
        <v>14</v>
      </c>
      <c r="U31" s="51">
        <f t="shared" si="38"/>
        <v>10</v>
      </c>
      <c r="V31" s="51">
        <f t="shared" si="38"/>
        <v>4</v>
      </c>
      <c r="W31" s="51">
        <f t="shared" si="38"/>
        <v>10</v>
      </c>
      <c r="X31" s="51">
        <f t="shared" si="38"/>
        <v>34</v>
      </c>
      <c r="Y31" s="51">
        <f t="shared" si="38"/>
        <v>32</v>
      </c>
      <c r="Z31" s="51">
        <f t="shared" si="38"/>
        <v>2</v>
      </c>
      <c r="AA31" s="51">
        <f t="shared" si="38"/>
        <v>1</v>
      </c>
      <c r="AB31" s="51">
        <f t="shared" si="38"/>
        <v>16</v>
      </c>
      <c r="AC31" s="51">
        <f t="shared" si="38"/>
        <v>14</v>
      </c>
      <c r="AD31" s="51">
        <f t="shared" si="38"/>
        <v>2</v>
      </c>
      <c r="AE31" s="51">
        <f t="shared" si="38"/>
        <v>1</v>
      </c>
      <c r="AF31" s="51">
        <f t="shared" si="38"/>
        <v>36</v>
      </c>
      <c r="AG31" s="51">
        <f t="shared" si="38"/>
        <v>12</v>
      </c>
      <c r="AH31" s="51">
        <f t="shared" si="38"/>
        <v>24</v>
      </c>
      <c r="AI31" s="51">
        <f t="shared" si="38"/>
        <v>1</v>
      </c>
      <c r="AJ31" s="51">
        <f t="shared" si="38"/>
        <v>22</v>
      </c>
      <c r="AK31" s="51">
        <f t="shared" si="38"/>
        <v>22</v>
      </c>
      <c r="AL31" s="51">
        <f t="shared" si="38"/>
        <v>0</v>
      </c>
      <c r="AM31" s="51">
        <f t="shared" si="38"/>
        <v>0</v>
      </c>
      <c r="AN31" s="51">
        <f t="shared" si="38"/>
        <v>2</v>
      </c>
      <c r="AO31" s="51">
        <f t="shared" si="38"/>
        <v>2</v>
      </c>
      <c r="AP31" s="51">
        <f t="shared" si="38"/>
        <v>0</v>
      </c>
      <c r="AQ31" s="51">
        <f t="shared" si="38"/>
        <v>4</v>
      </c>
      <c r="AR31" s="51">
        <f t="shared" si="38"/>
        <v>8</v>
      </c>
      <c r="AS31" s="51">
        <f t="shared" si="38"/>
        <v>3</v>
      </c>
      <c r="AT31" s="51">
        <f t="shared" si="38"/>
        <v>5</v>
      </c>
      <c r="AU31" s="51">
        <f t="shared" si="38"/>
        <v>8</v>
      </c>
      <c r="AV31" s="51">
        <f t="shared" si="38"/>
        <v>4</v>
      </c>
      <c r="AW31" s="51">
        <f t="shared" si="38"/>
        <v>2</v>
      </c>
      <c r="AX31" s="51">
        <f t="shared" si="38"/>
        <v>2</v>
      </c>
      <c r="AY31" s="51">
        <f t="shared" si="38"/>
        <v>9</v>
      </c>
      <c r="AZ31" s="51">
        <f t="shared" si="38"/>
        <v>46</v>
      </c>
      <c r="BA31" s="51">
        <f t="shared" si="38"/>
        <v>42</v>
      </c>
      <c r="BB31" s="51">
        <f t="shared" si="38"/>
        <v>4</v>
      </c>
      <c r="BC31" s="51">
        <f t="shared" si="38"/>
        <v>5</v>
      </c>
      <c r="BD31" s="51">
        <f t="shared" si="38"/>
        <v>6</v>
      </c>
      <c r="BE31" s="51">
        <f t="shared" si="38"/>
        <v>4</v>
      </c>
      <c r="BF31" s="51">
        <f t="shared" si="38"/>
        <v>2</v>
      </c>
      <c r="BG31" s="51">
        <f t="shared" si="38"/>
        <v>0</v>
      </c>
      <c r="BH31" s="51">
        <f t="shared" si="38"/>
        <v>4</v>
      </c>
      <c r="BI31" s="51">
        <f t="shared" si="38"/>
        <v>0</v>
      </c>
      <c r="BJ31" s="51">
        <f t="shared" si="38"/>
        <v>4</v>
      </c>
      <c r="BK31" s="51">
        <f t="shared" si="38"/>
        <v>0</v>
      </c>
      <c r="BL31" s="51">
        <f t="shared" si="38"/>
        <v>12</v>
      </c>
      <c r="BM31" s="51">
        <f t="shared" si="38"/>
        <v>1</v>
      </c>
      <c r="BN31" s="51">
        <f t="shared" si="38"/>
        <v>11</v>
      </c>
      <c r="BO31" s="51">
        <f t="shared" si="38"/>
        <v>1</v>
      </c>
      <c r="BP31" s="51">
        <f t="shared" si="38"/>
        <v>10</v>
      </c>
      <c r="BQ31" s="51">
        <f t="shared" ref="BQ31:BS31" si="39">SUM(BQ3:BQ30)</f>
        <v>3</v>
      </c>
      <c r="BR31" s="51">
        <f t="shared" si="39"/>
        <v>7</v>
      </c>
      <c r="BS31" s="51">
        <f t="shared" si="39"/>
        <v>2</v>
      </c>
    </row>
    <row r="33" spans="3:71" x14ac:dyDescent="0.35">
      <c r="C33" s="76" t="s">
        <v>7</v>
      </c>
      <c r="D33" s="112">
        <f>IFERROR(E31/(E31+F31),"")</f>
        <v>0.97297297297297303</v>
      </c>
      <c r="E33" s="113"/>
      <c r="F33" s="113"/>
      <c r="G33" s="114"/>
      <c r="H33" s="112">
        <f t="shared" ref="H33" si="40">IFERROR(I31/(I31+J31),"")</f>
        <v>0.625</v>
      </c>
      <c r="I33" s="113"/>
      <c r="J33" s="113"/>
      <c r="K33" s="114"/>
      <c r="L33" s="112">
        <f t="shared" ref="L33" si="41">IFERROR(M31/(M31+N31),"")</f>
        <v>0.75</v>
      </c>
      <c r="M33" s="113"/>
      <c r="N33" s="113"/>
      <c r="O33" s="114"/>
      <c r="P33" s="112">
        <f t="shared" ref="P33" si="42">IFERROR(Q31/(Q31+R31),"")</f>
        <v>1</v>
      </c>
      <c r="Q33" s="113"/>
      <c r="R33" s="113"/>
      <c r="S33" s="114"/>
      <c r="T33" s="112">
        <f t="shared" ref="T33" si="43">IFERROR(U31/(U31+V31),"")</f>
        <v>0.7142857142857143</v>
      </c>
      <c r="U33" s="113"/>
      <c r="V33" s="113"/>
      <c r="W33" s="114"/>
      <c r="X33" s="112">
        <f t="shared" ref="X33" si="44">IFERROR(Y31/(Y31+Z31),"")</f>
        <v>0.94117647058823528</v>
      </c>
      <c r="Y33" s="113"/>
      <c r="Z33" s="113"/>
      <c r="AA33" s="114"/>
      <c r="AB33" s="112">
        <f t="shared" ref="AB33" si="45">IFERROR(AC31/(AC31+AD31),"")</f>
        <v>0.875</v>
      </c>
      <c r="AC33" s="113"/>
      <c r="AD33" s="113"/>
      <c r="AE33" s="114"/>
      <c r="AF33" s="112">
        <f t="shared" ref="AF33" si="46">IFERROR(AG31/(AG31+AH31),"")</f>
        <v>0.33333333333333331</v>
      </c>
      <c r="AG33" s="113"/>
      <c r="AH33" s="113"/>
      <c r="AI33" s="114"/>
      <c r="AJ33" s="112">
        <f t="shared" ref="AJ33" si="47">IFERROR(AK31/(AK31+AL31),"")</f>
        <v>1</v>
      </c>
      <c r="AK33" s="113"/>
      <c r="AL33" s="113"/>
      <c r="AM33" s="114"/>
      <c r="AN33" s="112">
        <f t="shared" ref="AN33" si="48">IFERROR(AO31/(AO31+AP31),"")</f>
        <v>1</v>
      </c>
      <c r="AO33" s="113"/>
      <c r="AP33" s="113"/>
      <c r="AQ33" s="114"/>
      <c r="AR33" s="112">
        <f t="shared" ref="AR33" si="49">IFERROR(AS31/(AS31+AT31),"")</f>
        <v>0.375</v>
      </c>
      <c r="AS33" s="113"/>
      <c r="AT33" s="113"/>
      <c r="AU33" s="114"/>
      <c r="AV33" s="112">
        <f t="shared" ref="AV33" si="50">IFERROR(AW31/(AW31+AX31),"")</f>
        <v>0.5</v>
      </c>
      <c r="AW33" s="113"/>
      <c r="AX33" s="113"/>
      <c r="AY33" s="114"/>
      <c r="AZ33" s="112">
        <f t="shared" ref="AZ33" si="51">IFERROR(BA31/(BA31+BB31),"")</f>
        <v>0.91304347826086951</v>
      </c>
      <c r="BA33" s="113"/>
      <c r="BB33" s="113"/>
      <c r="BC33" s="114"/>
      <c r="BD33" s="112">
        <f t="shared" ref="BD33" si="52">IFERROR(BE31/(BE31+BF31),"")</f>
        <v>0.66666666666666663</v>
      </c>
      <c r="BE33" s="113"/>
      <c r="BF33" s="113"/>
      <c r="BG33" s="114"/>
      <c r="BH33" s="112">
        <f t="shared" ref="BH33" si="53">IFERROR(BI31/(BI31+BJ31),"")</f>
        <v>0</v>
      </c>
      <c r="BI33" s="113"/>
      <c r="BJ33" s="113"/>
      <c r="BK33" s="114"/>
      <c r="BL33" s="112">
        <f t="shared" ref="BL33" si="54">IFERROR(BM31/(BM31+BN31),"")</f>
        <v>8.3333333333333329E-2</v>
      </c>
      <c r="BM33" s="113"/>
      <c r="BN33" s="113"/>
      <c r="BO33" s="114"/>
      <c r="BP33" s="112">
        <f t="shared" ref="BP33" si="55">IFERROR(BQ31/(BQ31+BR31),"")</f>
        <v>0.3</v>
      </c>
      <c r="BQ33" s="113"/>
      <c r="BR33" s="113"/>
      <c r="BS33" s="114"/>
    </row>
    <row r="34" spans="3:71" x14ac:dyDescent="0.35">
      <c r="C34" s="76" t="s">
        <v>117</v>
      </c>
      <c r="D34" s="112">
        <f>IFERROR(E31/(E31+G31),"")</f>
        <v>1</v>
      </c>
      <c r="E34" s="113"/>
      <c r="F34" s="113"/>
      <c r="G34" s="114"/>
      <c r="H34" s="112">
        <f t="shared" ref="H34" si="56">IFERROR(I31/(I31+K31),"")</f>
        <v>1</v>
      </c>
      <c r="I34" s="113"/>
      <c r="J34" s="113"/>
      <c r="K34" s="114"/>
      <c r="L34" s="112">
        <f t="shared" ref="L34" si="57">IFERROR(M31/(M31+O31),"")</f>
        <v>1</v>
      </c>
      <c r="M34" s="113"/>
      <c r="N34" s="113"/>
      <c r="O34" s="114"/>
      <c r="P34" s="112">
        <f t="shared" ref="P34" si="58">IFERROR(Q31/(Q31+S31),"")</f>
        <v>0.93457943925233644</v>
      </c>
      <c r="Q34" s="113"/>
      <c r="R34" s="113"/>
      <c r="S34" s="114"/>
      <c r="T34" s="112">
        <f t="shared" ref="T34" si="59">IFERROR(U31/(U31+W31),"")</f>
        <v>0.5</v>
      </c>
      <c r="U34" s="113"/>
      <c r="V34" s="113"/>
      <c r="W34" s="114"/>
      <c r="X34" s="112">
        <f t="shared" ref="X34" si="60">IFERROR(Y31/(Y31+AA31),"")</f>
        <v>0.96969696969696972</v>
      </c>
      <c r="Y34" s="113"/>
      <c r="Z34" s="113"/>
      <c r="AA34" s="114"/>
      <c r="AB34" s="112">
        <f t="shared" ref="AB34" si="61">IFERROR(AC31/(AC31+AE31),"")</f>
        <v>0.93333333333333335</v>
      </c>
      <c r="AC34" s="113"/>
      <c r="AD34" s="113"/>
      <c r="AE34" s="114"/>
      <c r="AF34" s="112">
        <f t="shared" ref="AF34" si="62">IFERROR(AG31/(AG31+AI31),"")</f>
        <v>0.92307692307692313</v>
      </c>
      <c r="AG34" s="113"/>
      <c r="AH34" s="113"/>
      <c r="AI34" s="114"/>
      <c r="AJ34" s="112">
        <f t="shared" ref="AJ34" si="63">IFERROR(AK31/(AK31+AM31),"")</f>
        <v>1</v>
      </c>
      <c r="AK34" s="113"/>
      <c r="AL34" s="113"/>
      <c r="AM34" s="114"/>
      <c r="AN34" s="112">
        <f t="shared" ref="AN34" si="64">IFERROR(AO31/(AO31+AQ31),"")</f>
        <v>0.33333333333333331</v>
      </c>
      <c r="AO34" s="113"/>
      <c r="AP34" s="113"/>
      <c r="AQ34" s="114"/>
      <c r="AR34" s="112">
        <f t="shared" ref="AR34" si="65">IFERROR(AS31/(AS31+AU31),"")</f>
        <v>0.27272727272727271</v>
      </c>
      <c r="AS34" s="113"/>
      <c r="AT34" s="113"/>
      <c r="AU34" s="114"/>
      <c r="AV34" s="112">
        <f t="shared" ref="AV34" si="66">IFERROR(AW31/(AW31+AY31),"")</f>
        <v>0.18181818181818182</v>
      </c>
      <c r="AW34" s="113"/>
      <c r="AX34" s="113"/>
      <c r="AY34" s="114"/>
      <c r="AZ34" s="112">
        <f t="shared" ref="AZ34" si="67">IFERROR(BA31/(BA31+BC31),"")</f>
        <v>0.8936170212765957</v>
      </c>
      <c r="BA34" s="113"/>
      <c r="BB34" s="113"/>
      <c r="BC34" s="114"/>
      <c r="BD34" s="112">
        <f t="shared" ref="BD34" si="68">IFERROR(BE31/(BE31+BG31),"")</f>
        <v>1</v>
      </c>
      <c r="BE34" s="113"/>
      <c r="BF34" s="113"/>
      <c r="BG34" s="114"/>
      <c r="BH34" s="112" t="str">
        <f t="shared" ref="BH34" si="69">IFERROR(BI31/(BI31+BK31),"")</f>
        <v/>
      </c>
      <c r="BI34" s="113"/>
      <c r="BJ34" s="113"/>
      <c r="BK34" s="114"/>
      <c r="BL34" s="112">
        <f t="shared" ref="BL34" si="70">IFERROR(BM31/(BM31+BO31),"")</f>
        <v>0.5</v>
      </c>
      <c r="BM34" s="113"/>
      <c r="BN34" s="113"/>
      <c r="BO34" s="114"/>
      <c r="BP34" s="112">
        <f t="shared" ref="BP34" si="71">IFERROR(BQ31/(BQ31+BS31),"")</f>
        <v>0.6</v>
      </c>
      <c r="BQ34" s="113"/>
      <c r="BR34" s="113"/>
      <c r="BS34" s="114"/>
    </row>
    <row r="35" spans="3:71" x14ac:dyDescent="0.35">
      <c r="C35" s="76" t="s">
        <v>8</v>
      </c>
      <c r="D35" s="112">
        <f>IFERROR(2*D33*D34/(D33+D34),IF(AND(D33=0,D34=0),0,""))</f>
        <v>0.98630136986301375</v>
      </c>
      <c r="E35" s="113"/>
      <c r="F35" s="113"/>
      <c r="G35" s="114"/>
      <c r="H35" s="112">
        <f t="shared" ref="H35" si="72">IFERROR(2*H33*H34/(H33+H34),IF(AND(H33=0,H34=0),0,""))</f>
        <v>0.76923076923076927</v>
      </c>
      <c r="I35" s="113"/>
      <c r="J35" s="113"/>
      <c r="K35" s="114"/>
      <c r="L35" s="112">
        <f t="shared" ref="L35" si="73">IFERROR(2*L33*L34/(L33+L34),IF(AND(L33=0,L34=0),0,""))</f>
        <v>0.8571428571428571</v>
      </c>
      <c r="M35" s="113"/>
      <c r="N35" s="113"/>
      <c r="O35" s="114"/>
      <c r="P35" s="112">
        <f t="shared" ref="P35" si="74">IFERROR(2*P33*P34/(P33+P34),IF(AND(P33=0,P34=0),0,""))</f>
        <v>0.96618357487922701</v>
      </c>
      <c r="Q35" s="113"/>
      <c r="R35" s="113"/>
      <c r="S35" s="114"/>
      <c r="T35" s="112">
        <f t="shared" ref="T35" si="75">IFERROR(2*T33*T34/(T33+T34),IF(AND(T33=0,T34=0),0,""))</f>
        <v>0.58823529411764697</v>
      </c>
      <c r="U35" s="113"/>
      <c r="V35" s="113"/>
      <c r="W35" s="114"/>
      <c r="X35" s="112">
        <f t="shared" ref="X35" si="76">IFERROR(2*X33*X34/(X33+X34),IF(AND(X33=0,X34=0),0,""))</f>
        <v>0.95522388059701502</v>
      </c>
      <c r="Y35" s="113"/>
      <c r="Z35" s="113"/>
      <c r="AA35" s="114"/>
      <c r="AB35" s="112">
        <f t="shared" ref="AB35" si="77">IFERROR(2*AB33*AB34/(AB33+AB34),IF(AND(AB33=0,AB34=0),0,""))</f>
        <v>0.90322580645161288</v>
      </c>
      <c r="AC35" s="113"/>
      <c r="AD35" s="113"/>
      <c r="AE35" s="114"/>
      <c r="AF35" s="112">
        <f t="shared" ref="AF35" si="78">IFERROR(2*AF33*AF34/(AF33+AF34),IF(AND(AF33=0,AF34=0),0,""))</f>
        <v>0.48979591836734698</v>
      </c>
      <c r="AG35" s="113"/>
      <c r="AH35" s="113"/>
      <c r="AI35" s="114"/>
      <c r="AJ35" s="112">
        <f t="shared" ref="AJ35" si="79">IFERROR(2*AJ33*AJ34/(AJ33+AJ34),IF(AND(AJ33=0,AJ34=0),0,""))</f>
        <v>1</v>
      </c>
      <c r="AK35" s="113"/>
      <c r="AL35" s="113"/>
      <c r="AM35" s="114"/>
      <c r="AN35" s="112">
        <f t="shared" ref="AN35" si="80">IFERROR(2*AN33*AN34/(AN33+AN34),IF(AND(AN33=0,AN34=0),0,""))</f>
        <v>0.5</v>
      </c>
      <c r="AO35" s="113"/>
      <c r="AP35" s="113"/>
      <c r="AQ35" s="114"/>
      <c r="AR35" s="112">
        <f t="shared" ref="AR35" si="81">IFERROR(2*AR33*AR34/(AR33+AR34),IF(AND(AR33=0,AR34=0),0,""))</f>
        <v>0.31578947368421051</v>
      </c>
      <c r="AS35" s="113"/>
      <c r="AT35" s="113"/>
      <c r="AU35" s="114"/>
      <c r="AV35" s="112">
        <f t="shared" ref="AV35" si="82">IFERROR(2*AV33*AV34/(AV33+AV34),IF(AND(AV33=0,AV34=0),0,""))</f>
        <v>0.26666666666666666</v>
      </c>
      <c r="AW35" s="113"/>
      <c r="AX35" s="113"/>
      <c r="AY35" s="114"/>
      <c r="AZ35" s="112">
        <f t="shared" ref="AZ35" si="83">IFERROR(2*AZ33*AZ34/(AZ33+AZ34),IF(AND(AZ33=0,AZ34=0),0,""))</f>
        <v>0.90322580645161288</v>
      </c>
      <c r="BA35" s="113"/>
      <c r="BB35" s="113"/>
      <c r="BC35" s="114"/>
      <c r="BD35" s="112">
        <f t="shared" ref="BD35" si="84">IFERROR(2*BD33*BD34/(BD33+BD34),IF(AND(BD33=0,BD34=0),0,""))</f>
        <v>0.8</v>
      </c>
      <c r="BE35" s="113"/>
      <c r="BF35" s="113"/>
      <c r="BG35" s="114"/>
      <c r="BH35" s="112" t="str">
        <f t="shared" ref="BH35" si="85">IFERROR(2*BH33*BH34/(BH33+BH34),IF(AND(BH33=0,BH34=0),0,""))</f>
        <v/>
      </c>
      <c r="BI35" s="113"/>
      <c r="BJ35" s="113"/>
      <c r="BK35" s="114"/>
      <c r="BL35" s="112">
        <f t="shared" ref="BL35" si="86">IFERROR(2*BL33*BL34/(BL33+BL34),IF(AND(BL33=0,BL34=0),0,""))</f>
        <v>0.14285714285714285</v>
      </c>
      <c r="BM35" s="113"/>
      <c r="BN35" s="113"/>
      <c r="BO35" s="114"/>
      <c r="BP35" s="112">
        <f t="shared" ref="BP35" si="87">IFERROR(2*BP33*BP34/(BP33+BP34),IF(AND(BP33=0,BP34=0),0,""))</f>
        <v>0.4</v>
      </c>
      <c r="BQ35" s="113"/>
      <c r="BR35" s="113"/>
      <c r="BS35" s="114"/>
    </row>
  </sheetData>
  <mergeCells count="82">
    <mergeCell ref="BL35:BO35"/>
    <mergeCell ref="BP35:BS35"/>
    <mergeCell ref="BH34:BK34"/>
    <mergeCell ref="BL34:BO34"/>
    <mergeCell ref="BP34:BS34"/>
    <mergeCell ref="D35:G35"/>
    <mergeCell ref="H35:K35"/>
    <mergeCell ref="L35:O35"/>
    <mergeCell ref="P35:S35"/>
    <mergeCell ref="T35:W35"/>
    <mergeCell ref="X35:AA35"/>
    <mergeCell ref="AB35:AE35"/>
    <mergeCell ref="AF35:AI35"/>
    <mergeCell ref="AJ35:AM35"/>
    <mergeCell ref="AN35:AQ35"/>
    <mergeCell ref="AR35:AU35"/>
    <mergeCell ref="AV35:AY35"/>
    <mergeCell ref="AZ35:BC35"/>
    <mergeCell ref="BL33:BO33"/>
    <mergeCell ref="BP33:BS33"/>
    <mergeCell ref="AR34:AU34"/>
    <mergeCell ref="AV34:AY34"/>
    <mergeCell ref="AZ34:BC34"/>
    <mergeCell ref="BD34:BG34"/>
    <mergeCell ref="AR33:AU33"/>
    <mergeCell ref="AV33:AY33"/>
    <mergeCell ref="AZ33:BC33"/>
    <mergeCell ref="BD33:BG33"/>
    <mergeCell ref="BH33:BK33"/>
    <mergeCell ref="BD35:BG35"/>
    <mergeCell ref="BH35:BK35"/>
    <mergeCell ref="D34:G34"/>
    <mergeCell ref="H34:K34"/>
    <mergeCell ref="L34:O34"/>
    <mergeCell ref="P34:S34"/>
    <mergeCell ref="T34:W34"/>
    <mergeCell ref="X34:AA34"/>
    <mergeCell ref="AB34:AE34"/>
    <mergeCell ref="AF34:AI34"/>
    <mergeCell ref="AJ34:AM34"/>
    <mergeCell ref="AN34:AQ34"/>
    <mergeCell ref="X33:AA33"/>
    <mergeCell ref="AB33:AE33"/>
    <mergeCell ref="AF33:AI33"/>
    <mergeCell ref="AJ33:AM33"/>
    <mergeCell ref="AN33:AQ33"/>
    <mergeCell ref="D33:G33"/>
    <mergeCell ref="H33:K33"/>
    <mergeCell ref="L33:O33"/>
    <mergeCell ref="P33:S33"/>
    <mergeCell ref="T33:W33"/>
    <mergeCell ref="BX1:BX2"/>
    <mergeCell ref="AZ1:BC1"/>
    <mergeCell ref="BD1:BG1"/>
    <mergeCell ref="BH1:BK1"/>
    <mergeCell ref="BL1:BO1"/>
    <mergeCell ref="BP1:BS1"/>
    <mergeCell ref="B3:B29"/>
    <mergeCell ref="BT1:BT2"/>
    <mergeCell ref="BU1:BU2"/>
    <mergeCell ref="BV1:BV2"/>
    <mergeCell ref="BW1:BW2"/>
    <mergeCell ref="AF1:AI1"/>
    <mergeCell ref="AJ1:AM1"/>
    <mergeCell ref="AN1:AQ1"/>
    <mergeCell ref="AR1:AU1"/>
    <mergeCell ref="CC1:CC2"/>
    <mergeCell ref="CD1:CD2"/>
    <mergeCell ref="CE1:CE2"/>
    <mergeCell ref="CF1:CF2"/>
    <mergeCell ref="A1:A2"/>
    <mergeCell ref="B1:B2"/>
    <mergeCell ref="C1:C2"/>
    <mergeCell ref="D1:G1"/>
    <mergeCell ref="H1:K1"/>
    <mergeCell ref="AV1:AY1"/>
    <mergeCell ref="L1:O1"/>
    <mergeCell ref="P1:S1"/>
    <mergeCell ref="T1:W1"/>
    <mergeCell ref="X1:AA1"/>
    <mergeCell ref="AB1:AE1"/>
    <mergeCell ref="BY1:BY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58885-6720-4FC2-9571-F94780885321}">
  <dimension ref="A1:CF35"/>
  <sheetViews>
    <sheetView zoomScale="68" zoomScaleNormal="68" workbookViewId="0">
      <pane ySplit="2" topLeftCell="A3" activePane="bottomLeft" state="frozen"/>
      <selection activeCell="AW40" sqref="AW40"/>
      <selection pane="bottomLeft" activeCell="C34" sqref="C34"/>
    </sheetView>
  </sheetViews>
  <sheetFormatPr defaultRowHeight="14.5" x14ac:dyDescent="0.35"/>
  <cols>
    <col min="2" max="2" width="28.453125" customWidth="1"/>
    <col min="3" max="3" width="17.1796875" customWidth="1"/>
    <col min="51" max="51" width="11" customWidth="1"/>
    <col min="76" max="76" width="13.7265625" customWidth="1"/>
    <col min="81" max="81" width="13.453125" bestFit="1" customWidth="1"/>
    <col min="83" max="83" width="11.81640625" bestFit="1" customWidth="1"/>
  </cols>
  <sheetData>
    <row r="1" spans="1:84" ht="15.5" thickTop="1" thickBot="1" x14ac:dyDescent="0.4">
      <c r="A1" s="92" t="s">
        <v>0</v>
      </c>
      <c r="B1" s="94" t="s">
        <v>1</v>
      </c>
      <c r="C1" s="96" t="s">
        <v>2</v>
      </c>
      <c r="D1" s="98" t="s">
        <v>3</v>
      </c>
      <c r="E1" s="99"/>
      <c r="F1" s="99"/>
      <c r="G1" s="100"/>
      <c r="H1" s="101" t="s">
        <v>71</v>
      </c>
      <c r="I1" s="101"/>
      <c r="J1" s="101"/>
      <c r="K1" s="102"/>
      <c r="L1" s="92" t="s">
        <v>72</v>
      </c>
      <c r="M1" s="103"/>
      <c r="N1" s="103"/>
      <c r="O1" s="96"/>
      <c r="P1" s="92" t="s">
        <v>73</v>
      </c>
      <c r="Q1" s="103"/>
      <c r="R1" s="103"/>
      <c r="S1" s="96"/>
      <c r="T1" s="92" t="s">
        <v>74</v>
      </c>
      <c r="U1" s="103"/>
      <c r="V1" s="103"/>
      <c r="W1" s="96"/>
      <c r="X1" s="92" t="s">
        <v>75</v>
      </c>
      <c r="Y1" s="103"/>
      <c r="Z1" s="103"/>
      <c r="AA1" s="96"/>
      <c r="AB1" s="92" t="s">
        <v>76</v>
      </c>
      <c r="AC1" s="103"/>
      <c r="AD1" s="103"/>
      <c r="AE1" s="96"/>
      <c r="AF1" s="92" t="s">
        <v>77</v>
      </c>
      <c r="AG1" s="103"/>
      <c r="AH1" s="103"/>
      <c r="AI1" s="96"/>
      <c r="AJ1" s="92" t="s">
        <v>78</v>
      </c>
      <c r="AK1" s="103"/>
      <c r="AL1" s="103"/>
      <c r="AM1" s="96"/>
      <c r="AN1" s="92" t="s">
        <v>79</v>
      </c>
      <c r="AO1" s="103"/>
      <c r="AP1" s="103"/>
      <c r="AQ1" s="96"/>
      <c r="AR1" s="92" t="s">
        <v>80</v>
      </c>
      <c r="AS1" s="103"/>
      <c r="AT1" s="103"/>
      <c r="AU1" s="96"/>
      <c r="AV1" s="92" t="s">
        <v>81</v>
      </c>
      <c r="AW1" s="103"/>
      <c r="AX1" s="103"/>
      <c r="AY1" s="111"/>
      <c r="AZ1" s="104" t="s">
        <v>82</v>
      </c>
      <c r="BA1" s="101"/>
      <c r="BB1" s="101"/>
      <c r="BC1" s="102"/>
      <c r="BD1" s="92" t="s">
        <v>83</v>
      </c>
      <c r="BE1" s="103"/>
      <c r="BF1" s="103"/>
      <c r="BG1" s="96"/>
      <c r="BH1" s="92" t="s">
        <v>84</v>
      </c>
      <c r="BI1" s="103"/>
      <c r="BJ1" s="103"/>
      <c r="BK1" s="96"/>
      <c r="BL1" s="92" t="s">
        <v>85</v>
      </c>
      <c r="BM1" s="103"/>
      <c r="BN1" s="103"/>
      <c r="BO1" s="96"/>
      <c r="BP1" s="92" t="s">
        <v>86</v>
      </c>
      <c r="BQ1" s="103"/>
      <c r="BR1" s="103"/>
      <c r="BS1" s="96"/>
      <c r="BT1" s="109" t="s">
        <v>4</v>
      </c>
      <c r="BU1" s="103" t="s">
        <v>5</v>
      </c>
      <c r="BV1" s="103" t="s">
        <v>6</v>
      </c>
      <c r="BW1" s="103" t="s">
        <v>7</v>
      </c>
      <c r="BX1" s="103" t="s">
        <v>117</v>
      </c>
      <c r="BY1" s="96" t="s">
        <v>8</v>
      </c>
      <c r="CC1" s="91" t="s">
        <v>2</v>
      </c>
      <c r="CD1" s="91" t="str">
        <f>BW1</f>
        <v>Recall</v>
      </c>
      <c r="CE1" s="91" t="str">
        <f>BX1</f>
        <v>Precision</v>
      </c>
      <c r="CF1" s="91" t="str">
        <f>BY1</f>
        <v>F1</v>
      </c>
    </row>
    <row r="2" spans="1:84" ht="15.5" thickTop="1" thickBot="1" x14ac:dyDescent="0.4">
      <c r="A2" s="93"/>
      <c r="B2" s="95"/>
      <c r="C2" s="97"/>
      <c r="D2" s="5" t="s">
        <v>9</v>
      </c>
      <c r="E2" s="1" t="s">
        <v>4</v>
      </c>
      <c r="F2" s="1" t="s">
        <v>5</v>
      </c>
      <c r="G2" s="2" t="s">
        <v>6</v>
      </c>
      <c r="H2" s="1" t="s">
        <v>9</v>
      </c>
      <c r="I2" s="3" t="s">
        <v>4</v>
      </c>
      <c r="J2" s="3" t="s">
        <v>5</v>
      </c>
      <c r="K2" s="2" t="s">
        <v>6</v>
      </c>
      <c r="L2" s="1" t="s">
        <v>9</v>
      </c>
      <c r="M2" s="3" t="s">
        <v>4</v>
      </c>
      <c r="N2" s="3" t="s">
        <v>5</v>
      </c>
      <c r="O2" s="2" t="s">
        <v>6</v>
      </c>
      <c r="P2" s="1" t="s">
        <v>9</v>
      </c>
      <c r="Q2" s="3" t="s">
        <v>4</v>
      </c>
      <c r="R2" s="3" t="s">
        <v>5</v>
      </c>
      <c r="S2" s="2" t="s">
        <v>6</v>
      </c>
      <c r="T2" s="1" t="s">
        <v>9</v>
      </c>
      <c r="U2" s="3" t="s">
        <v>4</v>
      </c>
      <c r="V2" s="3" t="s">
        <v>5</v>
      </c>
      <c r="W2" s="2" t="s">
        <v>6</v>
      </c>
      <c r="X2" s="1" t="s">
        <v>9</v>
      </c>
      <c r="Y2" s="3" t="s">
        <v>4</v>
      </c>
      <c r="Z2" s="3" t="s">
        <v>5</v>
      </c>
      <c r="AA2" s="2" t="s">
        <v>6</v>
      </c>
      <c r="AB2" s="1" t="s">
        <v>9</v>
      </c>
      <c r="AC2" s="3" t="s">
        <v>4</v>
      </c>
      <c r="AD2" s="3" t="s">
        <v>5</v>
      </c>
      <c r="AE2" s="2" t="s">
        <v>6</v>
      </c>
      <c r="AF2" s="1" t="s">
        <v>9</v>
      </c>
      <c r="AG2" s="3" t="s">
        <v>4</v>
      </c>
      <c r="AH2" s="3" t="s">
        <v>5</v>
      </c>
      <c r="AI2" s="2" t="s">
        <v>6</v>
      </c>
      <c r="AJ2" s="1" t="s">
        <v>9</v>
      </c>
      <c r="AK2" s="3" t="s">
        <v>4</v>
      </c>
      <c r="AL2" s="3" t="s">
        <v>5</v>
      </c>
      <c r="AM2" s="2" t="s">
        <v>6</v>
      </c>
      <c r="AN2" s="1" t="s">
        <v>9</v>
      </c>
      <c r="AO2" s="3" t="s">
        <v>4</v>
      </c>
      <c r="AP2" s="3" t="s">
        <v>5</v>
      </c>
      <c r="AQ2" s="2" t="s">
        <v>6</v>
      </c>
      <c r="AR2" s="1" t="s">
        <v>9</v>
      </c>
      <c r="AS2" s="3" t="s">
        <v>4</v>
      </c>
      <c r="AT2" s="3" t="s">
        <v>5</v>
      </c>
      <c r="AU2" s="2" t="s">
        <v>6</v>
      </c>
      <c r="AV2" s="1" t="s">
        <v>9</v>
      </c>
      <c r="AW2" s="3" t="s">
        <v>4</v>
      </c>
      <c r="AX2" s="3" t="s">
        <v>5</v>
      </c>
      <c r="AY2" s="68" t="s">
        <v>6</v>
      </c>
      <c r="AZ2" s="66" t="s">
        <v>9</v>
      </c>
      <c r="BA2" s="67" t="s">
        <v>4</v>
      </c>
      <c r="BB2" s="67" t="s">
        <v>5</v>
      </c>
      <c r="BC2" s="68" t="s">
        <v>6</v>
      </c>
      <c r="BD2" s="5" t="s">
        <v>9</v>
      </c>
      <c r="BE2" s="3" t="s">
        <v>4</v>
      </c>
      <c r="BF2" s="3" t="s">
        <v>5</v>
      </c>
      <c r="BG2" s="2" t="s">
        <v>6</v>
      </c>
      <c r="BH2" s="1" t="s">
        <v>9</v>
      </c>
      <c r="BI2" s="3" t="s">
        <v>4</v>
      </c>
      <c r="BJ2" s="3" t="s">
        <v>5</v>
      </c>
      <c r="BK2" s="2" t="s">
        <v>6</v>
      </c>
      <c r="BL2" s="1" t="s">
        <v>9</v>
      </c>
      <c r="BM2" s="3" t="s">
        <v>4</v>
      </c>
      <c r="BN2" s="3" t="s">
        <v>5</v>
      </c>
      <c r="BO2" s="2" t="s">
        <v>6</v>
      </c>
      <c r="BP2" s="1" t="s">
        <v>9</v>
      </c>
      <c r="BQ2" s="3" t="s">
        <v>4</v>
      </c>
      <c r="BR2" s="3" t="s">
        <v>5</v>
      </c>
      <c r="BS2" s="2" t="s">
        <v>6</v>
      </c>
      <c r="BT2" s="110"/>
      <c r="BU2" s="105"/>
      <c r="BV2" s="105"/>
      <c r="BW2" s="105"/>
      <c r="BX2" s="105"/>
      <c r="BY2" s="106"/>
      <c r="CC2" s="91"/>
      <c r="CD2" s="91"/>
      <c r="CE2" s="91"/>
      <c r="CF2" s="91"/>
    </row>
    <row r="3" spans="1:84" ht="15" customHeight="1" thickTop="1" x14ac:dyDescent="0.35">
      <c r="A3" s="52" t="s">
        <v>10</v>
      </c>
      <c r="B3" s="107" t="s">
        <v>44</v>
      </c>
      <c r="C3" s="6" t="s">
        <v>11</v>
      </c>
      <c r="D3" s="7">
        <v>2</v>
      </c>
      <c r="E3" s="8">
        <v>2</v>
      </c>
      <c r="F3" s="8">
        <f>D3-E3</f>
        <v>0</v>
      </c>
      <c r="G3" s="6">
        <v>0</v>
      </c>
      <c r="H3" s="9">
        <v>0</v>
      </c>
      <c r="I3" s="8">
        <v>0</v>
      </c>
      <c r="J3" s="8">
        <f>H3-I3</f>
        <v>0</v>
      </c>
      <c r="K3" s="6">
        <v>0</v>
      </c>
      <c r="L3" s="9">
        <v>0</v>
      </c>
      <c r="M3" s="8">
        <v>0</v>
      </c>
      <c r="N3" s="8">
        <f>L3-M3</f>
        <v>0</v>
      </c>
      <c r="O3" s="6">
        <v>0</v>
      </c>
      <c r="P3" s="9">
        <v>2</v>
      </c>
      <c r="Q3" s="8">
        <v>2</v>
      </c>
      <c r="R3" s="8">
        <f>P3-Q3</f>
        <v>0</v>
      </c>
      <c r="S3" s="6">
        <v>0</v>
      </c>
      <c r="T3" s="9">
        <v>2</v>
      </c>
      <c r="U3" s="8">
        <v>0</v>
      </c>
      <c r="V3" s="8">
        <f>T3-U3</f>
        <v>2</v>
      </c>
      <c r="W3" s="6">
        <v>0</v>
      </c>
      <c r="X3" s="9">
        <v>3</v>
      </c>
      <c r="Y3" s="8">
        <v>3</v>
      </c>
      <c r="Z3" s="8">
        <f>X3-Y3</f>
        <v>0</v>
      </c>
      <c r="AA3" s="6">
        <v>0</v>
      </c>
      <c r="AB3" s="9">
        <v>2</v>
      </c>
      <c r="AC3" s="8">
        <v>2</v>
      </c>
      <c r="AD3" s="8">
        <f>AB3-AC3</f>
        <v>0</v>
      </c>
      <c r="AE3" s="6">
        <v>0</v>
      </c>
      <c r="AF3" s="9">
        <v>3</v>
      </c>
      <c r="AG3" s="8">
        <v>0</v>
      </c>
      <c r="AH3" s="8">
        <f>AF3-AG3</f>
        <v>3</v>
      </c>
      <c r="AI3" s="6">
        <v>0</v>
      </c>
      <c r="AJ3" s="9">
        <v>1</v>
      </c>
      <c r="AK3" s="8">
        <v>1</v>
      </c>
      <c r="AL3" s="8">
        <f>AJ3-AK3</f>
        <v>0</v>
      </c>
      <c r="AM3" s="6">
        <v>0</v>
      </c>
      <c r="AN3" s="9">
        <v>0</v>
      </c>
      <c r="AO3" s="8">
        <v>0</v>
      </c>
      <c r="AP3" s="8">
        <f>AN3-AO3</f>
        <v>0</v>
      </c>
      <c r="AQ3" s="6">
        <v>0</v>
      </c>
      <c r="AR3" s="9">
        <v>0</v>
      </c>
      <c r="AS3" s="8">
        <v>0</v>
      </c>
      <c r="AT3" s="8">
        <f>AR3-AS3</f>
        <v>0</v>
      </c>
      <c r="AU3" s="6">
        <v>0</v>
      </c>
      <c r="AV3" s="9">
        <v>0</v>
      </c>
      <c r="AW3" s="8">
        <v>0</v>
      </c>
      <c r="AX3" s="8">
        <f>AV3-AW3</f>
        <v>0</v>
      </c>
      <c r="AY3" s="6">
        <v>0</v>
      </c>
      <c r="AZ3" s="7">
        <v>1</v>
      </c>
      <c r="BA3" s="10">
        <v>1</v>
      </c>
      <c r="BB3" s="10">
        <f>AZ3-BA3</f>
        <v>0</v>
      </c>
      <c r="BC3" s="70">
        <v>0</v>
      </c>
      <c r="BD3" s="7">
        <v>1</v>
      </c>
      <c r="BE3" s="8">
        <v>0</v>
      </c>
      <c r="BF3" s="8">
        <f>BD3-BE3</f>
        <v>1</v>
      </c>
      <c r="BG3" s="6">
        <v>0</v>
      </c>
      <c r="BH3" s="9">
        <v>0</v>
      </c>
      <c r="BI3" s="8">
        <v>0</v>
      </c>
      <c r="BJ3" s="8">
        <f>BH3-BI3</f>
        <v>0</v>
      </c>
      <c r="BK3" s="6">
        <v>0</v>
      </c>
      <c r="BL3" s="9">
        <v>0</v>
      </c>
      <c r="BM3" s="8">
        <v>0</v>
      </c>
      <c r="BN3" s="8">
        <f>BL3-BM3</f>
        <v>0</v>
      </c>
      <c r="BO3" s="6">
        <v>0</v>
      </c>
      <c r="BP3" s="9">
        <v>0</v>
      </c>
      <c r="BQ3" s="8">
        <v>0</v>
      </c>
      <c r="BR3" s="8">
        <f>BP3-BQ3</f>
        <v>0</v>
      </c>
      <c r="BS3" s="6">
        <v>0</v>
      </c>
      <c r="BT3" s="9">
        <f>SUM(E3,I3,M3,Q3,U3,Y3,AC3,AG3,AK3,AO3,AS3,AW3,BE3,BI3,BM3,BQ3,BA3)</f>
        <v>11</v>
      </c>
      <c r="BU3" s="8">
        <f>SUM(BR3,BN3,BJ3,BF3,AX3,AT3,AP3,AL3,AH3,AD3,Z3,V3,R3,N3,J3,F3,BB3)</f>
        <v>6</v>
      </c>
      <c r="BV3" s="10">
        <f>SUM(BS3,BO3,BK3,BG3,AY3,AU3,AQ3,AM3,AI3,AE3,AA3,W3,S3,O3,K3,G3, BC3)</f>
        <v>0</v>
      </c>
      <c r="BW3" s="8">
        <f>BT3/(BT3+BU3)</f>
        <v>0.6470588235294118</v>
      </c>
      <c r="BX3" s="8">
        <f>BT3/(BT3+BV3)</f>
        <v>1</v>
      </c>
      <c r="BY3" s="6">
        <f>2*(BX3*BW3)/(BX3+BW3)</f>
        <v>0.78571428571428581</v>
      </c>
      <c r="CC3" s="75" t="s">
        <v>54</v>
      </c>
      <c r="CD3">
        <f>AVERAGE(BW3:BW4)</f>
        <v>0.6470588235294118</v>
      </c>
      <c r="CE3">
        <f>AVERAGE(BX3:BX4)</f>
        <v>1</v>
      </c>
      <c r="CF3">
        <f t="shared" ref="CF3" si="0">AVERAGE(BY3:BY4)</f>
        <v>0.78571428571428581</v>
      </c>
    </row>
    <row r="4" spans="1:84" ht="15" customHeight="1" x14ac:dyDescent="0.35">
      <c r="A4" s="52" t="s">
        <v>10</v>
      </c>
      <c r="B4" s="108"/>
      <c r="C4" s="70" t="s">
        <v>12</v>
      </c>
      <c r="D4" s="7">
        <v>2</v>
      </c>
      <c r="E4" s="10">
        <v>2</v>
      </c>
      <c r="F4" s="10">
        <f t="shared" ref="F4:F30" si="1">D4-E4</f>
        <v>0</v>
      </c>
      <c r="G4" s="70">
        <v>0</v>
      </c>
      <c r="H4" s="7">
        <v>0</v>
      </c>
      <c r="I4" s="10">
        <v>0</v>
      </c>
      <c r="J4" s="10">
        <f t="shared" ref="J4:J30" si="2">H4-I4</f>
        <v>0</v>
      </c>
      <c r="K4" s="70">
        <v>0</v>
      </c>
      <c r="L4" s="7">
        <v>0</v>
      </c>
      <c r="M4" s="10">
        <v>0</v>
      </c>
      <c r="N4" s="10">
        <f t="shared" ref="N4:N30" si="3">L4-M4</f>
        <v>0</v>
      </c>
      <c r="O4" s="70">
        <v>0</v>
      </c>
      <c r="P4" s="7">
        <v>2</v>
      </c>
      <c r="Q4" s="10">
        <v>2</v>
      </c>
      <c r="R4" s="10">
        <f t="shared" ref="R4:R30" si="4">P4-Q4</f>
        <v>0</v>
      </c>
      <c r="S4" s="70">
        <v>0</v>
      </c>
      <c r="T4" s="7">
        <v>2</v>
      </c>
      <c r="U4" s="10">
        <v>0</v>
      </c>
      <c r="V4" s="10">
        <f t="shared" ref="V4:V30" si="5">T4-U4</f>
        <v>2</v>
      </c>
      <c r="W4" s="70">
        <v>0</v>
      </c>
      <c r="X4" s="7">
        <v>3</v>
      </c>
      <c r="Y4" s="10">
        <v>3</v>
      </c>
      <c r="Z4" s="10">
        <f t="shared" ref="Z4:Z30" si="6">X4-Y4</f>
        <v>0</v>
      </c>
      <c r="AA4" s="70">
        <v>0</v>
      </c>
      <c r="AB4" s="7">
        <v>2</v>
      </c>
      <c r="AC4" s="10">
        <v>2</v>
      </c>
      <c r="AD4" s="10">
        <f t="shared" ref="AD4:AD29" si="7">AB4-AC4</f>
        <v>0</v>
      </c>
      <c r="AE4" s="70">
        <v>0</v>
      </c>
      <c r="AF4" s="7">
        <v>3</v>
      </c>
      <c r="AG4" s="10">
        <v>0</v>
      </c>
      <c r="AH4" s="10">
        <f t="shared" ref="AH4:AH30" si="8">AF4-AG4</f>
        <v>3</v>
      </c>
      <c r="AI4" s="70">
        <v>0</v>
      </c>
      <c r="AJ4" s="7">
        <v>1</v>
      </c>
      <c r="AK4" s="10">
        <v>1</v>
      </c>
      <c r="AL4" s="10">
        <f t="shared" ref="AL4:AL30" si="9">AJ4-AK4</f>
        <v>0</v>
      </c>
      <c r="AM4" s="70">
        <v>0</v>
      </c>
      <c r="AN4" s="7">
        <v>0</v>
      </c>
      <c r="AO4" s="10">
        <v>0</v>
      </c>
      <c r="AP4" s="10">
        <f t="shared" ref="AP4:AP30" si="10">AN4-AO4</f>
        <v>0</v>
      </c>
      <c r="AQ4" s="70">
        <v>0</v>
      </c>
      <c r="AR4" s="7">
        <v>0</v>
      </c>
      <c r="AS4" s="10">
        <v>0</v>
      </c>
      <c r="AT4" s="10">
        <f t="shared" ref="AT4:AT30" si="11">AR4-AS4</f>
        <v>0</v>
      </c>
      <c r="AU4" s="70">
        <v>0</v>
      </c>
      <c r="AV4" s="7">
        <v>0</v>
      </c>
      <c r="AW4" s="10">
        <v>0</v>
      </c>
      <c r="AX4" s="10">
        <f t="shared" ref="AX4:AX30" si="12">AV4-AW4</f>
        <v>0</v>
      </c>
      <c r="AY4" s="70">
        <v>0</v>
      </c>
      <c r="AZ4" s="7">
        <v>1</v>
      </c>
      <c r="BA4" s="10">
        <v>1</v>
      </c>
      <c r="BB4" s="10">
        <f t="shared" ref="BB4:BB30" si="13">AZ4-BA4</f>
        <v>0</v>
      </c>
      <c r="BC4" s="70">
        <v>0</v>
      </c>
      <c r="BD4" s="7">
        <v>1</v>
      </c>
      <c r="BE4" s="10">
        <v>0</v>
      </c>
      <c r="BF4" s="10">
        <f t="shared" ref="BF4:BF30" si="14">BD4-BE4</f>
        <v>1</v>
      </c>
      <c r="BG4" s="70">
        <v>0</v>
      </c>
      <c r="BH4" s="7">
        <v>0</v>
      </c>
      <c r="BI4" s="10">
        <v>0</v>
      </c>
      <c r="BJ4" s="10">
        <f t="shared" ref="BJ4:BJ30" si="15">BH4-BI4</f>
        <v>0</v>
      </c>
      <c r="BK4" s="70">
        <v>0</v>
      </c>
      <c r="BL4" s="7">
        <v>0</v>
      </c>
      <c r="BM4" s="10">
        <v>0</v>
      </c>
      <c r="BN4" s="10">
        <f t="shared" ref="BN4:BN30" si="16">BL4-BM4</f>
        <v>0</v>
      </c>
      <c r="BO4" s="70">
        <v>0</v>
      </c>
      <c r="BP4" s="7">
        <v>0</v>
      </c>
      <c r="BQ4" s="10">
        <v>0</v>
      </c>
      <c r="BR4" s="10">
        <f t="shared" ref="BR4:BR30" si="17">BP4-BQ4</f>
        <v>0</v>
      </c>
      <c r="BS4" s="70">
        <v>0</v>
      </c>
      <c r="BT4" s="7">
        <f t="shared" ref="BT4:BT30" si="18">SUM(E4,I4,M4,Q4,U4,Y4,AC4,AG4,AK4,AO4,AS4,AW4,BE4,BI4,BM4,BQ4,BA4)</f>
        <v>11</v>
      </c>
      <c r="BU4" s="10">
        <f t="shared" ref="BU4:BU30" si="19">SUM(BR4,BN4,BJ4,BF4,AX4,AT4,AP4,AL4,AH4,AD4,Z4,V4,R4,N4,J4,F4,BB4)</f>
        <v>6</v>
      </c>
      <c r="BV4" s="10">
        <f t="shared" ref="BV4:BV30" si="20">SUM(BS4,BO4,BK4,BG4,AY4,AU4,AQ4,AM4,AI4,AE4,AA4,W4,S4,O4,K4,G4, BC4)</f>
        <v>0</v>
      </c>
      <c r="BW4" s="10">
        <f t="shared" ref="BW4:BW30" si="21">BT4/(BT4+BU4)</f>
        <v>0.6470588235294118</v>
      </c>
      <c r="BX4" s="10">
        <f t="shared" ref="BX4:BX30" si="22">BT4/(BT4+BV4)</f>
        <v>1</v>
      </c>
      <c r="BY4" s="70">
        <f t="shared" ref="BY4:BY30" si="23">2*(BX4*BW4)/(BX4+BW4)</f>
        <v>0.78571428571428581</v>
      </c>
      <c r="CC4" s="75" t="s">
        <v>55</v>
      </c>
      <c r="CD4">
        <f>AVERAGE(BW5:BW6)</f>
        <v>1</v>
      </c>
      <c r="CE4">
        <f t="shared" ref="CE4" si="24">AVERAGE(BX5:BX6)</f>
        <v>1</v>
      </c>
      <c r="CF4">
        <f>AVERAGE(BY5:BY6)</f>
        <v>1</v>
      </c>
    </row>
    <row r="5" spans="1:84" x14ac:dyDescent="0.35">
      <c r="A5" s="53" t="s">
        <v>10</v>
      </c>
      <c r="B5" s="108"/>
      <c r="C5" s="11" t="s">
        <v>13</v>
      </c>
      <c r="D5" s="12">
        <v>4</v>
      </c>
      <c r="E5" s="13">
        <v>4</v>
      </c>
      <c r="F5" s="13">
        <f t="shared" si="1"/>
        <v>0</v>
      </c>
      <c r="G5" s="11">
        <v>0</v>
      </c>
      <c r="H5" s="12">
        <v>0</v>
      </c>
      <c r="I5" s="13">
        <v>0</v>
      </c>
      <c r="J5" s="13">
        <f t="shared" si="2"/>
        <v>0</v>
      </c>
      <c r="K5" s="11">
        <v>0</v>
      </c>
      <c r="L5" s="12">
        <v>0</v>
      </c>
      <c r="M5" s="13">
        <v>0</v>
      </c>
      <c r="N5" s="13">
        <f t="shared" si="3"/>
        <v>0</v>
      </c>
      <c r="O5" s="11">
        <v>0</v>
      </c>
      <c r="P5" s="12">
        <v>4</v>
      </c>
      <c r="Q5" s="13">
        <v>4</v>
      </c>
      <c r="R5" s="13">
        <f t="shared" si="4"/>
        <v>0</v>
      </c>
      <c r="S5" s="11">
        <v>0</v>
      </c>
      <c r="T5" s="12">
        <v>0</v>
      </c>
      <c r="U5" s="13">
        <v>0</v>
      </c>
      <c r="V5" s="13">
        <f t="shared" si="5"/>
        <v>0</v>
      </c>
      <c r="W5" s="11">
        <v>0</v>
      </c>
      <c r="X5" s="12">
        <v>1</v>
      </c>
      <c r="Y5" s="13">
        <v>1</v>
      </c>
      <c r="Z5" s="13">
        <f t="shared" si="6"/>
        <v>0</v>
      </c>
      <c r="AA5" s="11">
        <v>0</v>
      </c>
      <c r="AB5" s="12">
        <v>0</v>
      </c>
      <c r="AC5" s="13">
        <v>0</v>
      </c>
      <c r="AD5" s="13">
        <f t="shared" si="7"/>
        <v>0</v>
      </c>
      <c r="AE5" s="11">
        <v>0</v>
      </c>
      <c r="AF5" s="12">
        <v>0</v>
      </c>
      <c r="AG5" s="13">
        <v>0</v>
      </c>
      <c r="AH5" s="13">
        <f t="shared" si="8"/>
        <v>0</v>
      </c>
      <c r="AI5" s="11">
        <v>0</v>
      </c>
      <c r="AJ5" s="12">
        <v>3</v>
      </c>
      <c r="AK5" s="13">
        <v>3</v>
      </c>
      <c r="AL5" s="13">
        <f t="shared" si="9"/>
        <v>0</v>
      </c>
      <c r="AM5" s="11">
        <v>0</v>
      </c>
      <c r="AN5" s="12">
        <v>0</v>
      </c>
      <c r="AO5" s="13">
        <v>0</v>
      </c>
      <c r="AP5" s="13">
        <f t="shared" si="10"/>
        <v>0</v>
      </c>
      <c r="AQ5" s="11">
        <v>0</v>
      </c>
      <c r="AR5" s="12">
        <v>0</v>
      </c>
      <c r="AS5" s="13">
        <v>0</v>
      </c>
      <c r="AT5" s="13">
        <f t="shared" si="11"/>
        <v>0</v>
      </c>
      <c r="AU5" s="11">
        <v>0</v>
      </c>
      <c r="AV5" s="12">
        <v>0</v>
      </c>
      <c r="AW5" s="13">
        <v>0</v>
      </c>
      <c r="AX5" s="13">
        <f t="shared" si="12"/>
        <v>0</v>
      </c>
      <c r="AY5" s="11">
        <v>0</v>
      </c>
      <c r="AZ5" s="12">
        <v>3</v>
      </c>
      <c r="BA5" s="13">
        <v>3</v>
      </c>
      <c r="BB5" s="13">
        <f t="shared" si="13"/>
        <v>0</v>
      </c>
      <c r="BC5" s="11">
        <v>0</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0</v>
      </c>
      <c r="BT5" s="12">
        <f>SUM(E5,I5,M5,Q5,U5,Y5,AC5,AG5,AK5,AO5,AS5,AW5,BE5,BI5,BM5,BQ5,BA5)</f>
        <v>15</v>
      </c>
      <c r="BU5" s="13">
        <f>SUM(BR5,BN5,BJ5,BF5,AX5,AT5,AP5,AL5,AH5,AD5,Z5,V5,R5,N5,J5,F5,BB5)</f>
        <v>0</v>
      </c>
      <c r="BV5" s="13">
        <f>SUM(BS5,BO5,BK5,BG5,AY5,AU5,AQ5,AM5,AI5,AE5,AA5,W5,S5,O5,K5,G5, BC5)</f>
        <v>0</v>
      </c>
      <c r="BW5" s="13">
        <f t="shared" si="21"/>
        <v>1</v>
      </c>
      <c r="BX5" s="13">
        <f t="shared" si="22"/>
        <v>1</v>
      </c>
      <c r="BY5" s="11">
        <f t="shared" si="23"/>
        <v>1</v>
      </c>
      <c r="CC5" s="75" t="s">
        <v>56</v>
      </c>
      <c r="CD5">
        <f>AVERAGE(BW7:BW8)</f>
        <v>1</v>
      </c>
      <c r="CE5">
        <f t="shared" ref="CE5:CF5" si="25">AVERAGE(BX7:BX8)</f>
        <v>0.98076923076923084</v>
      </c>
      <c r="CF5">
        <f t="shared" si="25"/>
        <v>0.99019607843137258</v>
      </c>
    </row>
    <row r="6" spans="1:84" x14ac:dyDescent="0.35">
      <c r="A6" s="53" t="s">
        <v>10</v>
      </c>
      <c r="B6" s="108"/>
      <c r="C6" s="11" t="s">
        <v>14</v>
      </c>
      <c r="D6" s="12">
        <v>4</v>
      </c>
      <c r="E6" s="13">
        <v>4</v>
      </c>
      <c r="F6" s="13">
        <f t="shared" si="1"/>
        <v>0</v>
      </c>
      <c r="G6" s="11">
        <v>0</v>
      </c>
      <c r="H6" s="12">
        <v>0</v>
      </c>
      <c r="I6" s="13">
        <v>0</v>
      </c>
      <c r="J6" s="13">
        <f t="shared" si="2"/>
        <v>0</v>
      </c>
      <c r="K6" s="11">
        <v>0</v>
      </c>
      <c r="L6" s="12">
        <v>0</v>
      </c>
      <c r="M6" s="13">
        <v>0</v>
      </c>
      <c r="N6" s="13">
        <f t="shared" si="3"/>
        <v>0</v>
      </c>
      <c r="O6" s="11">
        <v>0</v>
      </c>
      <c r="P6" s="12">
        <v>4</v>
      </c>
      <c r="Q6" s="13">
        <v>4</v>
      </c>
      <c r="R6" s="13">
        <f t="shared" si="4"/>
        <v>0</v>
      </c>
      <c r="S6" s="11">
        <v>0</v>
      </c>
      <c r="T6" s="12">
        <v>0</v>
      </c>
      <c r="U6" s="13">
        <v>0</v>
      </c>
      <c r="V6" s="13">
        <f t="shared" si="5"/>
        <v>0</v>
      </c>
      <c r="W6" s="11">
        <v>0</v>
      </c>
      <c r="X6" s="12">
        <v>1</v>
      </c>
      <c r="Y6" s="13">
        <v>1</v>
      </c>
      <c r="Z6" s="13">
        <f t="shared" si="6"/>
        <v>0</v>
      </c>
      <c r="AA6" s="11">
        <v>0</v>
      </c>
      <c r="AB6" s="12">
        <v>0</v>
      </c>
      <c r="AC6" s="13">
        <v>0</v>
      </c>
      <c r="AD6" s="13">
        <f t="shared" si="7"/>
        <v>0</v>
      </c>
      <c r="AE6" s="11">
        <v>0</v>
      </c>
      <c r="AF6" s="12">
        <v>0</v>
      </c>
      <c r="AG6" s="13">
        <v>0</v>
      </c>
      <c r="AH6" s="13">
        <f t="shared" si="8"/>
        <v>0</v>
      </c>
      <c r="AI6" s="11">
        <v>0</v>
      </c>
      <c r="AJ6" s="12">
        <v>3</v>
      </c>
      <c r="AK6" s="13">
        <v>3</v>
      </c>
      <c r="AL6" s="13">
        <f t="shared" si="9"/>
        <v>0</v>
      </c>
      <c r="AM6" s="11">
        <v>0</v>
      </c>
      <c r="AN6" s="12">
        <v>0</v>
      </c>
      <c r="AO6" s="13">
        <v>0</v>
      </c>
      <c r="AP6" s="13">
        <f t="shared" si="10"/>
        <v>0</v>
      </c>
      <c r="AQ6" s="11">
        <v>0</v>
      </c>
      <c r="AR6" s="12">
        <v>0</v>
      </c>
      <c r="AS6" s="13">
        <v>0</v>
      </c>
      <c r="AT6" s="13">
        <f t="shared" si="11"/>
        <v>0</v>
      </c>
      <c r="AU6" s="11">
        <v>0</v>
      </c>
      <c r="AV6" s="12">
        <v>0</v>
      </c>
      <c r="AW6" s="13">
        <v>0</v>
      </c>
      <c r="AX6" s="13">
        <f t="shared" si="12"/>
        <v>0</v>
      </c>
      <c r="AY6" s="11">
        <v>0</v>
      </c>
      <c r="AZ6" s="12">
        <v>3</v>
      </c>
      <c r="BA6" s="13">
        <v>3</v>
      </c>
      <c r="BB6" s="13">
        <f t="shared" si="13"/>
        <v>0</v>
      </c>
      <c r="BC6" s="11">
        <v>0</v>
      </c>
      <c r="BD6" s="12">
        <v>0</v>
      </c>
      <c r="BE6" s="13">
        <v>0</v>
      </c>
      <c r="BF6" s="13">
        <f t="shared" si="14"/>
        <v>0</v>
      </c>
      <c r="BG6" s="11">
        <v>0</v>
      </c>
      <c r="BH6" s="12">
        <v>0</v>
      </c>
      <c r="BI6" s="13">
        <v>0</v>
      </c>
      <c r="BJ6" s="13">
        <f t="shared" si="15"/>
        <v>0</v>
      </c>
      <c r="BK6" s="11">
        <v>0</v>
      </c>
      <c r="BL6" s="12">
        <v>0</v>
      </c>
      <c r="BM6" s="13">
        <v>0</v>
      </c>
      <c r="BN6" s="13">
        <f t="shared" si="16"/>
        <v>0</v>
      </c>
      <c r="BO6" s="11">
        <v>0</v>
      </c>
      <c r="BP6" s="12">
        <v>0</v>
      </c>
      <c r="BQ6" s="13">
        <v>0</v>
      </c>
      <c r="BR6" s="13">
        <f t="shared" si="17"/>
        <v>0</v>
      </c>
      <c r="BS6" s="11">
        <v>0</v>
      </c>
      <c r="BT6" s="12">
        <f t="shared" si="18"/>
        <v>15</v>
      </c>
      <c r="BU6" s="13">
        <f t="shared" si="19"/>
        <v>0</v>
      </c>
      <c r="BV6" s="13">
        <f t="shared" si="20"/>
        <v>0</v>
      </c>
      <c r="BW6" s="13">
        <f t="shared" si="21"/>
        <v>1</v>
      </c>
      <c r="BX6" s="13">
        <f t="shared" si="22"/>
        <v>1</v>
      </c>
      <c r="BY6" s="11">
        <f t="shared" si="23"/>
        <v>1</v>
      </c>
      <c r="CC6" s="75" t="s">
        <v>57</v>
      </c>
      <c r="CD6">
        <f>AVERAGE(BW9:BW10)</f>
        <v>0.84615384615384615</v>
      </c>
      <c r="CE6">
        <f t="shared" ref="CE6:CF6" si="26">AVERAGE(BX9:BX10)</f>
        <v>0.88141025641025639</v>
      </c>
      <c r="CF6">
        <f t="shared" si="26"/>
        <v>0.86307692307692307</v>
      </c>
    </row>
    <row r="7" spans="1:84" x14ac:dyDescent="0.35">
      <c r="A7" s="54" t="s">
        <v>10</v>
      </c>
      <c r="B7" s="108"/>
      <c r="C7" s="14" t="s">
        <v>15</v>
      </c>
      <c r="D7" s="15">
        <v>6</v>
      </c>
      <c r="E7" s="16">
        <v>6</v>
      </c>
      <c r="F7" s="16">
        <f t="shared" si="1"/>
        <v>0</v>
      </c>
      <c r="G7" s="14">
        <v>0</v>
      </c>
      <c r="H7" s="15">
        <v>0</v>
      </c>
      <c r="I7" s="16">
        <v>0</v>
      </c>
      <c r="J7" s="16">
        <f t="shared" si="2"/>
        <v>0</v>
      </c>
      <c r="K7" s="14">
        <v>0</v>
      </c>
      <c r="L7" s="15">
        <v>0</v>
      </c>
      <c r="M7" s="16">
        <v>0</v>
      </c>
      <c r="N7" s="16">
        <f t="shared" si="3"/>
        <v>0</v>
      </c>
      <c r="O7" s="14">
        <v>0</v>
      </c>
      <c r="P7" s="15">
        <v>9</v>
      </c>
      <c r="Q7" s="16">
        <v>9</v>
      </c>
      <c r="R7" s="16">
        <f t="shared" si="4"/>
        <v>0</v>
      </c>
      <c r="S7" s="14">
        <v>0</v>
      </c>
      <c r="T7" s="15">
        <v>0</v>
      </c>
      <c r="U7" s="16">
        <v>0</v>
      </c>
      <c r="V7" s="16">
        <f t="shared" si="5"/>
        <v>0</v>
      </c>
      <c r="W7" s="14">
        <v>0</v>
      </c>
      <c r="X7" s="15">
        <v>0</v>
      </c>
      <c r="Y7" s="16">
        <v>0</v>
      </c>
      <c r="Z7" s="16">
        <f t="shared" si="6"/>
        <v>0</v>
      </c>
      <c r="AA7" s="14">
        <v>0</v>
      </c>
      <c r="AB7" s="15">
        <v>0</v>
      </c>
      <c r="AC7" s="16">
        <v>0</v>
      </c>
      <c r="AD7" s="16">
        <f t="shared" si="7"/>
        <v>0</v>
      </c>
      <c r="AE7" s="14">
        <v>0</v>
      </c>
      <c r="AF7" s="15">
        <v>0</v>
      </c>
      <c r="AG7" s="16">
        <v>0</v>
      </c>
      <c r="AH7" s="16">
        <f t="shared" si="8"/>
        <v>0</v>
      </c>
      <c r="AI7" s="14">
        <v>0</v>
      </c>
      <c r="AJ7" s="15">
        <v>5</v>
      </c>
      <c r="AK7" s="16">
        <v>5</v>
      </c>
      <c r="AL7" s="16">
        <f t="shared" si="9"/>
        <v>0</v>
      </c>
      <c r="AM7" s="14">
        <v>0</v>
      </c>
      <c r="AN7" s="15">
        <v>0</v>
      </c>
      <c r="AO7" s="16">
        <v>0</v>
      </c>
      <c r="AP7" s="16">
        <f t="shared" si="10"/>
        <v>0</v>
      </c>
      <c r="AQ7" s="14">
        <v>0</v>
      </c>
      <c r="AR7" s="15">
        <v>0</v>
      </c>
      <c r="AS7" s="16">
        <v>0</v>
      </c>
      <c r="AT7" s="16">
        <f t="shared" si="11"/>
        <v>0</v>
      </c>
      <c r="AU7" s="14">
        <v>0</v>
      </c>
      <c r="AV7" s="15">
        <v>0</v>
      </c>
      <c r="AW7" s="16">
        <v>0</v>
      </c>
      <c r="AX7" s="16">
        <f t="shared" si="12"/>
        <v>0</v>
      </c>
      <c r="AY7" s="14">
        <v>0</v>
      </c>
      <c r="AZ7" s="15">
        <v>5</v>
      </c>
      <c r="BA7" s="16">
        <v>5</v>
      </c>
      <c r="BB7" s="16">
        <f t="shared" si="13"/>
        <v>0</v>
      </c>
      <c r="BC7" s="14">
        <v>0</v>
      </c>
      <c r="BD7" s="15">
        <v>0</v>
      </c>
      <c r="BE7" s="16">
        <v>0</v>
      </c>
      <c r="BF7" s="16">
        <f t="shared" si="14"/>
        <v>0</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25</v>
      </c>
      <c r="BU7" s="16">
        <f t="shared" si="19"/>
        <v>0</v>
      </c>
      <c r="BV7" s="16">
        <f t="shared" si="20"/>
        <v>0</v>
      </c>
      <c r="BW7" s="16">
        <f t="shared" si="21"/>
        <v>1</v>
      </c>
      <c r="BX7" s="16">
        <f t="shared" si="22"/>
        <v>1</v>
      </c>
      <c r="BY7" s="14">
        <f t="shared" si="23"/>
        <v>1</v>
      </c>
      <c r="CC7" s="75" t="s">
        <v>58</v>
      </c>
      <c r="CD7">
        <f>AVERAGE(BW11:BW12)</f>
        <v>0.68518518518518512</v>
      </c>
      <c r="CE7">
        <f t="shared" ref="CE7" si="27">AVERAGE(BX11:BX12)</f>
        <v>0.90238095238095239</v>
      </c>
      <c r="CF7">
        <f>AVERAGE(BY11:BY12)</f>
        <v>0.77881205673758869</v>
      </c>
    </row>
    <row r="8" spans="1:84" x14ac:dyDescent="0.35">
      <c r="A8" s="54" t="s">
        <v>10</v>
      </c>
      <c r="B8" s="108"/>
      <c r="C8" s="14" t="s">
        <v>16</v>
      </c>
      <c r="D8" s="15">
        <v>6</v>
      </c>
      <c r="E8" s="16">
        <v>6</v>
      </c>
      <c r="F8" s="16">
        <f t="shared" si="1"/>
        <v>0</v>
      </c>
      <c r="G8" s="14">
        <v>0</v>
      </c>
      <c r="H8" s="15">
        <v>0</v>
      </c>
      <c r="I8" s="16">
        <v>0</v>
      </c>
      <c r="J8" s="16">
        <f t="shared" si="2"/>
        <v>0</v>
      </c>
      <c r="K8" s="14">
        <v>0</v>
      </c>
      <c r="L8" s="15">
        <v>0</v>
      </c>
      <c r="M8" s="16">
        <v>0</v>
      </c>
      <c r="N8" s="16">
        <f t="shared" si="3"/>
        <v>0</v>
      </c>
      <c r="O8" s="14">
        <v>0</v>
      </c>
      <c r="P8" s="15">
        <v>9</v>
      </c>
      <c r="Q8" s="16">
        <v>9</v>
      </c>
      <c r="R8" s="16">
        <f t="shared" si="4"/>
        <v>0</v>
      </c>
      <c r="S8" s="14">
        <v>0</v>
      </c>
      <c r="T8" s="15">
        <v>0</v>
      </c>
      <c r="U8" s="16">
        <v>0</v>
      </c>
      <c r="V8" s="16">
        <f t="shared" si="5"/>
        <v>0</v>
      </c>
      <c r="W8" s="14">
        <v>0</v>
      </c>
      <c r="X8" s="15">
        <v>0</v>
      </c>
      <c r="Y8" s="16">
        <v>0</v>
      </c>
      <c r="Z8" s="16">
        <f t="shared" si="6"/>
        <v>0</v>
      </c>
      <c r="AA8" s="14">
        <v>0</v>
      </c>
      <c r="AB8" s="15">
        <v>0</v>
      </c>
      <c r="AC8" s="16">
        <v>0</v>
      </c>
      <c r="AD8" s="16">
        <f t="shared" si="7"/>
        <v>0</v>
      </c>
      <c r="AE8" s="14">
        <v>0</v>
      </c>
      <c r="AF8" s="15">
        <v>0</v>
      </c>
      <c r="AG8" s="16">
        <v>0</v>
      </c>
      <c r="AH8" s="16">
        <f t="shared" si="8"/>
        <v>0</v>
      </c>
      <c r="AI8" s="14">
        <v>0</v>
      </c>
      <c r="AJ8" s="15">
        <v>5</v>
      </c>
      <c r="AK8" s="16">
        <v>5</v>
      </c>
      <c r="AL8" s="16">
        <f t="shared" si="9"/>
        <v>0</v>
      </c>
      <c r="AM8" s="14">
        <v>1</v>
      </c>
      <c r="AN8" s="15">
        <v>0</v>
      </c>
      <c r="AO8" s="16">
        <v>0</v>
      </c>
      <c r="AP8" s="16">
        <f t="shared" si="10"/>
        <v>0</v>
      </c>
      <c r="AQ8" s="14">
        <v>0</v>
      </c>
      <c r="AR8" s="15">
        <v>0</v>
      </c>
      <c r="AS8" s="16">
        <v>0</v>
      </c>
      <c r="AT8" s="16">
        <f t="shared" si="11"/>
        <v>0</v>
      </c>
      <c r="AU8" s="14">
        <v>0</v>
      </c>
      <c r="AV8" s="15">
        <v>0</v>
      </c>
      <c r="AW8" s="16">
        <v>0</v>
      </c>
      <c r="AX8" s="16">
        <f t="shared" si="12"/>
        <v>0</v>
      </c>
      <c r="AY8" s="14">
        <v>0</v>
      </c>
      <c r="AZ8" s="15">
        <v>5</v>
      </c>
      <c r="BA8" s="16">
        <v>5</v>
      </c>
      <c r="BB8" s="16">
        <f t="shared" si="13"/>
        <v>0</v>
      </c>
      <c r="BC8" s="14">
        <v>0</v>
      </c>
      <c r="BD8" s="15">
        <v>0</v>
      </c>
      <c r="BE8" s="16">
        <v>0</v>
      </c>
      <c r="BF8" s="16">
        <f t="shared" si="14"/>
        <v>0</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25</v>
      </c>
      <c r="BU8" s="16">
        <f t="shared" si="19"/>
        <v>0</v>
      </c>
      <c r="BV8" s="16">
        <f t="shared" si="20"/>
        <v>1</v>
      </c>
      <c r="BW8" s="16">
        <f t="shared" si="21"/>
        <v>1</v>
      </c>
      <c r="BX8" s="16">
        <f t="shared" si="22"/>
        <v>0.96153846153846156</v>
      </c>
      <c r="BY8" s="14">
        <f t="shared" si="23"/>
        <v>0.98039215686274506</v>
      </c>
      <c r="CC8" s="75" t="s">
        <v>59</v>
      </c>
      <c r="CD8">
        <f>AVERAGE(BW13:BW14)</f>
        <v>0.7142857142857143</v>
      </c>
      <c r="CE8">
        <f t="shared" ref="CE8:CF8" si="28">AVERAGE(BX13:BX14)</f>
        <v>0.69711538461538458</v>
      </c>
      <c r="CF8">
        <f t="shared" si="28"/>
        <v>0.70370370370370372</v>
      </c>
    </row>
    <row r="9" spans="1:84" x14ac:dyDescent="0.35">
      <c r="A9" s="55" t="s">
        <v>10</v>
      </c>
      <c r="B9" s="108"/>
      <c r="C9" s="17" t="s">
        <v>17</v>
      </c>
      <c r="D9" s="18">
        <v>3</v>
      </c>
      <c r="E9" s="19">
        <v>3</v>
      </c>
      <c r="F9" s="19">
        <f t="shared" si="1"/>
        <v>0</v>
      </c>
      <c r="G9" s="17">
        <v>0</v>
      </c>
      <c r="H9" s="18">
        <v>0</v>
      </c>
      <c r="I9" s="19">
        <v>0</v>
      </c>
      <c r="J9" s="19">
        <f t="shared" si="2"/>
        <v>0</v>
      </c>
      <c r="K9" s="17">
        <v>0</v>
      </c>
      <c r="L9" s="18">
        <v>0</v>
      </c>
      <c r="M9" s="19">
        <v>0</v>
      </c>
      <c r="N9" s="19">
        <f t="shared" si="3"/>
        <v>0</v>
      </c>
      <c r="O9" s="17">
        <v>0</v>
      </c>
      <c r="P9" s="18">
        <v>5</v>
      </c>
      <c r="Q9" s="19">
        <v>5</v>
      </c>
      <c r="R9" s="19">
        <f t="shared" si="4"/>
        <v>0</v>
      </c>
      <c r="S9" s="17">
        <v>0</v>
      </c>
      <c r="T9" s="18">
        <v>0</v>
      </c>
      <c r="U9" s="19">
        <v>0</v>
      </c>
      <c r="V9" s="19">
        <f t="shared" si="5"/>
        <v>0</v>
      </c>
      <c r="W9" s="17">
        <v>0</v>
      </c>
      <c r="X9" s="18">
        <v>0</v>
      </c>
      <c r="Y9" s="19">
        <v>0</v>
      </c>
      <c r="Z9" s="19">
        <f t="shared" si="6"/>
        <v>0</v>
      </c>
      <c r="AA9" s="17">
        <v>0</v>
      </c>
      <c r="AB9" s="18">
        <v>0</v>
      </c>
      <c r="AC9" s="19">
        <v>0</v>
      </c>
      <c r="AD9" s="19">
        <f t="shared" si="7"/>
        <v>0</v>
      </c>
      <c r="AE9" s="17">
        <v>0</v>
      </c>
      <c r="AF9" s="18">
        <v>0</v>
      </c>
      <c r="AG9" s="19">
        <v>0</v>
      </c>
      <c r="AH9" s="19">
        <f t="shared" si="8"/>
        <v>0</v>
      </c>
      <c r="AI9" s="17">
        <v>0</v>
      </c>
      <c r="AJ9" s="18">
        <v>1</v>
      </c>
      <c r="AK9" s="19">
        <v>1</v>
      </c>
      <c r="AL9" s="19">
        <f t="shared" si="9"/>
        <v>0</v>
      </c>
      <c r="AM9" s="17">
        <v>0</v>
      </c>
      <c r="AN9" s="18">
        <v>0</v>
      </c>
      <c r="AO9" s="19">
        <v>0</v>
      </c>
      <c r="AP9" s="19">
        <f t="shared" si="10"/>
        <v>0</v>
      </c>
      <c r="AQ9" s="17">
        <v>0</v>
      </c>
      <c r="AR9" s="18">
        <v>1</v>
      </c>
      <c r="AS9" s="19">
        <v>0</v>
      </c>
      <c r="AT9" s="19">
        <f t="shared" si="11"/>
        <v>1</v>
      </c>
      <c r="AU9" s="17">
        <v>0</v>
      </c>
      <c r="AV9" s="18">
        <v>0</v>
      </c>
      <c r="AW9" s="19">
        <v>0</v>
      </c>
      <c r="AX9" s="19">
        <f t="shared" si="12"/>
        <v>0</v>
      </c>
      <c r="AY9" s="17">
        <v>1</v>
      </c>
      <c r="AZ9" s="18">
        <v>2</v>
      </c>
      <c r="BA9" s="19">
        <v>2</v>
      </c>
      <c r="BB9" s="19">
        <f t="shared" si="13"/>
        <v>0</v>
      </c>
      <c r="BC9" s="17">
        <v>0</v>
      </c>
      <c r="BD9" s="18">
        <v>0</v>
      </c>
      <c r="BE9" s="19">
        <v>0</v>
      </c>
      <c r="BF9" s="19">
        <f t="shared" si="14"/>
        <v>0</v>
      </c>
      <c r="BG9" s="17">
        <v>0</v>
      </c>
      <c r="BH9" s="18">
        <v>0</v>
      </c>
      <c r="BI9" s="19">
        <v>0</v>
      </c>
      <c r="BJ9" s="19">
        <f t="shared" si="15"/>
        <v>0</v>
      </c>
      <c r="BK9" s="17">
        <v>0</v>
      </c>
      <c r="BL9" s="18">
        <v>1</v>
      </c>
      <c r="BM9" s="19">
        <v>0</v>
      </c>
      <c r="BN9" s="19">
        <f t="shared" si="16"/>
        <v>1</v>
      </c>
      <c r="BO9" s="17">
        <v>0</v>
      </c>
      <c r="BP9" s="18">
        <v>0</v>
      </c>
      <c r="BQ9" s="19">
        <v>0</v>
      </c>
      <c r="BR9" s="19">
        <f t="shared" si="17"/>
        <v>0</v>
      </c>
      <c r="BS9" s="17">
        <v>0</v>
      </c>
      <c r="BT9" s="18">
        <f t="shared" si="18"/>
        <v>11</v>
      </c>
      <c r="BU9" s="19">
        <f t="shared" si="19"/>
        <v>2</v>
      </c>
      <c r="BV9" s="19">
        <f t="shared" si="20"/>
        <v>1</v>
      </c>
      <c r="BW9" s="19">
        <f t="shared" si="21"/>
        <v>0.84615384615384615</v>
      </c>
      <c r="BX9" s="19">
        <f t="shared" si="22"/>
        <v>0.91666666666666663</v>
      </c>
      <c r="BY9" s="17">
        <f t="shared" si="23"/>
        <v>0.87999999999999989</v>
      </c>
      <c r="CC9" s="75" t="s">
        <v>60</v>
      </c>
      <c r="CD9">
        <f>AVERAGE(BW15:BW16)</f>
        <v>0.75</v>
      </c>
      <c r="CE9">
        <f t="shared" ref="CE9:CF9" si="29">AVERAGE(BX15:BX16)</f>
        <v>0.8571428571428571</v>
      </c>
      <c r="CF9">
        <f t="shared" si="29"/>
        <v>0.79999999999999993</v>
      </c>
    </row>
    <row r="10" spans="1:84" x14ac:dyDescent="0.35">
      <c r="A10" s="55" t="s">
        <v>10</v>
      </c>
      <c r="B10" s="108"/>
      <c r="C10" s="17" t="s">
        <v>18</v>
      </c>
      <c r="D10" s="18">
        <v>3</v>
      </c>
      <c r="E10" s="19">
        <v>3</v>
      </c>
      <c r="F10" s="19">
        <f t="shared" si="1"/>
        <v>0</v>
      </c>
      <c r="G10" s="17">
        <v>0</v>
      </c>
      <c r="H10" s="18">
        <v>0</v>
      </c>
      <c r="I10" s="19">
        <v>0</v>
      </c>
      <c r="J10" s="19">
        <f t="shared" si="2"/>
        <v>0</v>
      </c>
      <c r="K10" s="17">
        <v>0</v>
      </c>
      <c r="L10" s="18">
        <v>0</v>
      </c>
      <c r="M10" s="19">
        <v>0</v>
      </c>
      <c r="N10" s="19">
        <f t="shared" si="3"/>
        <v>0</v>
      </c>
      <c r="O10" s="17">
        <v>0</v>
      </c>
      <c r="P10" s="18">
        <v>5</v>
      </c>
      <c r="Q10" s="19">
        <v>5</v>
      </c>
      <c r="R10" s="19">
        <f t="shared" si="4"/>
        <v>0</v>
      </c>
      <c r="S10" s="17">
        <v>1</v>
      </c>
      <c r="T10" s="18">
        <v>0</v>
      </c>
      <c r="U10" s="19">
        <v>0</v>
      </c>
      <c r="V10" s="19">
        <f t="shared" si="5"/>
        <v>0</v>
      </c>
      <c r="W10" s="17">
        <v>0</v>
      </c>
      <c r="X10" s="18">
        <v>0</v>
      </c>
      <c r="Y10" s="19">
        <v>0</v>
      </c>
      <c r="Z10" s="19">
        <f t="shared" si="6"/>
        <v>0</v>
      </c>
      <c r="AA10" s="17">
        <v>0</v>
      </c>
      <c r="AB10" s="18">
        <v>0</v>
      </c>
      <c r="AC10" s="19">
        <v>0</v>
      </c>
      <c r="AD10" s="19">
        <f t="shared" si="7"/>
        <v>0</v>
      </c>
      <c r="AE10" s="17">
        <v>0</v>
      </c>
      <c r="AF10" s="18">
        <v>0</v>
      </c>
      <c r="AG10" s="19">
        <v>0</v>
      </c>
      <c r="AH10" s="19">
        <f t="shared" si="8"/>
        <v>0</v>
      </c>
      <c r="AI10" s="17">
        <v>0</v>
      </c>
      <c r="AJ10" s="18">
        <v>1</v>
      </c>
      <c r="AK10" s="19">
        <v>1</v>
      </c>
      <c r="AL10" s="19">
        <f t="shared" si="9"/>
        <v>0</v>
      </c>
      <c r="AM10" s="17">
        <v>0</v>
      </c>
      <c r="AN10" s="18">
        <v>0</v>
      </c>
      <c r="AO10" s="19">
        <v>0</v>
      </c>
      <c r="AP10" s="19">
        <f t="shared" si="10"/>
        <v>0</v>
      </c>
      <c r="AQ10" s="17">
        <v>0</v>
      </c>
      <c r="AR10" s="18">
        <v>1</v>
      </c>
      <c r="AS10" s="19">
        <v>0</v>
      </c>
      <c r="AT10" s="19">
        <f t="shared" si="11"/>
        <v>1</v>
      </c>
      <c r="AU10" s="17">
        <v>0</v>
      </c>
      <c r="AV10" s="18">
        <v>0</v>
      </c>
      <c r="AW10" s="19">
        <v>0</v>
      </c>
      <c r="AX10" s="19">
        <f t="shared" si="12"/>
        <v>0</v>
      </c>
      <c r="AY10" s="17">
        <v>1</v>
      </c>
      <c r="AZ10" s="18">
        <v>2</v>
      </c>
      <c r="BA10" s="19">
        <v>2</v>
      </c>
      <c r="BB10" s="19">
        <f t="shared" si="13"/>
        <v>0</v>
      </c>
      <c r="BC10" s="17">
        <v>0</v>
      </c>
      <c r="BD10" s="18">
        <v>0</v>
      </c>
      <c r="BE10" s="19">
        <v>0</v>
      </c>
      <c r="BF10" s="19">
        <f t="shared" si="14"/>
        <v>0</v>
      </c>
      <c r="BG10" s="17">
        <v>0</v>
      </c>
      <c r="BH10" s="18">
        <v>0</v>
      </c>
      <c r="BI10" s="19">
        <v>0</v>
      </c>
      <c r="BJ10" s="19">
        <f t="shared" si="15"/>
        <v>0</v>
      </c>
      <c r="BK10" s="17">
        <v>0</v>
      </c>
      <c r="BL10" s="18">
        <v>1</v>
      </c>
      <c r="BM10" s="19">
        <v>0</v>
      </c>
      <c r="BN10" s="19">
        <f t="shared" si="16"/>
        <v>1</v>
      </c>
      <c r="BO10" s="17">
        <v>0</v>
      </c>
      <c r="BP10" s="18">
        <v>0</v>
      </c>
      <c r="BQ10" s="19">
        <v>0</v>
      </c>
      <c r="BR10" s="19">
        <f t="shared" si="17"/>
        <v>0</v>
      </c>
      <c r="BS10" s="17">
        <v>0</v>
      </c>
      <c r="BT10" s="18">
        <f t="shared" si="18"/>
        <v>11</v>
      </c>
      <c r="BU10" s="19">
        <f t="shared" si="19"/>
        <v>2</v>
      </c>
      <c r="BV10" s="19">
        <f t="shared" si="20"/>
        <v>2</v>
      </c>
      <c r="BW10" s="19">
        <f t="shared" si="21"/>
        <v>0.84615384615384615</v>
      </c>
      <c r="BX10" s="19">
        <f t="shared" si="22"/>
        <v>0.84615384615384615</v>
      </c>
      <c r="BY10" s="17">
        <f t="shared" si="23"/>
        <v>0.84615384615384615</v>
      </c>
      <c r="CC10" s="75" t="s">
        <v>61</v>
      </c>
      <c r="CD10">
        <f>AVERAGE(BW17:BW18)</f>
        <v>1</v>
      </c>
      <c r="CE10">
        <f t="shared" ref="CE10:CF10" si="30">AVERAGE(BX17:BX18)</f>
        <v>0.76923076923076927</v>
      </c>
      <c r="CF10">
        <f t="shared" si="30"/>
        <v>0.86956521739130443</v>
      </c>
    </row>
    <row r="11" spans="1:84" x14ac:dyDescent="0.35">
      <c r="A11" s="56" t="s">
        <v>10</v>
      </c>
      <c r="B11" s="108"/>
      <c r="C11" s="20" t="s">
        <v>19</v>
      </c>
      <c r="D11" s="21">
        <v>2</v>
      </c>
      <c r="E11" s="22">
        <v>2</v>
      </c>
      <c r="F11" s="22">
        <f t="shared" si="1"/>
        <v>0</v>
      </c>
      <c r="G11" s="20">
        <v>0</v>
      </c>
      <c r="H11" s="21">
        <v>2</v>
      </c>
      <c r="I11" s="22">
        <v>1</v>
      </c>
      <c r="J11" s="22">
        <f t="shared" si="2"/>
        <v>1</v>
      </c>
      <c r="K11" s="20">
        <v>0</v>
      </c>
      <c r="L11" s="21">
        <v>8</v>
      </c>
      <c r="M11" s="22">
        <v>5</v>
      </c>
      <c r="N11" s="22">
        <f t="shared" si="3"/>
        <v>3</v>
      </c>
      <c r="O11" s="20">
        <v>0</v>
      </c>
      <c r="P11" s="21">
        <v>7</v>
      </c>
      <c r="Q11" s="22">
        <v>7</v>
      </c>
      <c r="R11" s="22">
        <f t="shared" si="4"/>
        <v>0</v>
      </c>
      <c r="S11" s="20">
        <v>2</v>
      </c>
      <c r="T11" s="21">
        <v>0</v>
      </c>
      <c r="U11" s="22">
        <v>0</v>
      </c>
      <c r="V11" s="22">
        <f t="shared" si="5"/>
        <v>0</v>
      </c>
      <c r="W11" s="20">
        <v>0</v>
      </c>
      <c r="X11" s="21">
        <v>1</v>
      </c>
      <c r="Y11" s="22">
        <v>1</v>
      </c>
      <c r="Z11" s="22">
        <f t="shared" si="6"/>
        <v>0</v>
      </c>
      <c r="AA11" s="20">
        <v>0</v>
      </c>
      <c r="AB11" s="21">
        <v>1</v>
      </c>
      <c r="AC11" s="22">
        <v>1</v>
      </c>
      <c r="AD11" s="22">
        <f t="shared" si="7"/>
        <v>0</v>
      </c>
      <c r="AE11" s="20">
        <v>0</v>
      </c>
      <c r="AF11" s="21">
        <v>3</v>
      </c>
      <c r="AG11" s="22">
        <v>0</v>
      </c>
      <c r="AH11" s="22">
        <f t="shared" si="8"/>
        <v>3</v>
      </c>
      <c r="AI11" s="20">
        <v>0</v>
      </c>
      <c r="AJ11" s="21">
        <v>0</v>
      </c>
      <c r="AK11" s="22">
        <v>0</v>
      </c>
      <c r="AL11" s="22">
        <f t="shared" si="9"/>
        <v>0</v>
      </c>
      <c r="AM11" s="20">
        <v>0</v>
      </c>
      <c r="AN11" s="21">
        <v>0</v>
      </c>
      <c r="AO11" s="22">
        <v>0</v>
      </c>
      <c r="AP11" s="22">
        <f t="shared" si="10"/>
        <v>0</v>
      </c>
      <c r="AQ11" s="20">
        <v>0</v>
      </c>
      <c r="AR11" s="21">
        <v>0</v>
      </c>
      <c r="AS11" s="22">
        <v>0</v>
      </c>
      <c r="AT11" s="22">
        <f t="shared" si="11"/>
        <v>0</v>
      </c>
      <c r="AU11" s="20">
        <v>0</v>
      </c>
      <c r="AV11" s="21">
        <v>1</v>
      </c>
      <c r="AW11" s="22">
        <v>1</v>
      </c>
      <c r="AX11" s="22">
        <f t="shared" si="12"/>
        <v>0</v>
      </c>
      <c r="AY11" s="20">
        <v>0</v>
      </c>
      <c r="AZ11" s="21">
        <v>1</v>
      </c>
      <c r="BA11" s="22">
        <v>1</v>
      </c>
      <c r="BB11" s="22">
        <f t="shared" si="13"/>
        <v>0</v>
      </c>
      <c r="BC11" s="20">
        <v>0</v>
      </c>
      <c r="BD11" s="21">
        <v>0</v>
      </c>
      <c r="BE11" s="22">
        <v>0</v>
      </c>
      <c r="BF11" s="22">
        <f t="shared" si="14"/>
        <v>0</v>
      </c>
      <c r="BG11" s="20">
        <v>0</v>
      </c>
      <c r="BH11" s="21">
        <v>0</v>
      </c>
      <c r="BI11" s="22">
        <v>0</v>
      </c>
      <c r="BJ11" s="22">
        <f t="shared" si="15"/>
        <v>0</v>
      </c>
      <c r="BK11" s="20">
        <v>0</v>
      </c>
      <c r="BL11" s="21">
        <v>1</v>
      </c>
      <c r="BM11" s="22">
        <v>0</v>
      </c>
      <c r="BN11" s="22">
        <f t="shared" si="16"/>
        <v>1</v>
      </c>
      <c r="BO11" s="20">
        <v>0</v>
      </c>
      <c r="BP11" s="21">
        <v>0</v>
      </c>
      <c r="BQ11" s="22">
        <v>0</v>
      </c>
      <c r="BR11" s="22">
        <f t="shared" si="17"/>
        <v>0</v>
      </c>
      <c r="BS11" s="20">
        <v>0</v>
      </c>
      <c r="BT11" s="21">
        <f t="shared" si="18"/>
        <v>19</v>
      </c>
      <c r="BU11" s="22">
        <f t="shared" si="19"/>
        <v>8</v>
      </c>
      <c r="BV11" s="22">
        <f t="shared" si="20"/>
        <v>2</v>
      </c>
      <c r="BW11" s="22">
        <f t="shared" si="21"/>
        <v>0.70370370370370372</v>
      </c>
      <c r="BX11" s="22">
        <f t="shared" si="22"/>
        <v>0.90476190476190477</v>
      </c>
      <c r="BY11" s="20">
        <f t="shared" si="23"/>
        <v>0.79166666666666674</v>
      </c>
      <c r="CC11" s="75" t="s">
        <v>62</v>
      </c>
      <c r="CD11">
        <f>AVERAGE(BW19:BW20)</f>
        <v>0.88235294117647056</v>
      </c>
      <c r="CE11">
        <f t="shared" ref="CE11:CF11" si="31">AVERAGE(BX19:BX20)</f>
        <v>0.93725490196078431</v>
      </c>
      <c r="CF11">
        <f t="shared" si="31"/>
        <v>0.90808823529411753</v>
      </c>
    </row>
    <row r="12" spans="1:84" x14ac:dyDescent="0.35">
      <c r="A12" s="56" t="s">
        <v>10</v>
      </c>
      <c r="B12" s="108"/>
      <c r="C12" s="20" t="s">
        <v>20</v>
      </c>
      <c r="D12" s="21">
        <v>2</v>
      </c>
      <c r="E12" s="22">
        <v>2</v>
      </c>
      <c r="F12" s="22">
        <f t="shared" si="1"/>
        <v>0</v>
      </c>
      <c r="G12" s="20">
        <v>0</v>
      </c>
      <c r="H12" s="21">
        <v>2</v>
      </c>
      <c r="I12" s="22">
        <v>1</v>
      </c>
      <c r="J12" s="22">
        <f>H12-I12</f>
        <v>1</v>
      </c>
      <c r="K12" s="20">
        <v>0</v>
      </c>
      <c r="L12" s="21">
        <v>8</v>
      </c>
      <c r="M12" s="22">
        <v>5</v>
      </c>
      <c r="N12" s="22">
        <f t="shared" si="3"/>
        <v>3</v>
      </c>
      <c r="O12" s="20">
        <v>0</v>
      </c>
      <c r="P12" s="21">
        <v>7</v>
      </c>
      <c r="Q12" s="22">
        <v>7</v>
      </c>
      <c r="R12" s="22">
        <f t="shared" si="4"/>
        <v>0</v>
      </c>
      <c r="S12" s="20">
        <v>0</v>
      </c>
      <c r="T12" s="21">
        <v>0</v>
      </c>
      <c r="U12" s="22">
        <v>0</v>
      </c>
      <c r="V12" s="22">
        <f t="shared" si="5"/>
        <v>0</v>
      </c>
      <c r="W12" s="20">
        <v>0</v>
      </c>
      <c r="X12" s="21">
        <v>1</v>
      </c>
      <c r="Y12" s="22">
        <v>1</v>
      </c>
      <c r="Z12" s="22">
        <f t="shared" si="6"/>
        <v>0</v>
      </c>
      <c r="AA12" s="20">
        <v>0</v>
      </c>
      <c r="AB12" s="21">
        <v>1</v>
      </c>
      <c r="AC12" s="22">
        <v>1</v>
      </c>
      <c r="AD12" s="22">
        <f t="shared" si="7"/>
        <v>0</v>
      </c>
      <c r="AE12" s="20">
        <v>0</v>
      </c>
      <c r="AF12" s="21">
        <v>3</v>
      </c>
      <c r="AG12" s="22">
        <v>0</v>
      </c>
      <c r="AH12" s="22">
        <f t="shared" si="8"/>
        <v>3</v>
      </c>
      <c r="AI12" s="20">
        <v>0</v>
      </c>
      <c r="AJ12" s="21">
        <v>0</v>
      </c>
      <c r="AK12" s="22">
        <v>0</v>
      </c>
      <c r="AL12" s="22">
        <f t="shared" si="9"/>
        <v>0</v>
      </c>
      <c r="AM12" s="20">
        <v>0</v>
      </c>
      <c r="AN12" s="21">
        <v>0</v>
      </c>
      <c r="AO12" s="22">
        <v>0</v>
      </c>
      <c r="AP12" s="22">
        <f t="shared" si="10"/>
        <v>0</v>
      </c>
      <c r="AQ12" s="20">
        <v>0</v>
      </c>
      <c r="AR12" s="21">
        <v>0</v>
      </c>
      <c r="AS12" s="22">
        <v>0</v>
      </c>
      <c r="AT12" s="22">
        <f t="shared" si="11"/>
        <v>0</v>
      </c>
      <c r="AU12" s="20">
        <v>0</v>
      </c>
      <c r="AV12" s="21">
        <v>1</v>
      </c>
      <c r="AW12" s="22">
        <v>1</v>
      </c>
      <c r="AX12" s="22">
        <f>AV12-AW12</f>
        <v>0</v>
      </c>
      <c r="AY12" s="20">
        <v>1</v>
      </c>
      <c r="AZ12" s="21">
        <v>1</v>
      </c>
      <c r="BA12" s="22">
        <v>0</v>
      </c>
      <c r="BB12" s="22">
        <f t="shared" si="13"/>
        <v>1</v>
      </c>
      <c r="BC12" s="20">
        <v>1</v>
      </c>
      <c r="BD12" s="21">
        <v>0</v>
      </c>
      <c r="BE12" s="22">
        <v>0</v>
      </c>
      <c r="BF12" s="22">
        <f t="shared" si="14"/>
        <v>0</v>
      </c>
      <c r="BG12" s="20">
        <v>0</v>
      </c>
      <c r="BH12" s="21">
        <v>0</v>
      </c>
      <c r="BI12" s="22">
        <v>0</v>
      </c>
      <c r="BJ12" s="22">
        <f t="shared" si="15"/>
        <v>0</v>
      </c>
      <c r="BK12" s="20">
        <v>0</v>
      </c>
      <c r="BL12" s="21">
        <v>1</v>
      </c>
      <c r="BM12" s="22">
        <v>0</v>
      </c>
      <c r="BN12" s="22">
        <f t="shared" si="16"/>
        <v>1</v>
      </c>
      <c r="BO12" s="20">
        <v>0</v>
      </c>
      <c r="BP12" s="21">
        <v>0</v>
      </c>
      <c r="BQ12" s="22">
        <v>0</v>
      </c>
      <c r="BR12" s="22">
        <f t="shared" si="17"/>
        <v>0</v>
      </c>
      <c r="BS12" s="20">
        <v>0</v>
      </c>
      <c r="BT12" s="21">
        <f t="shared" si="18"/>
        <v>18</v>
      </c>
      <c r="BU12" s="22">
        <f t="shared" si="19"/>
        <v>9</v>
      </c>
      <c r="BV12" s="22">
        <f t="shared" si="20"/>
        <v>2</v>
      </c>
      <c r="BW12" s="22">
        <f t="shared" si="21"/>
        <v>0.66666666666666663</v>
      </c>
      <c r="BX12" s="22">
        <f t="shared" si="22"/>
        <v>0.9</v>
      </c>
      <c r="BY12" s="20">
        <f t="shared" si="23"/>
        <v>0.76595744680851063</v>
      </c>
      <c r="CC12" s="75" t="s">
        <v>63</v>
      </c>
      <c r="CD12">
        <f>AVERAGE(BW21:BW22)</f>
        <v>0.8</v>
      </c>
      <c r="CE12">
        <f t="shared" ref="CE12:CF12" si="32">AVERAGE(BX21:BX22)</f>
        <v>0.88888888888888884</v>
      </c>
      <c r="CF12">
        <f t="shared" si="32"/>
        <v>0.8421052631578948</v>
      </c>
    </row>
    <row r="13" spans="1:84" x14ac:dyDescent="0.35">
      <c r="A13" s="57" t="s">
        <v>10</v>
      </c>
      <c r="B13" s="108"/>
      <c r="C13" s="23" t="s">
        <v>21</v>
      </c>
      <c r="D13" s="24">
        <v>3</v>
      </c>
      <c r="E13" s="25">
        <v>3</v>
      </c>
      <c r="F13" s="25">
        <f t="shared" si="1"/>
        <v>0</v>
      </c>
      <c r="G13" s="23">
        <v>0</v>
      </c>
      <c r="H13" s="24">
        <v>0</v>
      </c>
      <c r="I13" s="25">
        <v>0</v>
      </c>
      <c r="J13" s="25">
        <f t="shared" si="2"/>
        <v>0</v>
      </c>
      <c r="K13" s="23">
        <v>0</v>
      </c>
      <c r="L13" s="24">
        <v>0</v>
      </c>
      <c r="M13" s="25">
        <v>0</v>
      </c>
      <c r="N13" s="25">
        <f t="shared" si="3"/>
        <v>0</v>
      </c>
      <c r="O13" s="23">
        <v>0</v>
      </c>
      <c r="P13" s="24">
        <v>5</v>
      </c>
      <c r="Q13" s="25">
        <v>5</v>
      </c>
      <c r="R13" s="25">
        <f t="shared" si="4"/>
        <v>0</v>
      </c>
      <c r="S13" s="23">
        <v>2</v>
      </c>
      <c r="T13" s="24">
        <v>0</v>
      </c>
      <c r="U13" s="25">
        <v>0</v>
      </c>
      <c r="V13" s="25">
        <f t="shared" si="5"/>
        <v>0</v>
      </c>
      <c r="W13" s="23">
        <v>0</v>
      </c>
      <c r="X13" s="24">
        <v>0</v>
      </c>
      <c r="Y13" s="25">
        <v>0</v>
      </c>
      <c r="Z13" s="25">
        <f t="shared" si="6"/>
        <v>0</v>
      </c>
      <c r="AA13" s="23">
        <v>0</v>
      </c>
      <c r="AB13" s="24">
        <v>0</v>
      </c>
      <c r="AC13" s="25">
        <v>0</v>
      </c>
      <c r="AD13" s="25">
        <f t="shared" si="7"/>
        <v>0</v>
      </c>
      <c r="AE13" s="23">
        <v>0</v>
      </c>
      <c r="AF13" s="24">
        <v>0</v>
      </c>
      <c r="AG13" s="25">
        <v>0</v>
      </c>
      <c r="AH13" s="25">
        <f t="shared" si="8"/>
        <v>0</v>
      </c>
      <c r="AI13" s="23">
        <v>0</v>
      </c>
      <c r="AJ13" s="24">
        <v>0</v>
      </c>
      <c r="AK13" s="25">
        <v>0</v>
      </c>
      <c r="AL13" s="25">
        <f t="shared" si="9"/>
        <v>0</v>
      </c>
      <c r="AM13" s="23">
        <v>0</v>
      </c>
      <c r="AN13" s="24">
        <v>0</v>
      </c>
      <c r="AO13" s="25">
        <v>0</v>
      </c>
      <c r="AP13" s="25">
        <f t="shared" si="10"/>
        <v>0</v>
      </c>
      <c r="AQ13" s="23">
        <v>2</v>
      </c>
      <c r="AR13" s="24">
        <v>2</v>
      </c>
      <c r="AS13" s="25">
        <v>0</v>
      </c>
      <c r="AT13" s="25">
        <f t="shared" si="11"/>
        <v>2</v>
      </c>
      <c r="AU13" s="23">
        <v>0</v>
      </c>
      <c r="AV13" s="24">
        <v>0</v>
      </c>
      <c r="AW13" s="25">
        <v>0</v>
      </c>
      <c r="AX13" s="25">
        <f t="shared" si="12"/>
        <v>0</v>
      </c>
      <c r="AY13" s="23">
        <v>2</v>
      </c>
      <c r="AZ13" s="24">
        <v>2</v>
      </c>
      <c r="BA13" s="25">
        <v>2</v>
      </c>
      <c r="BB13" s="25">
        <f t="shared" si="13"/>
        <v>0</v>
      </c>
      <c r="BC13" s="23">
        <v>0</v>
      </c>
      <c r="BD13" s="24">
        <v>0</v>
      </c>
      <c r="BE13" s="25">
        <v>0</v>
      </c>
      <c r="BF13" s="25">
        <f t="shared" si="14"/>
        <v>0</v>
      </c>
      <c r="BG13" s="23">
        <v>0</v>
      </c>
      <c r="BH13" s="24">
        <v>0</v>
      </c>
      <c r="BI13" s="25">
        <v>0</v>
      </c>
      <c r="BJ13" s="25">
        <f t="shared" si="15"/>
        <v>0</v>
      </c>
      <c r="BK13" s="23">
        <v>0</v>
      </c>
      <c r="BL13" s="24">
        <v>2</v>
      </c>
      <c r="BM13" s="25">
        <v>0</v>
      </c>
      <c r="BN13" s="25">
        <f t="shared" si="16"/>
        <v>2</v>
      </c>
      <c r="BO13" s="23">
        <v>0</v>
      </c>
      <c r="BP13" s="24">
        <v>0</v>
      </c>
      <c r="BQ13" s="25">
        <v>0</v>
      </c>
      <c r="BR13" s="25">
        <f t="shared" si="17"/>
        <v>0</v>
      </c>
      <c r="BS13" s="23">
        <v>0</v>
      </c>
      <c r="BT13" s="24">
        <f t="shared" si="18"/>
        <v>10</v>
      </c>
      <c r="BU13" s="25">
        <f t="shared" si="19"/>
        <v>4</v>
      </c>
      <c r="BV13" s="25">
        <f t="shared" si="20"/>
        <v>6</v>
      </c>
      <c r="BW13" s="25">
        <f t="shared" si="21"/>
        <v>0.7142857142857143</v>
      </c>
      <c r="BX13" s="25">
        <f t="shared" si="22"/>
        <v>0.625</v>
      </c>
      <c r="BY13" s="23">
        <f t="shared" si="23"/>
        <v>0.66666666666666663</v>
      </c>
      <c r="CC13" s="75" t="s">
        <v>64</v>
      </c>
      <c r="CD13">
        <f>AVERAGE(BW23:BW24)</f>
        <v>0.77777777777777779</v>
      </c>
      <c r="CE13">
        <f t="shared" ref="CE13:CF13" si="33">AVERAGE(BX23:BX24)</f>
        <v>0.90416666666666667</v>
      </c>
      <c r="CF13">
        <f t="shared" si="33"/>
        <v>0.83600713012477723</v>
      </c>
    </row>
    <row r="14" spans="1:84" x14ac:dyDescent="0.35">
      <c r="A14" s="57" t="s">
        <v>10</v>
      </c>
      <c r="B14" s="108"/>
      <c r="C14" s="23" t="s">
        <v>22</v>
      </c>
      <c r="D14" s="24">
        <v>3</v>
      </c>
      <c r="E14" s="25">
        <v>3</v>
      </c>
      <c r="F14" s="25">
        <f t="shared" si="1"/>
        <v>0</v>
      </c>
      <c r="G14" s="23">
        <v>0</v>
      </c>
      <c r="H14" s="24">
        <v>0</v>
      </c>
      <c r="I14" s="24">
        <v>0</v>
      </c>
      <c r="J14" s="24">
        <v>0</v>
      </c>
      <c r="K14" s="23">
        <v>0</v>
      </c>
      <c r="L14" s="24">
        <v>0</v>
      </c>
      <c r="M14" s="24">
        <v>0</v>
      </c>
      <c r="N14" s="24">
        <v>0</v>
      </c>
      <c r="O14" s="23">
        <v>0</v>
      </c>
      <c r="P14" s="24">
        <v>5</v>
      </c>
      <c r="Q14" s="25">
        <v>5</v>
      </c>
      <c r="R14" s="25">
        <f t="shared" si="4"/>
        <v>0</v>
      </c>
      <c r="S14" s="23">
        <v>0</v>
      </c>
      <c r="T14" s="24">
        <v>0</v>
      </c>
      <c r="U14" s="25">
        <v>0</v>
      </c>
      <c r="V14" s="25">
        <v>0</v>
      </c>
      <c r="W14" s="23">
        <v>0</v>
      </c>
      <c r="X14" s="24">
        <v>0</v>
      </c>
      <c r="Y14" s="24">
        <v>0</v>
      </c>
      <c r="Z14" s="24">
        <f>X14-Y14</f>
        <v>0</v>
      </c>
      <c r="AA14" s="23">
        <v>0</v>
      </c>
      <c r="AB14" s="24">
        <v>0</v>
      </c>
      <c r="AC14" s="24">
        <v>0</v>
      </c>
      <c r="AD14" s="24">
        <f>AB14-AC14</f>
        <v>0</v>
      </c>
      <c r="AE14" s="23">
        <v>0</v>
      </c>
      <c r="AF14" s="24">
        <v>0</v>
      </c>
      <c r="AG14" s="24">
        <v>0</v>
      </c>
      <c r="AH14" s="24">
        <f>AF14-AG14</f>
        <v>0</v>
      </c>
      <c r="AI14" s="23">
        <v>0</v>
      </c>
      <c r="AJ14" s="24">
        <v>0</v>
      </c>
      <c r="AK14" s="24">
        <v>0</v>
      </c>
      <c r="AL14" s="24">
        <f>AJ14-AK14</f>
        <v>0</v>
      </c>
      <c r="AM14" s="23">
        <v>0</v>
      </c>
      <c r="AN14" s="24">
        <v>0</v>
      </c>
      <c r="AO14" s="24">
        <v>0</v>
      </c>
      <c r="AP14" s="24">
        <f>AN14-AO14</f>
        <v>0</v>
      </c>
      <c r="AQ14" s="23">
        <v>1</v>
      </c>
      <c r="AR14" s="24">
        <v>2</v>
      </c>
      <c r="AS14" s="25">
        <v>0</v>
      </c>
      <c r="AT14" s="25">
        <f t="shared" si="11"/>
        <v>2</v>
      </c>
      <c r="AU14" s="23">
        <v>0</v>
      </c>
      <c r="AV14" s="24">
        <v>0</v>
      </c>
      <c r="AW14" s="25">
        <v>0</v>
      </c>
      <c r="AX14" s="25">
        <f t="shared" si="12"/>
        <v>0</v>
      </c>
      <c r="AY14" s="23">
        <v>2</v>
      </c>
      <c r="AZ14" s="24">
        <v>2</v>
      </c>
      <c r="BA14" s="25">
        <v>2</v>
      </c>
      <c r="BB14" s="25">
        <f t="shared" si="13"/>
        <v>0</v>
      </c>
      <c r="BC14" s="23">
        <v>0</v>
      </c>
      <c r="BD14" s="24">
        <v>0</v>
      </c>
      <c r="BE14" s="25">
        <v>0</v>
      </c>
      <c r="BF14" s="25">
        <f t="shared" si="14"/>
        <v>0</v>
      </c>
      <c r="BG14" s="23">
        <v>0</v>
      </c>
      <c r="BH14" s="24">
        <v>0</v>
      </c>
      <c r="BI14" s="25">
        <v>0</v>
      </c>
      <c r="BJ14" s="25">
        <f t="shared" si="15"/>
        <v>0</v>
      </c>
      <c r="BK14" s="23">
        <v>0</v>
      </c>
      <c r="BL14" s="24">
        <v>2</v>
      </c>
      <c r="BM14" s="25">
        <v>0</v>
      </c>
      <c r="BN14" s="25">
        <f t="shared" si="16"/>
        <v>2</v>
      </c>
      <c r="BO14" s="23">
        <v>0</v>
      </c>
      <c r="BP14" s="24">
        <v>0</v>
      </c>
      <c r="BQ14" s="25">
        <v>0</v>
      </c>
      <c r="BR14" s="25">
        <f t="shared" si="17"/>
        <v>0</v>
      </c>
      <c r="BS14" s="23">
        <v>0</v>
      </c>
      <c r="BT14" s="24">
        <f t="shared" si="18"/>
        <v>10</v>
      </c>
      <c r="BU14" s="25">
        <f t="shared" si="19"/>
        <v>4</v>
      </c>
      <c r="BV14" s="25">
        <f t="shared" si="20"/>
        <v>3</v>
      </c>
      <c r="BW14" s="25">
        <f t="shared" si="21"/>
        <v>0.7142857142857143</v>
      </c>
      <c r="BX14" s="25">
        <f t="shared" si="22"/>
        <v>0.76923076923076927</v>
      </c>
      <c r="BY14" s="23">
        <f t="shared" si="23"/>
        <v>0.74074074074074081</v>
      </c>
      <c r="CC14" s="75" t="s">
        <v>65</v>
      </c>
      <c r="CD14">
        <f>AVERAGE(BW25:BW26)</f>
        <v>0.9285714285714286</v>
      </c>
      <c r="CE14">
        <f t="shared" ref="CE14:CF14" si="34">AVERAGE(BX25:BX26)</f>
        <v>1</v>
      </c>
      <c r="CF14">
        <f t="shared" si="34"/>
        <v>0.96153846153846145</v>
      </c>
    </row>
    <row r="15" spans="1:84" x14ac:dyDescent="0.35">
      <c r="A15" s="58" t="s">
        <v>10</v>
      </c>
      <c r="B15" s="108"/>
      <c r="C15" s="26" t="s">
        <v>23</v>
      </c>
      <c r="D15" s="27">
        <v>2</v>
      </c>
      <c r="E15" s="28">
        <v>2</v>
      </c>
      <c r="F15" s="28">
        <f t="shared" si="1"/>
        <v>0</v>
      </c>
      <c r="G15" s="26">
        <v>0</v>
      </c>
      <c r="H15" s="27">
        <v>0</v>
      </c>
      <c r="I15" s="27">
        <v>0</v>
      </c>
      <c r="J15" s="27">
        <f t="shared" si="2"/>
        <v>0</v>
      </c>
      <c r="K15" s="26">
        <v>0</v>
      </c>
      <c r="L15" s="27">
        <v>0</v>
      </c>
      <c r="M15" s="27">
        <v>0</v>
      </c>
      <c r="N15" s="27">
        <f t="shared" si="3"/>
        <v>0</v>
      </c>
      <c r="O15" s="26">
        <v>0</v>
      </c>
      <c r="P15" s="27">
        <v>3</v>
      </c>
      <c r="Q15" s="28">
        <v>3</v>
      </c>
      <c r="R15" s="28">
        <f t="shared" si="4"/>
        <v>0</v>
      </c>
      <c r="S15" s="26">
        <v>0</v>
      </c>
      <c r="T15" s="27">
        <v>0</v>
      </c>
      <c r="U15" s="28">
        <v>0</v>
      </c>
      <c r="V15" s="28">
        <f t="shared" si="5"/>
        <v>0</v>
      </c>
      <c r="W15" s="26">
        <v>0</v>
      </c>
      <c r="X15" s="27">
        <v>0</v>
      </c>
      <c r="Y15" s="27">
        <v>0</v>
      </c>
      <c r="Z15" s="27">
        <f t="shared" si="6"/>
        <v>0</v>
      </c>
      <c r="AA15" s="26">
        <v>0</v>
      </c>
      <c r="AB15" s="27">
        <v>0</v>
      </c>
      <c r="AC15" s="27">
        <v>0</v>
      </c>
      <c r="AD15" s="27">
        <f t="shared" si="7"/>
        <v>0</v>
      </c>
      <c r="AE15" s="26">
        <v>0</v>
      </c>
      <c r="AF15" s="27">
        <v>0</v>
      </c>
      <c r="AG15" s="27">
        <v>0</v>
      </c>
      <c r="AH15" s="27">
        <f t="shared" si="8"/>
        <v>0</v>
      </c>
      <c r="AI15" s="26">
        <v>0</v>
      </c>
      <c r="AJ15" s="27">
        <v>0</v>
      </c>
      <c r="AK15" s="27">
        <v>0</v>
      </c>
      <c r="AL15" s="27">
        <f t="shared" si="9"/>
        <v>0</v>
      </c>
      <c r="AM15" s="26">
        <v>0</v>
      </c>
      <c r="AN15" s="27">
        <v>0</v>
      </c>
      <c r="AO15" s="27">
        <v>0</v>
      </c>
      <c r="AP15" s="27">
        <f t="shared" si="10"/>
        <v>0</v>
      </c>
      <c r="AQ15" s="26">
        <v>0</v>
      </c>
      <c r="AR15" s="27">
        <v>1</v>
      </c>
      <c r="AS15" s="28">
        <v>0</v>
      </c>
      <c r="AT15" s="28">
        <f t="shared" si="11"/>
        <v>1</v>
      </c>
      <c r="AU15" s="26">
        <v>0</v>
      </c>
      <c r="AV15" s="27">
        <v>0</v>
      </c>
      <c r="AW15" s="28">
        <v>0</v>
      </c>
      <c r="AX15" s="28">
        <f t="shared" si="12"/>
        <v>0</v>
      </c>
      <c r="AY15" s="26">
        <v>1</v>
      </c>
      <c r="AZ15" s="27">
        <v>1</v>
      </c>
      <c r="BA15" s="28">
        <v>1</v>
      </c>
      <c r="BB15" s="28">
        <f t="shared" si="13"/>
        <v>0</v>
      </c>
      <c r="BC15" s="26">
        <v>0</v>
      </c>
      <c r="BD15" s="27">
        <v>0</v>
      </c>
      <c r="BE15" s="28">
        <v>0</v>
      </c>
      <c r="BF15" s="28">
        <f t="shared" si="14"/>
        <v>0</v>
      </c>
      <c r="BG15" s="26">
        <v>0</v>
      </c>
      <c r="BH15" s="27">
        <v>0</v>
      </c>
      <c r="BI15" s="28">
        <v>0</v>
      </c>
      <c r="BJ15" s="28">
        <f t="shared" si="15"/>
        <v>0</v>
      </c>
      <c r="BK15" s="26">
        <v>0</v>
      </c>
      <c r="BL15" s="27">
        <v>1</v>
      </c>
      <c r="BM15" s="28">
        <v>0</v>
      </c>
      <c r="BN15" s="28">
        <f t="shared" si="16"/>
        <v>1</v>
      </c>
      <c r="BO15" s="26">
        <v>0</v>
      </c>
      <c r="BP15" s="27">
        <v>0</v>
      </c>
      <c r="BQ15" s="28">
        <v>0</v>
      </c>
      <c r="BR15" s="28">
        <f t="shared" si="17"/>
        <v>0</v>
      </c>
      <c r="BS15" s="26">
        <v>0</v>
      </c>
      <c r="BT15" s="27">
        <f t="shared" si="18"/>
        <v>6</v>
      </c>
      <c r="BU15" s="28">
        <f t="shared" si="19"/>
        <v>2</v>
      </c>
      <c r="BV15" s="28">
        <f t="shared" si="20"/>
        <v>1</v>
      </c>
      <c r="BW15" s="28">
        <f t="shared" si="21"/>
        <v>0.75</v>
      </c>
      <c r="BX15" s="28">
        <f t="shared" si="22"/>
        <v>0.8571428571428571</v>
      </c>
      <c r="BY15" s="26">
        <f t="shared" si="23"/>
        <v>0.79999999999999993</v>
      </c>
      <c r="CC15" s="75" t="s">
        <v>66</v>
      </c>
      <c r="CD15">
        <f>AVERAGE(BW27:BW28)</f>
        <v>0.70588235294117641</v>
      </c>
      <c r="CE15">
        <f t="shared" ref="CE15:CF15" si="35">AVERAGE(BX27:BX28)</f>
        <v>0.79166666666666674</v>
      </c>
      <c r="CF15">
        <f t="shared" si="35"/>
        <v>0.73891625615763545</v>
      </c>
    </row>
    <row r="16" spans="1:84" x14ac:dyDescent="0.35">
      <c r="A16" s="58" t="s">
        <v>10</v>
      </c>
      <c r="B16" s="108"/>
      <c r="C16" s="26" t="s">
        <v>24</v>
      </c>
      <c r="D16" s="27">
        <v>2</v>
      </c>
      <c r="E16" s="28">
        <v>2</v>
      </c>
      <c r="F16" s="28">
        <f t="shared" si="1"/>
        <v>0</v>
      </c>
      <c r="G16" s="26">
        <v>0</v>
      </c>
      <c r="H16" s="27">
        <v>0</v>
      </c>
      <c r="I16" s="27">
        <v>0</v>
      </c>
      <c r="J16" s="27">
        <f t="shared" si="2"/>
        <v>0</v>
      </c>
      <c r="K16" s="26">
        <v>0</v>
      </c>
      <c r="L16" s="27">
        <v>0</v>
      </c>
      <c r="M16" s="27">
        <v>0</v>
      </c>
      <c r="N16" s="27">
        <f t="shared" si="3"/>
        <v>0</v>
      </c>
      <c r="O16" s="26">
        <v>0</v>
      </c>
      <c r="P16" s="27">
        <v>3</v>
      </c>
      <c r="Q16" s="28">
        <v>3</v>
      </c>
      <c r="R16" s="28">
        <f t="shared" si="4"/>
        <v>0</v>
      </c>
      <c r="S16" s="26">
        <v>0</v>
      </c>
      <c r="T16" s="27">
        <v>0</v>
      </c>
      <c r="U16" s="28">
        <v>0</v>
      </c>
      <c r="V16" s="28">
        <f t="shared" si="5"/>
        <v>0</v>
      </c>
      <c r="W16" s="26">
        <v>0</v>
      </c>
      <c r="X16" s="27">
        <v>0</v>
      </c>
      <c r="Y16" s="27">
        <v>0</v>
      </c>
      <c r="Z16" s="27">
        <v>0</v>
      </c>
      <c r="AA16" s="26">
        <v>0</v>
      </c>
      <c r="AB16" s="27">
        <v>0</v>
      </c>
      <c r="AC16" s="27">
        <v>0</v>
      </c>
      <c r="AD16" s="27">
        <f t="shared" si="7"/>
        <v>0</v>
      </c>
      <c r="AE16" s="26">
        <v>0</v>
      </c>
      <c r="AF16" s="27">
        <v>0</v>
      </c>
      <c r="AG16" s="27">
        <v>0</v>
      </c>
      <c r="AH16" s="27">
        <f t="shared" si="8"/>
        <v>0</v>
      </c>
      <c r="AI16" s="26">
        <v>0</v>
      </c>
      <c r="AJ16" s="27">
        <v>0</v>
      </c>
      <c r="AK16" s="27">
        <v>0</v>
      </c>
      <c r="AL16" s="27">
        <f t="shared" si="9"/>
        <v>0</v>
      </c>
      <c r="AM16" s="26">
        <v>0</v>
      </c>
      <c r="AN16" s="27">
        <v>0</v>
      </c>
      <c r="AO16" s="27">
        <v>0</v>
      </c>
      <c r="AP16" s="27">
        <f t="shared" si="10"/>
        <v>0</v>
      </c>
      <c r="AQ16" s="26">
        <v>0</v>
      </c>
      <c r="AR16" s="27">
        <v>1</v>
      </c>
      <c r="AS16" s="28">
        <v>0</v>
      </c>
      <c r="AT16" s="28">
        <f t="shared" si="11"/>
        <v>1</v>
      </c>
      <c r="AU16" s="26">
        <v>0</v>
      </c>
      <c r="AV16" s="27">
        <v>0</v>
      </c>
      <c r="AW16" s="28">
        <v>0</v>
      </c>
      <c r="AX16" s="28">
        <f t="shared" si="12"/>
        <v>0</v>
      </c>
      <c r="AY16" s="26">
        <v>1</v>
      </c>
      <c r="AZ16" s="27">
        <v>1</v>
      </c>
      <c r="BA16" s="28">
        <v>1</v>
      </c>
      <c r="BB16" s="28">
        <f t="shared" si="13"/>
        <v>0</v>
      </c>
      <c r="BC16" s="26">
        <v>0</v>
      </c>
      <c r="BD16" s="27">
        <v>0</v>
      </c>
      <c r="BE16" s="28">
        <v>0</v>
      </c>
      <c r="BF16" s="28">
        <f t="shared" si="14"/>
        <v>0</v>
      </c>
      <c r="BG16" s="26">
        <v>0</v>
      </c>
      <c r="BH16" s="27">
        <v>0</v>
      </c>
      <c r="BI16" s="28">
        <v>0</v>
      </c>
      <c r="BJ16" s="28">
        <f t="shared" si="15"/>
        <v>0</v>
      </c>
      <c r="BK16" s="26">
        <v>0</v>
      </c>
      <c r="BL16" s="27">
        <v>1</v>
      </c>
      <c r="BM16" s="28">
        <v>0</v>
      </c>
      <c r="BN16" s="28">
        <f t="shared" si="16"/>
        <v>1</v>
      </c>
      <c r="BO16" s="26">
        <v>0</v>
      </c>
      <c r="BP16" s="27">
        <v>0</v>
      </c>
      <c r="BQ16" s="28">
        <v>0</v>
      </c>
      <c r="BR16" s="28">
        <f t="shared" si="17"/>
        <v>0</v>
      </c>
      <c r="BS16" s="26">
        <v>0</v>
      </c>
      <c r="BT16" s="27">
        <f t="shared" si="18"/>
        <v>6</v>
      </c>
      <c r="BU16" s="28">
        <f t="shared" si="19"/>
        <v>2</v>
      </c>
      <c r="BV16" s="28">
        <f t="shared" si="20"/>
        <v>1</v>
      </c>
      <c r="BW16" s="28">
        <f t="shared" si="21"/>
        <v>0.75</v>
      </c>
      <c r="BX16" s="28">
        <f t="shared" si="22"/>
        <v>0.8571428571428571</v>
      </c>
      <c r="BY16" s="26">
        <f t="shared" si="23"/>
        <v>0.79999999999999993</v>
      </c>
      <c r="CC16" s="75" t="s">
        <v>67</v>
      </c>
      <c r="CD16">
        <f>AVERAGE(BW29:BW30)</f>
        <v>0.9</v>
      </c>
      <c r="CE16">
        <f t="shared" ref="CE16:CF16" si="36">AVERAGE(BX29:BX30)</f>
        <v>0.95</v>
      </c>
      <c r="CF16">
        <f t="shared" si="36"/>
        <v>0.92368421052631589</v>
      </c>
    </row>
    <row r="17" spans="1:84" x14ac:dyDescent="0.35">
      <c r="A17" s="59" t="s">
        <v>10</v>
      </c>
      <c r="B17" s="108"/>
      <c r="C17" s="29" t="s">
        <v>25</v>
      </c>
      <c r="D17" s="30">
        <v>2</v>
      </c>
      <c r="E17" s="31">
        <v>2</v>
      </c>
      <c r="F17" s="31">
        <f t="shared" si="1"/>
        <v>0</v>
      </c>
      <c r="G17" s="29">
        <v>0</v>
      </c>
      <c r="H17" s="30">
        <v>0</v>
      </c>
      <c r="I17" s="31">
        <v>0</v>
      </c>
      <c r="J17" s="31">
        <f t="shared" si="2"/>
        <v>0</v>
      </c>
      <c r="K17" s="29">
        <v>0</v>
      </c>
      <c r="L17" s="30">
        <v>0</v>
      </c>
      <c r="M17" s="31">
        <v>0</v>
      </c>
      <c r="N17" s="31">
        <f t="shared" si="3"/>
        <v>0</v>
      </c>
      <c r="O17" s="29">
        <v>0</v>
      </c>
      <c r="P17" s="30">
        <v>3</v>
      </c>
      <c r="Q17" s="31">
        <v>3</v>
      </c>
      <c r="R17" s="31">
        <f t="shared" si="4"/>
        <v>0</v>
      </c>
      <c r="S17" s="29">
        <v>0</v>
      </c>
      <c r="T17" s="30">
        <v>0</v>
      </c>
      <c r="U17" s="31">
        <v>0</v>
      </c>
      <c r="V17" s="31">
        <f t="shared" si="5"/>
        <v>0</v>
      </c>
      <c r="W17" s="29">
        <v>3</v>
      </c>
      <c r="X17" s="30">
        <v>1</v>
      </c>
      <c r="Y17" s="31">
        <v>1</v>
      </c>
      <c r="Z17" s="31">
        <f t="shared" si="6"/>
        <v>0</v>
      </c>
      <c r="AA17" s="29">
        <v>0</v>
      </c>
      <c r="AB17" s="30">
        <v>1</v>
      </c>
      <c r="AC17" s="31">
        <v>1</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0</v>
      </c>
      <c r="AW17" s="31">
        <v>0</v>
      </c>
      <c r="AX17" s="31">
        <f t="shared" si="12"/>
        <v>0</v>
      </c>
      <c r="AY17" s="29">
        <v>0</v>
      </c>
      <c r="AZ17" s="30">
        <v>1</v>
      </c>
      <c r="BA17" s="31">
        <v>1</v>
      </c>
      <c r="BB17" s="31">
        <f t="shared" si="13"/>
        <v>0</v>
      </c>
      <c r="BC17" s="29">
        <v>0</v>
      </c>
      <c r="BD17" s="30">
        <v>0</v>
      </c>
      <c r="BE17" s="31">
        <v>0</v>
      </c>
      <c r="BF17" s="31">
        <f t="shared" si="14"/>
        <v>0</v>
      </c>
      <c r="BG17" s="29">
        <v>0</v>
      </c>
      <c r="BH17" s="30">
        <v>0</v>
      </c>
      <c r="BI17" s="31">
        <v>0</v>
      </c>
      <c r="BJ17" s="31">
        <f t="shared" si="15"/>
        <v>0</v>
      </c>
      <c r="BK17" s="29">
        <v>0</v>
      </c>
      <c r="BL17" s="30">
        <v>0</v>
      </c>
      <c r="BM17" s="31">
        <v>0</v>
      </c>
      <c r="BN17" s="31">
        <f t="shared" si="16"/>
        <v>0</v>
      </c>
      <c r="BO17" s="29">
        <v>0</v>
      </c>
      <c r="BP17" s="30">
        <v>1</v>
      </c>
      <c r="BQ17" s="31">
        <v>1</v>
      </c>
      <c r="BR17" s="31">
        <f t="shared" si="17"/>
        <v>0</v>
      </c>
      <c r="BS17" s="29">
        <v>0</v>
      </c>
      <c r="BT17" s="30">
        <f t="shared" si="18"/>
        <v>10</v>
      </c>
      <c r="BU17" s="31">
        <f t="shared" si="19"/>
        <v>0</v>
      </c>
      <c r="BV17" s="31">
        <f t="shared" si="20"/>
        <v>3</v>
      </c>
      <c r="BW17" s="31">
        <f t="shared" si="21"/>
        <v>1</v>
      </c>
      <c r="BX17" s="31">
        <f t="shared" si="22"/>
        <v>0.76923076923076927</v>
      </c>
      <c r="BY17" s="29">
        <f t="shared" si="23"/>
        <v>0.86956521739130443</v>
      </c>
      <c r="CC17" s="75" t="s">
        <v>42</v>
      </c>
      <c r="CD17">
        <f>AVERAGE(CD3:CD16)</f>
        <v>0.83123343354435797</v>
      </c>
      <c r="CE17">
        <f t="shared" ref="CE17:CF17" si="37">AVERAGE(CE3:CE16)</f>
        <v>0.89714475533803262</v>
      </c>
      <c r="CF17">
        <f t="shared" si="37"/>
        <v>0.85724341584674146</v>
      </c>
    </row>
    <row r="18" spans="1:84" x14ac:dyDescent="0.35">
      <c r="A18" s="59" t="s">
        <v>10</v>
      </c>
      <c r="B18" s="108"/>
      <c r="C18" s="29" t="s">
        <v>26</v>
      </c>
      <c r="D18" s="30">
        <v>2</v>
      </c>
      <c r="E18" s="31">
        <v>2</v>
      </c>
      <c r="F18" s="31">
        <f t="shared" si="1"/>
        <v>0</v>
      </c>
      <c r="G18" s="29">
        <v>0</v>
      </c>
      <c r="H18" s="30">
        <v>0</v>
      </c>
      <c r="I18" s="31">
        <v>0</v>
      </c>
      <c r="J18" s="31">
        <f t="shared" si="2"/>
        <v>0</v>
      </c>
      <c r="K18" s="29">
        <v>0</v>
      </c>
      <c r="L18" s="30">
        <v>0</v>
      </c>
      <c r="M18" s="31">
        <v>0</v>
      </c>
      <c r="N18" s="31">
        <f t="shared" si="3"/>
        <v>0</v>
      </c>
      <c r="O18" s="29">
        <v>0</v>
      </c>
      <c r="P18" s="30">
        <v>3</v>
      </c>
      <c r="Q18" s="31">
        <v>3</v>
      </c>
      <c r="R18" s="31">
        <f t="shared" si="4"/>
        <v>0</v>
      </c>
      <c r="S18" s="29">
        <v>0</v>
      </c>
      <c r="T18" s="30">
        <v>0</v>
      </c>
      <c r="U18" s="31">
        <v>0</v>
      </c>
      <c r="V18" s="31">
        <f t="shared" si="5"/>
        <v>0</v>
      </c>
      <c r="W18" s="29">
        <v>3</v>
      </c>
      <c r="X18" s="30">
        <v>1</v>
      </c>
      <c r="Y18" s="31">
        <v>1</v>
      </c>
      <c r="Z18" s="31">
        <f t="shared" si="6"/>
        <v>0</v>
      </c>
      <c r="AA18" s="29">
        <v>0</v>
      </c>
      <c r="AB18" s="30">
        <v>1</v>
      </c>
      <c r="AC18" s="31">
        <v>1</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0</v>
      </c>
      <c r="AW18" s="31">
        <v>0</v>
      </c>
      <c r="AX18" s="31">
        <f t="shared" si="12"/>
        <v>0</v>
      </c>
      <c r="AY18" s="29">
        <v>0</v>
      </c>
      <c r="AZ18" s="30">
        <v>1</v>
      </c>
      <c r="BA18" s="31">
        <v>1</v>
      </c>
      <c r="BB18" s="31">
        <f t="shared" si="13"/>
        <v>0</v>
      </c>
      <c r="BC18" s="29">
        <v>0</v>
      </c>
      <c r="BD18" s="30">
        <v>0</v>
      </c>
      <c r="BE18" s="31">
        <v>0</v>
      </c>
      <c r="BF18" s="31">
        <f t="shared" si="14"/>
        <v>0</v>
      </c>
      <c r="BG18" s="29">
        <v>0</v>
      </c>
      <c r="BH18" s="30">
        <v>0</v>
      </c>
      <c r="BI18" s="31">
        <v>0</v>
      </c>
      <c r="BJ18" s="31">
        <f t="shared" si="15"/>
        <v>0</v>
      </c>
      <c r="BK18" s="29">
        <v>0</v>
      </c>
      <c r="BL18" s="30">
        <v>0</v>
      </c>
      <c r="BM18" s="31">
        <v>0</v>
      </c>
      <c r="BN18" s="31">
        <f>BL18-BM18</f>
        <v>0</v>
      </c>
      <c r="BO18" s="29">
        <v>0</v>
      </c>
      <c r="BP18" s="30">
        <v>1</v>
      </c>
      <c r="BQ18" s="31">
        <v>1</v>
      </c>
      <c r="BR18" s="31">
        <f t="shared" si="17"/>
        <v>0</v>
      </c>
      <c r="BS18" s="29">
        <v>0</v>
      </c>
      <c r="BT18" s="30">
        <f t="shared" si="18"/>
        <v>10</v>
      </c>
      <c r="BU18" s="31">
        <f t="shared" si="19"/>
        <v>0</v>
      </c>
      <c r="BV18" s="31">
        <f t="shared" si="20"/>
        <v>3</v>
      </c>
      <c r="BW18" s="31">
        <f t="shared" si="21"/>
        <v>1</v>
      </c>
      <c r="BX18" s="31">
        <f t="shared" si="22"/>
        <v>0.76923076923076927</v>
      </c>
      <c r="BY18" s="29">
        <f t="shared" si="23"/>
        <v>0.86956521739130443</v>
      </c>
    </row>
    <row r="19" spans="1:84" x14ac:dyDescent="0.35">
      <c r="A19" s="60" t="s">
        <v>10</v>
      </c>
      <c r="B19" s="108"/>
      <c r="C19" s="32" t="s">
        <v>27</v>
      </c>
      <c r="D19" s="33">
        <v>3</v>
      </c>
      <c r="E19" s="34">
        <v>3</v>
      </c>
      <c r="F19" s="34">
        <f t="shared" si="1"/>
        <v>0</v>
      </c>
      <c r="G19" s="32">
        <v>0</v>
      </c>
      <c r="H19" s="33">
        <v>0</v>
      </c>
      <c r="I19" s="34">
        <v>0</v>
      </c>
      <c r="J19" s="34">
        <f t="shared" si="2"/>
        <v>0</v>
      </c>
      <c r="K19" s="32">
        <v>0</v>
      </c>
      <c r="L19" s="33">
        <v>0</v>
      </c>
      <c r="M19" s="34">
        <v>0</v>
      </c>
      <c r="N19" s="34">
        <f t="shared" si="3"/>
        <v>0</v>
      </c>
      <c r="O19" s="32">
        <v>0</v>
      </c>
      <c r="P19" s="33">
        <v>3</v>
      </c>
      <c r="Q19" s="34">
        <v>3</v>
      </c>
      <c r="R19" s="34">
        <f t="shared" si="4"/>
        <v>0</v>
      </c>
      <c r="S19" s="32">
        <v>0</v>
      </c>
      <c r="T19" s="33">
        <v>0</v>
      </c>
      <c r="U19" s="34">
        <v>0</v>
      </c>
      <c r="V19" s="34">
        <f t="shared" si="5"/>
        <v>0</v>
      </c>
      <c r="W19" s="32">
        <v>0</v>
      </c>
      <c r="X19" s="33">
        <v>2</v>
      </c>
      <c r="Y19" s="34">
        <v>2</v>
      </c>
      <c r="Z19" s="34">
        <f t="shared" si="6"/>
        <v>0</v>
      </c>
      <c r="AA19" s="32">
        <v>0</v>
      </c>
      <c r="AB19" s="33">
        <v>2</v>
      </c>
      <c r="AC19" s="34">
        <v>2</v>
      </c>
      <c r="AD19" s="34">
        <f t="shared" si="7"/>
        <v>0</v>
      </c>
      <c r="AE19" s="32">
        <v>0</v>
      </c>
      <c r="AF19" s="33">
        <v>2</v>
      </c>
      <c r="AG19" s="34">
        <v>2</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1</v>
      </c>
      <c r="AV19" s="33">
        <v>0</v>
      </c>
      <c r="AW19" s="34">
        <v>0</v>
      </c>
      <c r="AX19" s="34">
        <f t="shared" si="12"/>
        <v>0</v>
      </c>
      <c r="AY19" s="32">
        <v>0</v>
      </c>
      <c r="AZ19" s="33">
        <v>2</v>
      </c>
      <c r="BA19" s="34">
        <v>2</v>
      </c>
      <c r="BB19" s="34">
        <f t="shared" si="13"/>
        <v>0</v>
      </c>
      <c r="BC19" s="32">
        <v>0</v>
      </c>
      <c r="BD19" s="33">
        <v>0</v>
      </c>
      <c r="BE19" s="34">
        <v>0</v>
      </c>
      <c r="BF19" s="34">
        <f t="shared" si="14"/>
        <v>0</v>
      </c>
      <c r="BG19" s="32">
        <v>0</v>
      </c>
      <c r="BH19" s="33">
        <v>1</v>
      </c>
      <c r="BI19" s="34">
        <v>0</v>
      </c>
      <c r="BJ19" s="34">
        <f t="shared" si="15"/>
        <v>1</v>
      </c>
      <c r="BK19" s="32">
        <v>0</v>
      </c>
      <c r="BL19" s="33">
        <v>0</v>
      </c>
      <c r="BM19" s="34">
        <v>0</v>
      </c>
      <c r="BN19" s="34">
        <f t="shared" si="16"/>
        <v>0</v>
      </c>
      <c r="BO19" s="32">
        <v>0</v>
      </c>
      <c r="BP19" s="33">
        <v>2</v>
      </c>
      <c r="BQ19" s="34">
        <v>2</v>
      </c>
      <c r="BR19" s="34">
        <f t="shared" si="17"/>
        <v>0</v>
      </c>
      <c r="BS19" s="32">
        <v>0</v>
      </c>
      <c r="BT19" s="33">
        <f t="shared" si="18"/>
        <v>16</v>
      </c>
      <c r="BU19" s="34">
        <f t="shared" si="19"/>
        <v>1</v>
      </c>
      <c r="BV19" s="34">
        <f t="shared" si="20"/>
        <v>1</v>
      </c>
      <c r="BW19" s="34">
        <f t="shared" si="21"/>
        <v>0.94117647058823528</v>
      </c>
      <c r="BX19" s="34">
        <f t="shared" si="22"/>
        <v>0.94117647058823528</v>
      </c>
      <c r="BY19" s="32">
        <f t="shared" si="23"/>
        <v>0.94117647058823528</v>
      </c>
    </row>
    <row r="20" spans="1:84" x14ac:dyDescent="0.35">
      <c r="A20" s="60" t="s">
        <v>10</v>
      </c>
      <c r="B20" s="108"/>
      <c r="C20" s="32" t="s">
        <v>28</v>
      </c>
      <c r="D20" s="33">
        <v>3</v>
      </c>
      <c r="E20" s="34">
        <v>3</v>
      </c>
      <c r="F20" s="34">
        <f t="shared" si="1"/>
        <v>0</v>
      </c>
      <c r="G20" s="32">
        <v>0</v>
      </c>
      <c r="H20" s="33">
        <v>0</v>
      </c>
      <c r="I20" s="34">
        <v>0</v>
      </c>
      <c r="J20" s="34">
        <f t="shared" si="2"/>
        <v>0</v>
      </c>
      <c r="K20" s="32">
        <v>0</v>
      </c>
      <c r="L20" s="33">
        <v>0</v>
      </c>
      <c r="M20" s="34">
        <v>0</v>
      </c>
      <c r="N20" s="34">
        <f t="shared" si="3"/>
        <v>0</v>
      </c>
      <c r="O20" s="32">
        <v>0</v>
      </c>
      <c r="P20" s="33">
        <v>3</v>
      </c>
      <c r="Q20" s="34">
        <v>3</v>
      </c>
      <c r="R20" s="34">
        <f t="shared" si="4"/>
        <v>0</v>
      </c>
      <c r="S20" s="32">
        <v>0</v>
      </c>
      <c r="T20" s="33">
        <v>0</v>
      </c>
      <c r="U20" s="34">
        <v>0</v>
      </c>
      <c r="V20" s="34">
        <f t="shared" si="5"/>
        <v>0</v>
      </c>
      <c r="W20" s="32">
        <v>0</v>
      </c>
      <c r="X20" s="33">
        <v>2</v>
      </c>
      <c r="Y20" s="34">
        <v>2</v>
      </c>
      <c r="Z20" s="34">
        <f t="shared" si="6"/>
        <v>0</v>
      </c>
      <c r="AA20" s="32">
        <v>0</v>
      </c>
      <c r="AB20" s="33">
        <v>2</v>
      </c>
      <c r="AC20" s="34">
        <v>2</v>
      </c>
      <c r="AD20" s="34">
        <f t="shared" si="7"/>
        <v>0</v>
      </c>
      <c r="AE20" s="32">
        <v>0</v>
      </c>
      <c r="AF20" s="33">
        <v>2</v>
      </c>
      <c r="AG20" s="34">
        <v>0</v>
      </c>
      <c r="AH20" s="34">
        <f t="shared" si="8"/>
        <v>2</v>
      </c>
      <c r="AI20" s="32">
        <v>0</v>
      </c>
      <c r="AJ20" s="33">
        <v>0</v>
      </c>
      <c r="AK20" s="34">
        <v>0</v>
      </c>
      <c r="AL20" s="34">
        <f t="shared" si="9"/>
        <v>0</v>
      </c>
      <c r="AM20" s="32">
        <v>0</v>
      </c>
      <c r="AN20" s="33">
        <v>0</v>
      </c>
      <c r="AO20" s="34">
        <v>0</v>
      </c>
      <c r="AP20" s="34">
        <f t="shared" si="10"/>
        <v>0</v>
      </c>
      <c r="AQ20" s="32">
        <v>0</v>
      </c>
      <c r="AR20" s="33">
        <v>0</v>
      </c>
      <c r="AS20" s="34">
        <v>0</v>
      </c>
      <c r="AT20" s="34">
        <f t="shared" si="11"/>
        <v>0</v>
      </c>
      <c r="AU20" s="32">
        <v>0</v>
      </c>
      <c r="AV20" s="33">
        <v>0</v>
      </c>
      <c r="AW20" s="34">
        <v>0</v>
      </c>
      <c r="AX20" s="34">
        <f t="shared" si="12"/>
        <v>0</v>
      </c>
      <c r="AY20" s="32">
        <v>1</v>
      </c>
      <c r="AZ20" s="33">
        <v>2</v>
      </c>
      <c r="BA20" s="34">
        <v>2</v>
      </c>
      <c r="BB20" s="34">
        <f t="shared" si="13"/>
        <v>0</v>
      </c>
      <c r="BC20" s="32">
        <v>0</v>
      </c>
      <c r="BD20" s="33">
        <v>0</v>
      </c>
      <c r="BE20" s="34">
        <v>0</v>
      </c>
      <c r="BF20" s="34">
        <f t="shared" si="14"/>
        <v>0</v>
      </c>
      <c r="BG20" s="32">
        <v>0</v>
      </c>
      <c r="BH20" s="33">
        <v>1</v>
      </c>
      <c r="BI20" s="34">
        <v>1</v>
      </c>
      <c r="BJ20" s="34">
        <f t="shared" si="15"/>
        <v>0</v>
      </c>
      <c r="BK20" s="32">
        <v>0</v>
      </c>
      <c r="BL20" s="33">
        <v>0</v>
      </c>
      <c r="BM20" s="34">
        <v>0</v>
      </c>
      <c r="BN20" s="34">
        <f t="shared" si="16"/>
        <v>0</v>
      </c>
      <c r="BO20" s="32">
        <v>0</v>
      </c>
      <c r="BP20" s="33">
        <v>2</v>
      </c>
      <c r="BQ20" s="34">
        <v>1</v>
      </c>
      <c r="BR20" s="34">
        <f t="shared" si="17"/>
        <v>1</v>
      </c>
      <c r="BS20" s="32">
        <v>0</v>
      </c>
      <c r="BT20" s="33">
        <f t="shared" si="18"/>
        <v>14</v>
      </c>
      <c r="BU20" s="34">
        <f t="shared" si="19"/>
        <v>3</v>
      </c>
      <c r="BV20" s="34">
        <f t="shared" si="20"/>
        <v>1</v>
      </c>
      <c r="BW20" s="34">
        <f t="shared" si="21"/>
        <v>0.82352941176470584</v>
      </c>
      <c r="BX20" s="34">
        <f t="shared" si="22"/>
        <v>0.93333333333333335</v>
      </c>
      <c r="BY20" s="32">
        <f t="shared" si="23"/>
        <v>0.87499999999999989</v>
      </c>
    </row>
    <row r="21" spans="1:84" x14ac:dyDescent="0.35">
      <c r="A21" s="61" t="s">
        <v>10</v>
      </c>
      <c r="B21" s="108"/>
      <c r="C21" s="35" t="s">
        <v>29</v>
      </c>
      <c r="D21" s="36">
        <v>2</v>
      </c>
      <c r="E21" s="37">
        <v>2</v>
      </c>
      <c r="F21" s="37">
        <f t="shared" si="1"/>
        <v>0</v>
      </c>
      <c r="G21" s="35">
        <v>0</v>
      </c>
      <c r="H21" s="36">
        <v>0</v>
      </c>
      <c r="I21" s="37">
        <v>0</v>
      </c>
      <c r="J21" s="37">
        <f t="shared" si="2"/>
        <v>0</v>
      </c>
      <c r="K21" s="35">
        <v>0</v>
      </c>
      <c r="L21" s="36">
        <v>0</v>
      </c>
      <c r="M21" s="37">
        <v>0</v>
      </c>
      <c r="N21" s="37">
        <f t="shared" si="3"/>
        <v>0</v>
      </c>
      <c r="O21" s="35">
        <v>0</v>
      </c>
      <c r="P21" s="36">
        <v>3</v>
      </c>
      <c r="Q21" s="37">
        <v>3</v>
      </c>
      <c r="R21" s="37">
        <f t="shared" si="4"/>
        <v>0</v>
      </c>
      <c r="S21" s="35">
        <v>0</v>
      </c>
      <c r="T21" s="36">
        <v>0</v>
      </c>
      <c r="U21" s="37">
        <v>0</v>
      </c>
      <c r="V21" s="37">
        <f t="shared" si="5"/>
        <v>0</v>
      </c>
      <c r="W21" s="35">
        <v>0</v>
      </c>
      <c r="X21" s="36">
        <v>1</v>
      </c>
      <c r="Y21" s="37">
        <v>1</v>
      </c>
      <c r="Z21" s="37">
        <f t="shared" si="6"/>
        <v>0</v>
      </c>
      <c r="AA21" s="35">
        <v>0</v>
      </c>
      <c r="AB21" s="36">
        <v>1</v>
      </c>
      <c r="AC21" s="37">
        <v>1</v>
      </c>
      <c r="AD21" s="37">
        <f t="shared" si="7"/>
        <v>0</v>
      </c>
      <c r="AE21" s="35">
        <v>0</v>
      </c>
      <c r="AF21" s="36">
        <v>1</v>
      </c>
      <c r="AG21" s="37">
        <v>0</v>
      </c>
      <c r="AH21" s="37">
        <f t="shared" si="8"/>
        <v>1</v>
      </c>
      <c r="AI21" s="35">
        <v>0</v>
      </c>
      <c r="AJ21" s="36">
        <v>0</v>
      </c>
      <c r="AK21" s="37">
        <v>0</v>
      </c>
      <c r="AL21" s="37">
        <f t="shared" si="9"/>
        <v>0</v>
      </c>
      <c r="AM21" s="35">
        <v>0</v>
      </c>
      <c r="AN21" s="36">
        <v>0</v>
      </c>
      <c r="AO21" s="37">
        <v>0</v>
      </c>
      <c r="AP21" s="37">
        <f t="shared" si="10"/>
        <v>0</v>
      </c>
      <c r="AQ21" s="35">
        <v>1</v>
      </c>
      <c r="AR21" s="36">
        <v>0</v>
      </c>
      <c r="AS21" s="37">
        <v>0</v>
      </c>
      <c r="AT21" s="37">
        <f t="shared" si="11"/>
        <v>0</v>
      </c>
      <c r="AU21" s="35">
        <v>0</v>
      </c>
      <c r="AV21" s="36">
        <v>0</v>
      </c>
      <c r="AW21" s="37">
        <v>0</v>
      </c>
      <c r="AX21" s="37">
        <f t="shared" si="12"/>
        <v>0</v>
      </c>
      <c r="AY21" s="35">
        <v>0</v>
      </c>
      <c r="AZ21" s="36">
        <v>1</v>
      </c>
      <c r="BA21" s="37">
        <v>1</v>
      </c>
      <c r="BB21" s="37">
        <f t="shared" si="13"/>
        <v>0</v>
      </c>
      <c r="BC21" s="35">
        <v>0</v>
      </c>
      <c r="BD21" s="36">
        <v>0</v>
      </c>
      <c r="BE21" s="37">
        <v>0</v>
      </c>
      <c r="BF21" s="37">
        <f t="shared" si="14"/>
        <v>0</v>
      </c>
      <c r="BG21" s="35">
        <v>0</v>
      </c>
      <c r="BH21" s="36">
        <v>0</v>
      </c>
      <c r="BI21" s="37">
        <v>0</v>
      </c>
      <c r="BJ21" s="37">
        <f t="shared" si="15"/>
        <v>0</v>
      </c>
      <c r="BK21" s="35">
        <v>0</v>
      </c>
      <c r="BL21" s="36">
        <v>0</v>
      </c>
      <c r="BM21" s="37">
        <v>0</v>
      </c>
      <c r="BN21" s="37">
        <f t="shared" si="16"/>
        <v>0</v>
      </c>
      <c r="BO21" s="35">
        <v>0</v>
      </c>
      <c r="BP21" s="36">
        <v>1</v>
      </c>
      <c r="BQ21" s="37">
        <v>0</v>
      </c>
      <c r="BR21" s="37">
        <f t="shared" si="17"/>
        <v>1</v>
      </c>
      <c r="BS21" s="35">
        <v>0</v>
      </c>
      <c r="BT21" s="36">
        <f t="shared" si="18"/>
        <v>8</v>
      </c>
      <c r="BU21" s="37">
        <f t="shared" si="19"/>
        <v>2</v>
      </c>
      <c r="BV21" s="37">
        <f t="shared" si="20"/>
        <v>1</v>
      </c>
      <c r="BW21" s="37">
        <f t="shared" si="21"/>
        <v>0.8</v>
      </c>
      <c r="BX21" s="37">
        <f t="shared" si="22"/>
        <v>0.88888888888888884</v>
      </c>
      <c r="BY21" s="35">
        <f t="shared" si="23"/>
        <v>0.8421052631578948</v>
      </c>
    </row>
    <row r="22" spans="1:84" x14ac:dyDescent="0.35">
      <c r="A22" s="61" t="s">
        <v>10</v>
      </c>
      <c r="B22" s="108"/>
      <c r="C22" s="35" t="s">
        <v>30</v>
      </c>
      <c r="D22" s="36">
        <v>2</v>
      </c>
      <c r="E22" s="37">
        <v>2</v>
      </c>
      <c r="F22" s="37">
        <f t="shared" si="1"/>
        <v>0</v>
      </c>
      <c r="G22" s="35">
        <v>0</v>
      </c>
      <c r="H22" s="36">
        <v>0</v>
      </c>
      <c r="I22" s="37">
        <v>0</v>
      </c>
      <c r="J22" s="37">
        <f t="shared" si="2"/>
        <v>0</v>
      </c>
      <c r="K22" s="35">
        <v>0</v>
      </c>
      <c r="L22" s="36">
        <v>0</v>
      </c>
      <c r="M22" s="37">
        <v>0</v>
      </c>
      <c r="N22" s="37">
        <f t="shared" si="3"/>
        <v>0</v>
      </c>
      <c r="O22" s="35">
        <v>0</v>
      </c>
      <c r="P22" s="36">
        <v>3</v>
      </c>
      <c r="Q22" s="37">
        <v>3</v>
      </c>
      <c r="R22" s="37">
        <f t="shared" si="4"/>
        <v>0</v>
      </c>
      <c r="S22" s="35">
        <v>0</v>
      </c>
      <c r="T22" s="36">
        <v>0</v>
      </c>
      <c r="U22" s="37">
        <v>0</v>
      </c>
      <c r="V22" s="37">
        <f t="shared" si="5"/>
        <v>0</v>
      </c>
      <c r="W22" s="35">
        <v>0</v>
      </c>
      <c r="X22" s="36">
        <v>1</v>
      </c>
      <c r="Y22" s="37">
        <v>1</v>
      </c>
      <c r="Z22" s="37">
        <f t="shared" si="6"/>
        <v>0</v>
      </c>
      <c r="AA22" s="35">
        <v>0</v>
      </c>
      <c r="AB22" s="36">
        <v>1</v>
      </c>
      <c r="AC22" s="37">
        <v>1</v>
      </c>
      <c r="AD22" s="37">
        <f t="shared" si="7"/>
        <v>0</v>
      </c>
      <c r="AE22" s="35">
        <v>0</v>
      </c>
      <c r="AF22" s="36">
        <v>1</v>
      </c>
      <c r="AG22" s="37">
        <v>0</v>
      </c>
      <c r="AH22" s="37">
        <f t="shared" si="8"/>
        <v>1</v>
      </c>
      <c r="AI22" s="35">
        <v>0</v>
      </c>
      <c r="AJ22" s="36">
        <v>0</v>
      </c>
      <c r="AK22" s="37">
        <v>0</v>
      </c>
      <c r="AL22" s="37">
        <f t="shared" si="9"/>
        <v>0</v>
      </c>
      <c r="AM22" s="35">
        <v>0</v>
      </c>
      <c r="AN22" s="36">
        <v>0</v>
      </c>
      <c r="AO22" s="37">
        <v>0</v>
      </c>
      <c r="AP22" s="37">
        <f t="shared" si="10"/>
        <v>0</v>
      </c>
      <c r="AQ22" s="35">
        <v>1</v>
      </c>
      <c r="AR22" s="36">
        <v>0</v>
      </c>
      <c r="AS22" s="37">
        <v>0</v>
      </c>
      <c r="AT22" s="37">
        <f t="shared" si="11"/>
        <v>0</v>
      </c>
      <c r="AU22" s="35">
        <v>0</v>
      </c>
      <c r="AV22" s="36">
        <v>0</v>
      </c>
      <c r="AW22" s="37">
        <v>0</v>
      </c>
      <c r="AX22" s="37">
        <f t="shared" si="12"/>
        <v>0</v>
      </c>
      <c r="AY22" s="35">
        <v>0</v>
      </c>
      <c r="AZ22" s="36">
        <v>1</v>
      </c>
      <c r="BA22" s="37">
        <v>1</v>
      </c>
      <c r="BB22" s="37">
        <f t="shared" si="13"/>
        <v>0</v>
      </c>
      <c r="BC22" s="35">
        <v>0</v>
      </c>
      <c r="BD22" s="36">
        <v>0</v>
      </c>
      <c r="BE22" s="37">
        <v>0</v>
      </c>
      <c r="BF22" s="37">
        <f t="shared" si="14"/>
        <v>0</v>
      </c>
      <c r="BG22" s="35">
        <v>0</v>
      </c>
      <c r="BH22" s="36">
        <v>0</v>
      </c>
      <c r="BI22" s="37">
        <v>0</v>
      </c>
      <c r="BJ22" s="37">
        <f t="shared" si="15"/>
        <v>0</v>
      </c>
      <c r="BK22" s="35">
        <v>0</v>
      </c>
      <c r="BL22" s="36">
        <v>0</v>
      </c>
      <c r="BM22" s="37">
        <v>0</v>
      </c>
      <c r="BN22" s="37">
        <f t="shared" si="16"/>
        <v>0</v>
      </c>
      <c r="BO22" s="35">
        <v>0</v>
      </c>
      <c r="BP22" s="36">
        <v>1</v>
      </c>
      <c r="BQ22" s="37">
        <v>0</v>
      </c>
      <c r="BR22" s="37">
        <f t="shared" si="17"/>
        <v>1</v>
      </c>
      <c r="BS22" s="35">
        <v>0</v>
      </c>
      <c r="BT22" s="36">
        <f t="shared" si="18"/>
        <v>8</v>
      </c>
      <c r="BU22" s="37">
        <f t="shared" si="19"/>
        <v>2</v>
      </c>
      <c r="BV22" s="37">
        <f t="shared" si="20"/>
        <v>1</v>
      </c>
      <c r="BW22" s="37">
        <f t="shared" si="21"/>
        <v>0.8</v>
      </c>
      <c r="BX22" s="37">
        <f t="shared" si="22"/>
        <v>0.88888888888888884</v>
      </c>
      <c r="BY22" s="35">
        <f t="shared" si="23"/>
        <v>0.8421052631578948</v>
      </c>
    </row>
    <row r="23" spans="1:84" x14ac:dyDescent="0.35">
      <c r="A23" s="62" t="s">
        <v>10</v>
      </c>
      <c r="B23" s="108"/>
      <c r="C23" s="38" t="s">
        <v>31</v>
      </c>
      <c r="D23" s="39">
        <v>4</v>
      </c>
      <c r="E23" s="40">
        <v>4</v>
      </c>
      <c r="F23" s="40">
        <f t="shared" si="1"/>
        <v>0</v>
      </c>
      <c r="G23" s="38">
        <v>0</v>
      </c>
      <c r="H23" s="39">
        <v>0</v>
      </c>
      <c r="I23" s="40">
        <v>0</v>
      </c>
      <c r="J23" s="40">
        <f t="shared" si="2"/>
        <v>0</v>
      </c>
      <c r="K23" s="38">
        <v>0</v>
      </c>
      <c r="L23" s="39">
        <v>0</v>
      </c>
      <c r="M23" s="40">
        <v>0</v>
      </c>
      <c r="N23" s="40">
        <f t="shared" si="3"/>
        <v>0</v>
      </c>
      <c r="O23" s="38">
        <v>0</v>
      </c>
      <c r="P23" s="39">
        <v>0</v>
      </c>
      <c r="Q23" s="40">
        <v>0</v>
      </c>
      <c r="R23" s="40">
        <f t="shared" si="4"/>
        <v>0</v>
      </c>
      <c r="S23" s="38">
        <v>0</v>
      </c>
      <c r="T23" s="39">
        <v>0</v>
      </c>
      <c r="U23" s="40">
        <v>0</v>
      </c>
      <c r="V23" s="40">
        <f t="shared" si="5"/>
        <v>0</v>
      </c>
      <c r="W23" s="38">
        <v>0</v>
      </c>
      <c r="X23" s="39">
        <v>4</v>
      </c>
      <c r="Y23" s="40">
        <v>4</v>
      </c>
      <c r="Z23" s="40">
        <f t="shared" si="6"/>
        <v>0</v>
      </c>
      <c r="AA23" s="38">
        <v>1</v>
      </c>
      <c r="AB23" s="39">
        <v>1</v>
      </c>
      <c r="AC23" s="40">
        <v>1</v>
      </c>
      <c r="AD23" s="40">
        <f t="shared" si="7"/>
        <v>0</v>
      </c>
      <c r="AE23" s="38">
        <v>0</v>
      </c>
      <c r="AF23" s="39">
        <v>2</v>
      </c>
      <c r="AG23" s="40">
        <v>0</v>
      </c>
      <c r="AH23" s="40">
        <f t="shared" si="8"/>
        <v>2</v>
      </c>
      <c r="AI23" s="38">
        <v>0</v>
      </c>
      <c r="AJ23" s="39">
        <v>1</v>
      </c>
      <c r="AK23" s="40">
        <v>1</v>
      </c>
      <c r="AL23" s="40">
        <f t="shared" si="9"/>
        <v>0</v>
      </c>
      <c r="AM23" s="38">
        <v>0</v>
      </c>
      <c r="AN23" s="39">
        <v>1</v>
      </c>
      <c r="AO23" s="40">
        <v>1</v>
      </c>
      <c r="AP23" s="40">
        <f t="shared" si="10"/>
        <v>0</v>
      </c>
      <c r="AQ23" s="38">
        <v>0</v>
      </c>
      <c r="AR23" s="39">
        <v>0</v>
      </c>
      <c r="AS23" s="40">
        <v>0</v>
      </c>
      <c r="AT23" s="40">
        <f t="shared" si="11"/>
        <v>0</v>
      </c>
      <c r="AU23" s="38">
        <v>1</v>
      </c>
      <c r="AV23" s="39">
        <v>0</v>
      </c>
      <c r="AW23" s="40">
        <v>0</v>
      </c>
      <c r="AX23" s="40">
        <f t="shared" si="12"/>
        <v>0</v>
      </c>
      <c r="AY23" s="38">
        <v>0</v>
      </c>
      <c r="AZ23" s="39">
        <v>3</v>
      </c>
      <c r="BA23" s="40">
        <v>3</v>
      </c>
      <c r="BB23" s="40">
        <f t="shared" si="13"/>
        <v>0</v>
      </c>
      <c r="BC23" s="38">
        <v>0</v>
      </c>
      <c r="BD23" s="39">
        <v>0</v>
      </c>
      <c r="BE23" s="40">
        <v>0</v>
      </c>
      <c r="BF23" s="40">
        <f t="shared" si="14"/>
        <v>0</v>
      </c>
      <c r="BG23" s="38">
        <v>0</v>
      </c>
      <c r="BH23" s="39">
        <v>1</v>
      </c>
      <c r="BI23" s="40">
        <v>0</v>
      </c>
      <c r="BJ23" s="40">
        <f t="shared" si="15"/>
        <v>1</v>
      </c>
      <c r="BK23" s="38">
        <v>0</v>
      </c>
      <c r="BL23" s="39">
        <v>0</v>
      </c>
      <c r="BM23" s="40">
        <v>0</v>
      </c>
      <c r="BN23" s="40">
        <f t="shared" si="16"/>
        <v>0</v>
      </c>
      <c r="BO23" s="38">
        <v>0</v>
      </c>
      <c r="BP23" s="39">
        <v>1</v>
      </c>
      <c r="BQ23" s="40">
        <v>0</v>
      </c>
      <c r="BR23" s="40">
        <f t="shared" si="17"/>
        <v>1</v>
      </c>
      <c r="BS23" s="38">
        <v>0</v>
      </c>
      <c r="BT23" s="39">
        <f t="shared" si="18"/>
        <v>14</v>
      </c>
      <c r="BU23" s="40">
        <f t="shared" si="19"/>
        <v>4</v>
      </c>
      <c r="BV23" s="40">
        <f t="shared" si="20"/>
        <v>2</v>
      </c>
      <c r="BW23" s="40">
        <f t="shared" si="21"/>
        <v>0.77777777777777779</v>
      </c>
      <c r="BX23" s="40">
        <f t="shared" si="22"/>
        <v>0.875</v>
      </c>
      <c r="BY23" s="38">
        <f t="shared" si="23"/>
        <v>0.82352941176470595</v>
      </c>
    </row>
    <row r="24" spans="1:84" x14ac:dyDescent="0.35">
      <c r="A24" s="62" t="s">
        <v>10</v>
      </c>
      <c r="B24" s="108"/>
      <c r="C24" s="38" t="s">
        <v>32</v>
      </c>
      <c r="D24" s="39">
        <v>4</v>
      </c>
      <c r="E24" s="40">
        <v>4</v>
      </c>
      <c r="F24" s="40">
        <f t="shared" si="1"/>
        <v>0</v>
      </c>
      <c r="G24" s="38">
        <v>0</v>
      </c>
      <c r="H24" s="39">
        <v>0</v>
      </c>
      <c r="I24" s="40">
        <v>0</v>
      </c>
      <c r="J24" s="40">
        <v>0</v>
      </c>
      <c r="K24" s="38">
        <v>0</v>
      </c>
      <c r="L24" s="39">
        <v>0</v>
      </c>
      <c r="M24" s="40">
        <v>0</v>
      </c>
      <c r="N24" s="40">
        <f t="shared" si="3"/>
        <v>0</v>
      </c>
      <c r="O24" s="38">
        <v>0</v>
      </c>
      <c r="P24" s="39">
        <v>0</v>
      </c>
      <c r="Q24" s="40">
        <v>0</v>
      </c>
      <c r="R24" s="40">
        <f t="shared" si="4"/>
        <v>0</v>
      </c>
      <c r="S24" s="38">
        <v>0</v>
      </c>
      <c r="T24" s="39">
        <v>0</v>
      </c>
      <c r="U24" s="40">
        <v>0</v>
      </c>
      <c r="V24" s="40">
        <f t="shared" si="5"/>
        <v>0</v>
      </c>
      <c r="W24" s="38">
        <v>0</v>
      </c>
      <c r="X24" s="39">
        <v>4</v>
      </c>
      <c r="Y24" s="40">
        <v>4</v>
      </c>
      <c r="Z24" s="40">
        <f t="shared" si="6"/>
        <v>0</v>
      </c>
      <c r="AA24" s="38">
        <v>0</v>
      </c>
      <c r="AB24" s="39">
        <v>1</v>
      </c>
      <c r="AC24" s="40">
        <v>1</v>
      </c>
      <c r="AD24" s="40">
        <f t="shared" si="7"/>
        <v>0</v>
      </c>
      <c r="AE24" s="38">
        <v>0</v>
      </c>
      <c r="AF24" s="39">
        <v>2</v>
      </c>
      <c r="AG24" s="40">
        <v>0</v>
      </c>
      <c r="AH24" s="40">
        <f t="shared" si="8"/>
        <v>2</v>
      </c>
      <c r="AI24" s="38">
        <v>0</v>
      </c>
      <c r="AJ24" s="39">
        <v>1</v>
      </c>
      <c r="AK24" s="40">
        <v>1</v>
      </c>
      <c r="AL24" s="40">
        <f t="shared" si="9"/>
        <v>0</v>
      </c>
      <c r="AM24" s="38">
        <v>0</v>
      </c>
      <c r="AN24" s="39">
        <v>1</v>
      </c>
      <c r="AO24" s="40">
        <v>1</v>
      </c>
      <c r="AP24" s="40">
        <f t="shared" si="10"/>
        <v>0</v>
      </c>
      <c r="AQ24" s="38">
        <v>0</v>
      </c>
      <c r="AR24" s="39">
        <v>0</v>
      </c>
      <c r="AS24" s="40">
        <v>0</v>
      </c>
      <c r="AT24" s="40">
        <f t="shared" si="11"/>
        <v>0</v>
      </c>
      <c r="AU24" s="38">
        <v>1</v>
      </c>
      <c r="AV24" s="39">
        <v>0</v>
      </c>
      <c r="AW24" s="40">
        <v>0</v>
      </c>
      <c r="AX24" s="40">
        <f t="shared" si="12"/>
        <v>0</v>
      </c>
      <c r="AY24" s="38">
        <v>0</v>
      </c>
      <c r="AZ24" s="39">
        <v>3</v>
      </c>
      <c r="BA24" s="40">
        <v>3</v>
      </c>
      <c r="BB24" s="40">
        <f t="shared" si="13"/>
        <v>0</v>
      </c>
      <c r="BC24" s="38">
        <v>0</v>
      </c>
      <c r="BD24" s="39">
        <v>0</v>
      </c>
      <c r="BE24" s="40">
        <v>0</v>
      </c>
      <c r="BF24" s="40">
        <f t="shared" si="14"/>
        <v>0</v>
      </c>
      <c r="BG24" s="38">
        <v>0</v>
      </c>
      <c r="BH24" s="39">
        <v>1</v>
      </c>
      <c r="BI24" s="40">
        <v>0</v>
      </c>
      <c r="BJ24" s="40">
        <f t="shared" si="15"/>
        <v>1</v>
      </c>
      <c r="BK24" s="38">
        <v>0</v>
      </c>
      <c r="BL24" s="39">
        <v>0</v>
      </c>
      <c r="BM24" s="40">
        <v>0</v>
      </c>
      <c r="BN24" s="40">
        <f t="shared" si="16"/>
        <v>0</v>
      </c>
      <c r="BO24" s="38">
        <v>0</v>
      </c>
      <c r="BP24" s="39">
        <v>1</v>
      </c>
      <c r="BQ24" s="40">
        <v>0</v>
      </c>
      <c r="BR24" s="40">
        <f t="shared" si="17"/>
        <v>1</v>
      </c>
      <c r="BS24" s="38">
        <v>0</v>
      </c>
      <c r="BT24" s="39">
        <f t="shared" si="18"/>
        <v>14</v>
      </c>
      <c r="BU24" s="40">
        <f t="shared" si="19"/>
        <v>4</v>
      </c>
      <c r="BV24" s="40">
        <f t="shared" si="20"/>
        <v>1</v>
      </c>
      <c r="BW24" s="40">
        <f t="shared" si="21"/>
        <v>0.77777777777777779</v>
      </c>
      <c r="BX24" s="40">
        <f t="shared" si="22"/>
        <v>0.93333333333333335</v>
      </c>
      <c r="BY24" s="38">
        <f t="shared" si="23"/>
        <v>0.84848484848484851</v>
      </c>
    </row>
    <row r="25" spans="1:84" ht="15" customHeight="1" x14ac:dyDescent="0.35">
      <c r="A25" s="63" t="s">
        <v>10</v>
      </c>
      <c r="B25" s="108"/>
      <c r="C25" s="41" t="s">
        <v>33</v>
      </c>
      <c r="D25" s="42">
        <v>1</v>
      </c>
      <c r="E25" s="43">
        <v>1</v>
      </c>
      <c r="F25" s="43">
        <f t="shared" si="1"/>
        <v>0</v>
      </c>
      <c r="G25" s="41">
        <v>0</v>
      </c>
      <c r="H25" s="42">
        <v>0</v>
      </c>
      <c r="I25" s="43">
        <v>0</v>
      </c>
      <c r="J25" s="43">
        <f t="shared" si="2"/>
        <v>0</v>
      </c>
      <c r="K25" s="41">
        <v>0</v>
      </c>
      <c r="L25" s="42">
        <v>0</v>
      </c>
      <c r="M25" s="43">
        <v>0</v>
      </c>
      <c r="N25" s="43">
        <f t="shared" si="3"/>
        <v>0</v>
      </c>
      <c r="O25" s="41">
        <v>0</v>
      </c>
      <c r="P25" s="42">
        <v>0</v>
      </c>
      <c r="Q25" s="43">
        <v>0</v>
      </c>
      <c r="R25" s="43">
        <f t="shared" si="4"/>
        <v>0</v>
      </c>
      <c r="S25" s="41">
        <v>0</v>
      </c>
      <c r="T25" s="42">
        <v>0</v>
      </c>
      <c r="U25" s="43">
        <v>0</v>
      </c>
      <c r="V25" s="43">
        <f t="shared" si="5"/>
        <v>0</v>
      </c>
      <c r="W25" s="41">
        <v>0</v>
      </c>
      <c r="X25" s="42">
        <v>2</v>
      </c>
      <c r="Y25" s="43">
        <v>2</v>
      </c>
      <c r="Z25" s="43">
        <f t="shared" si="6"/>
        <v>0</v>
      </c>
      <c r="AA25" s="41">
        <v>0</v>
      </c>
      <c r="AB25" s="42">
        <v>0</v>
      </c>
      <c r="AC25" s="43">
        <v>0</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0</v>
      </c>
      <c r="AS25" s="43">
        <v>0</v>
      </c>
      <c r="AT25" s="43">
        <f t="shared" si="11"/>
        <v>0</v>
      </c>
      <c r="AU25" s="41">
        <v>0</v>
      </c>
      <c r="AV25" s="42">
        <v>0</v>
      </c>
      <c r="AW25" s="43">
        <v>0</v>
      </c>
      <c r="AX25" s="43">
        <f t="shared" si="12"/>
        <v>0</v>
      </c>
      <c r="AY25" s="41">
        <v>0</v>
      </c>
      <c r="AZ25" s="42">
        <v>0</v>
      </c>
      <c r="BA25" s="43">
        <v>0</v>
      </c>
      <c r="BB25" s="43">
        <f t="shared" si="13"/>
        <v>0</v>
      </c>
      <c r="BC25" s="41">
        <v>0</v>
      </c>
      <c r="BD25" s="42">
        <v>2</v>
      </c>
      <c r="BE25" s="43">
        <v>2</v>
      </c>
      <c r="BF25" s="43">
        <f t="shared" si="14"/>
        <v>0</v>
      </c>
      <c r="BG25" s="41">
        <v>0</v>
      </c>
      <c r="BH25" s="42">
        <v>0</v>
      </c>
      <c r="BI25" s="43">
        <v>0</v>
      </c>
      <c r="BJ25" s="43">
        <f t="shared" si="15"/>
        <v>0</v>
      </c>
      <c r="BK25" s="41">
        <v>0</v>
      </c>
      <c r="BL25" s="42">
        <v>0</v>
      </c>
      <c r="BM25" s="43">
        <v>0</v>
      </c>
      <c r="BN25" s="43">
        <f t="shared" si="16"/>
        <v>0</v>
      </c>
      <c r="BO25" s="41">
        <v>0</v>
      </c>
      <c r="BP25" s="42">
        <v>0</v>
      </c>
      <c r="BQ25" s="43">
        <v>0</v>
      </c>
      <c r="BR25" s="43">
        <f t="shared" si="17"/>
        <v>0</v>
      </c>
      <c r="BS25" s="41">
        <v>0</v>
      </c>
      <c r="BT25" s="42">
        <f t="shared" si="18"/>
        <v>7</v>
      </c>
      <c r="BU25" s="43">
        <f t="shared" si="19"/>
        <v>0</v>
      </c>
      <c r="BV25" s="43">
        <f t="shared" si="20"/>
        <v>0</v>
      </c>
      <c r="BW25" s="43">
        <f t="shared" si="21"/>
        <v>1</v>
      </c>
      <c r="BX25" s="43">
        <f t="shared" si="22"/>
        <v>1</v>
      </c>
      <c r="BY25" s="41">
        <f t="shared" si="23"/>
        <v>1</v>
      </c>
    </row>
    <row r="26" spans="1:84" x14ac:dyDescent="0.35">
      <c r="A26" s="63" t="s">
        <v>10</v>
      </c>
      <c r="B26" s="108"/>
      <c r="C26" s="41" t="s">
        <v>34</v>
      </c>
      <c r="D26" s="42">
        <v>1</v>
      </c>
      <c r="E26" s="43">
        <v>1</v>
      </c>
      <c r="F26" s="43">
        <f t="shared" si="1"/>
        <v>0</v>
      </c>
      <c r="G26" s="41">
        <v>0</v>
      </c>
      <c r="H26" s="42">
        <v>0</v>
      </c>
      <c r="I26" s="43">
        <v>0</v>
      </c>
      <c r="J26" s="43">
        <f t="shared" si="2"/>
        <v>0</v>
      </c>
      <c r="K26" s="41">
        <v>0</v>
      </c>
      <c r="L26" s="42">
        <v>0</v>
      </c>
      <c r="M26" s="43">
        <v>0</v>
      </c>
      <c r="N26" s="43">
        <f t="shared" si="3"/>
        <v>0</v>
      </c>
      <c r="O26" s="41">
        <v>0</v>
      </c>
      <c r="P26" s="42">
        <v>0</v>
      </c>
      <c r="Q26" s="43">
        <v>0</v>
      </c>
      <c r="R26" s="43">
        <f t="shared" si="4"/>
        <v>0</v>
      </c>
      <c r="S26" s="41">
        <v>0</v>
      </c>
      <c r="T26" s="42">
        <v>0</v>
      </c>
      <c r="U26" s="43">
        <v>0</v>
      </c>
      <c r="V26" s="43">
        <f t="shared" si="5"/>
        <v>0</v>
      </c>
      <c r="W26" s="41">
        <v>0</v>
      </c>
      <c r="X26" s="42">
        <v>2</v>
      </c>
      <c r="Y26" s="43">
        <v>2</v>
      </c>
      <c r="Z26" s="43">
        <f t="shared" si="6"/>
        <v>0</v>
      </c>
      <c r="AA26" s="41">
        <v>0</v>
      </c>
      <c r="AB26" s="42">
        <v>0</v>
      </c>
      <c r="AC26" s="43">
        <v>0</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0</v>
      </c>
      <c r="AS26" s="43">
        <v>0</v>
      </c>
      <c r="AT26" s="43">
        <f t="shared" si="11"/>
        <v>0</v>
      </c>
      <c r="AU26" s="41">
        <v>0</v>
      </c>
      <c r="AV26" s="42">
        <v>0</v>
      </c>
      <c r="AW26" s="43">
        <v>0</v>
      </c>
      <c r="AX26" s="43">
        <f t="shared" si="12"/>
        <v>0</v>
      </c>
      <c r="AY26" s="41">
        <v>0</v>
      </c>
      <c r="AZ26" s="42">
        <v>0</v>
      </c>
      <c r="BA26" s="43">
        <v>0</v>
      </c>
      <c r="BB26" s="43">
        <f t="shared" si="13"/>
        <v>0</v>
      </c>
      <c r="BC26" s="41">
        <v>0</v>
      </c>
      <c r="BD26" s="42">
        <v>2</v>
      </c>
      <c r="BE26" s="43">
        <v>1</v>
      </c>
      <c r="BF26" s="43">
        <f t="shared" si="14"/>
        <v>1</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6</v>
      </c>
      <c r="BU26" s="43">
        <f t="shared" si="19"/>
        <v>1</v>
      </c>
      <c r="BV26" s="43">
        <f t="shared" si="20"/>
        <v>0</v>
      </c>
      <c r="BW26" s="43">
        <f t="shared" si="21"/>
        <v>0.8571428571428571</v>
      </c>
      <c r="BX26" s="43">
        <f t="shared" si="22"/>
        <v>1</v>
      </c>
      <c r="BY26" s="41">
        <f t="shared" si="23"/>
        <v>0.92307692307692302</v>
      </c>
    </row>
    <row r="27" spans="1:84" x14ac:dyDescent="0.35">
      <c r="A27" s="47" t="s">
        <v>10</v>
      </c>
      <c r="B27" s="108"/>
      <c r="C27" s="44" t="s">
        <v>35</v>
      </c>
      <c r="D27" s="45">
        <v>2</v>
      </c>
      <c r="E27" s="46">
        <v>2</v>
      </c>
      <c r="F27" s="46">
        <f t="shared" si="1"/>
        <v>0</v>
      </c>
      <c r="G27" s="44">
        <v>0</v>
      </c>
      <c r="H27" s="45">
        <v>2</v>
      </c>
      <c r="I27" s="46">
        <v>0</v>
      </c>
      <c r="J27" s="46">
        <f t="shared" si="2"/>
        <v>2</v>
      </c>
      <c r="K27" s="44">
        <v>0</v>
      </c>
      <c r="L27" s="45">
        <v>2</v>
      </c>
      <c r="M27" s="46">
        <v>0</v>
      </c>
      <c r="N27" s="46">
        <f t="shared" si="3"/>
        <v>2</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3</v>
      </c>
      <c r="AG27" s="46">
        <v>0</v>
      </c>
      <c r="AH27" s="46">
        <f t="shared" si="8"/>
        <v>3</v>
      </c>
      <c r="AI27" s="44">
        <v>0</v>
      </c>
      <c r="AJ27" s="45">
        <v>0</v>
      </c>
      <c r="AK27" s="46">
        <v>0</v>
      </c>
      <c r="AL27" s="46">
        <f t="shared" si="9"/>
        <v>0</v>
      </c>
      <c r="AM27" s="44">
        <v>0</v>
      </c>
      <c r="AN27" s="45">
        <v>0</v>
      </c>
      <c r="AO27" s="46">
        <v>0</v>
      </c>
      <c r="AP27" s="46">
        <f t="shared" si="10"/>
        <v>0</v>
      </c>
      <c r="AQ27" s="44">
        <v>0</v>
      </c>
      <c r="AR27" s="45">
        <v>0</v>
      </c>
      <c r="AS27" s="46">
        <v>0</v>
      </c>
      <c r="AT27" s="46">
        <f t="shared" si="11"/>
        <v>0</v>
      </c>
      <c r="AU27" s="44">
        <v>0</v>
      </c>
      <c r="AV27" s="45">
        <v>1</v>
      </c>
      <c r="AW27" s="46">
        <v>0</v>
      </c>
      <c r="AX27" s="46">
        <f t="shared" si="12"/>
        <v>1</v>
      </c>
      <c r="AY27" s="44">
        <v>2</v>
      </c>
      <c r="AZ27" s="45">
        <v>1</v>
      </c>
      <c r="BA27" s="46">
        <v>1</v>
      </c>
      <c r="BB27" s="46">
        <f t="shared" si="13"/>
        <v>0</v>
      </c>
      <c r="BC27" s="44">
        <v>1</v>
      </c>
      <c r="BD27" s="45">
        <v>0</v>
      </c>
      <c r="BE27" s="46">
        <v>0</v>
      </c>
      <c r="BF27" s="46">
        <f t="shared" si="14"/>
        <v>0</v>
      </c>
      <c r="BG27" s="44">
        <v>0</v>
      </c>
      <c r="BH27" s="45">
        <v>0</v>
      </c>
      <c r="BI27" s="46">
        <v>0</v>
      </c>
      <c r="BJ27" s="46">
        <f t="shared" si="15"/>
        <v>0</v>
      </c>
      <c r="BK27" s="44">
        <v>0</v>
      </c>
      <c r="BL27" s="45">
        <v>1</v>
      </c>
      <c r="BM27" s="46">
        <v>1</v>
      </c>
      <c r="BN27" s="46">
        <f t="shared" si="16"/>
        <v>0</v>
      </c>
      <c r="BO27" s="44">
        <v>0</v>
      </c>
      <c r="BP27" s="45">
        <v>0</v>
      </c>
      <c r="BQ27" s="46">
        <v>0</v>
      </c>
      <c r="BR27" s="46">
        <f t="shared" si="17"/>
        <v>0</v>
      </c>
      <c r="BS27" s="44">
        <v>0</v>
      </c>
      <c r="BT27" s="45">
        <f t="shared" si="18"/>
        <v>9</v>
      </c>
      <c r="BU27" s="46">
        <f t="shared" si="19"/>
        <v>8</v>
      </c>
      <c r="BV27" s="46">
        <f t="shared" si="20"/>
        <v>3</v>
      </c>
      <c r="BW27" s="46">
        <f t="shared" si="21"/>
        <v>0.52941176470588236</v>
      </c>
      <c r="BX27" s="46">
        <f t="shared" si="22"/>
        <v>0.75</v>
      </c>
      <c r="BY27" s="44">
        <f t="shared" si="23"/>
        <v>0.62068965517241392</v>
      </c>
    </row>
    <row r="28" spans="1:84" x14ac:dyDescent="0.35">
      <c r="A28" s="47" t="s">
        <v>10</v>
      </c>
      <c r="B28" s="108"/>
      <c r="C28" s="44" t="s">
        <v>36</v>
      </c>
      <c r="D28" s="45">
        <v>2</v>
      </c>
      <c r="E28" s="46">
        <v>2</v>
      </c>
      <c r="F28" s="46">
        <f t="shared" si="1"/>
        <v>0</v>
      </c>
      <c r="G28" s="44">
        <v>0</v>
      </c>
      <c r="H28" s="45">
        <v>2</v>
      </c>
      <c r="I28" s="46">
        <v>2</v>
      </c>
      <c r="J28" s="46">
        <f t="shared" si="2"/>
        <v>0</v>
      </c>
      <c r="K28" s="44">
        <v>0</v>
      </c>
      <c r="L28" s="45">
        <v>2</v>
      </c>
      <c r="M28" s="46">
        <v>2</v>
      </c>
      <c r="N28" s="46">
        <f t="shared" si="3"/>
        <v>0</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3</v>
      </c>
      <c r="AG28" s="46">
        <v>3</v>
      </c>
      <c r="AH28" s="46">
        <f t="shared" si="8"/>
        <v>0</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1</v>
      </c>
      <c r="AW28" s="46">
        <v>0</v>
      </c>
      <c r="AX28" s="46">
        <f t="shared" si="12"/>
        <v>1</v>
      </c>
      <c r="AY28" s="44">
        <v>1</v>
      </c>
      <c r="AZ28" s="45">
        <v>1</v>
      </c>
      <c r="BA28" s="46">
        <v>1</v>
      </c>
      <c r="BB28" s="46">
        <f t="shared" si="13"/>
        <v>0</v>
      </c>
      <c r="BC28" s="44">
        <v>1</v>
      </c>
      <c r="BD28" s="45">
        <v>0</v>
      </c>
      <c r="BE28" s="46">
        <v>0</v>
      </c>
      <c r="BF28" s="46">
        <f t="shared" si="14"/>
        <v>0</v>
      </c>
      <c r="BG28" s="44">
        <v>0</v>
      </c>
      <c r="BH28" s="45">
        <v>0</v>
      </c>
      <c r="BI28" s="46">
        <v>0</v>
      </c>
      <c r="BJ28" s="46">
        <f t="shared" si="15"/>
        <v>0</v>
      </c>
      <c r="BK28" s="44">
        <v>0</v>
      </c>
      <c r="BL28" s="45">
        <v>1</v>
      </c>
      <c r="BM28" s="46">
        <v>0</v>
      </c>
      <c r="BN28" s="46">
        <f t="shared" si="16"/>
        <v>1</v>
      </c>
      <c r="BO28" s="44">
        <v>0</v>
      </c>
      <c r="BP28" s="45">
        <v>0</v>
      </c>
      <c r="BQ28" s="46">
        <v>0</v>
      </c>
      <c r="BR28" s="46">
        <f t="shared" si="17"/>
        <v>0</v>
      </c>
      <c r="BS28" s="44">
        <v>1</v>
      </c>
      <c r="BT28" s="45">
        <f t="shared" si="18"/>
        <v>15</v>
      </c>
      <c r="BU28" s="46">
        <f t="shared" si="19"/>
        <v>2</v>
      </c>
      <c r="BV28" s="46">
        <f t="shared" si="20"/>
        <v>3</v>
      </c>
      <c r="BW28" s="46">
        <f t="shared" si="21"/>
        <v>0.88235294117647056</v>
      </c>
      <c r="BX28" s="46">
        <f t="shared" si="22"/>
        <v>0.83333333333333337</v>
      </c>
      <c r="BY28" s="44">
        <f t="shared" si="23"/>
        <v>0.8571428571428571</v>
      </c>
    </row>
    <row r="29" spans="1:84" x14ac:dyDescent="0.35">
      <c r="A29" s="64" t="s">
        <v>10</v>
      </c>
      <c r="B29" s="108"/>
      <c r="C29" s="48" t="s">
        <v>37</v>
      </c>
      <c r="D29" s="49">
        <v>1</v>
      </c>
      <c r="E29" s="50">
        <v>1</v>
      </c>
      <c r="F29" s="50">
        <f t="shared" si="1"/>
        <v>0</v>
      </c>
      <c r="G29" s="48">
        <v>0</v>
      </c>
      <c r="H29" s="49">
        <v>0</v>
      </c>
      <c r="I29" s="50">
        <v>0</v>
      </c>
      <c r="J29" s="50">
        <f t="shared" si="2"/>
        <v>0</v>
      </c>
      <c r="K29" s="48">
        <v>0</v>
      </c>
      <c r="L29" s="49">
        <v>0</v>
      </c>
      <c r="M29" s="50">
        <v>0</v>
      </c>
      <c r="N29" s="50">
        <f t="shared" si="3"/>
        <v>0</v>
      </c>
      <c r="O29" s="48">
        <v>0</v>
      </c>
      <c r="P29" s="49">
        <v>4</v>
      </c>
      <c r="Q29" s="50">
        <v>4</v>
      </c>
      <c r="R29" s="50">
        <f t="shared" si="4"/>
        <v>0</v>
      </c>
      <c r="S29" s="48">
        <v>0</v>
      </c>
      <c r="T29" s="49">
        <v>3</v>
      </c>
      <c r="U29" s="50">
        <v>3</v>
      </c>
      <c r="V29" s="50">
        <f t="shared" si="5"/>
        <v>0</v>
      </c>
      <c r="W29" s="48">
        <v>0</v>
      </c>
      <c r="X29" s="49">
        <v>1</v>
      </c>
      <c r="Y29" s="50">
        <v>1</v>
      </c>
      <c r="Z29" s="50">
        <f t="shared" si="6"/>
        <v>0</v>
      </c>
      <c r="AA29" s="48">
        <v>0</v>
      </c>
      <c r="AB29" s="49">
        <v>0</v>
      </c>
      <c r="AC29" s="50">
        <v>0</v>
      </c>
      <c r="AD29" s="50">
        <f t="shared" si="7"/>
        <v>0</v>
      </c>
      <c r="AE29" s="48">
        <v>1</v>
      </c>
      <c r="AF29" s="49">
        <v>1</v>
      </c>
      <c r="AG29" s="50">
        <v>0</v>
      </c>
      <c r="AH29" s="50">
        <f t="shared" si="8"/>
        <v>1</v>
      </c>
      <c r="AI29" s="48">
        <v>0</v>
      </c>
      <c r="AJ29" s="49">
        <v>0</v>
      </c>
      <c r="AK29" s="50">
        <v>0</v>
      </c>
      <c r="AL29" s="50">
        <f t="shared" si="9"/>
        <v>0</v>
      </c>
      <c r="AM29" s="48">
        <v>0</v>
      </c>
      <c r="AN29" s="49">
        <v>0</v>
      </c>
      <c r="AO29" s="50">
        <v>0</v>
      </c>
      <c r="AP29" s="50">
        <f t="shared" si="10"/>
        <v>0</v>
      </c>
      <c r="AQ29" s="48">
        <v>0</v>
      </c>
      <c r="AR29" s="49">
        <v>0</v>
      </c>
      <c r="AS29" s="50">
        <v>0</v>
      </c>
      <c r="AT29" s="50">
        <f t="shared" si="11"/>
        <v>0</v>
      </c>
      <c r="AU29" s="48">
        <v>0</v>
      </c>
      <c r="AV29" s="49">
        <v>0</v>
      </c>
      <c r="AW29" s="50">
        <v>0</v>
      </c>
      <c r="AX29" s="50">
        <f t="shared" si="12"/>
        <v>0</v>
      </c>
      <c r="AY29" s="48">
        <v>0</v>
      </c>
      <c r="AZ29" s="49">
        <v>0</v>
      </c>
      <c r="BA29" s="50">
        <v>0</v>
      </c>
      <c r="BB29" s="50">
        <f t="shared" si="13"/>
        <v>0</v>
      </c>
      <c r="BC29" s="48">
        <v>0</v>
      </c>
      <c r="BD29" s="49">
        <v>0</v>
      </c>
      <c r="BE29" s="50">
        <v>0</v>
      </c>
      <c r="BF29" s="50">
        <f t="shared" si="14"/>
        <v>0</v>
      </c>
      <c r="BG29" s="48">
        <v>0</v>
      </c>
      <c r="BH29" s="49">
        <v>0</v>
      </c>
      <c r="BI29" s="50">
        <v>0</v>
      </c>
      <c r="BJ29" s="50">
        <f t="shared" si="15"/>
        <v>0</v>
      </c>
      <c r="BK29" s="48">
        <v>0</v>
      </c>
      <c r="BL29" s="49">
        <v>0</v>
      </c>
      <c r="BM29" s="50">
        <v>0</v>
      </c>
      <c r="BN29" s="50">
        <f t="shared" si="16"/>
        <v>0</v>
      </c>
      <c r="BO29" s="48">
        <v>0</v>
      </c>
      <c r="BP29" s="49">
        <v>0</v>
      </c>
      <c r="BQ29" s="50">
        <v>0</v>
      </c>
      <c r="BR29" s="50">
        <f t="shared" si="17"/>
        <v>0</v>
      </c>
      <c r="BS29" s="48">
        <v>0</v>
      </c>
      <c r="BT29" s="49">
        <f t="shared" si="18"/>
        <v>9</v>
      </c>
      <c r="BU29" s="50">
        <f t="shared" si="19"/>
        <v>1</v>
      </c>
      <c r="BV29" s="50">
        <f t="shared" si="20"/>
        <v>1</v>
      </c>
      <c r="BW29" s="50">
        <f t="shared" si="21"/>
        <v>0.9</v>
      </c>
      <c r="BX29" s="50">
        <f t="shared" si="22"/>
        <v>0.9</v>
      </c>
      <c r="BY29" s="48">
        <f t="shared" si="23"/>
        <v>0.9</v>
      </c>
    </row>
    <row r="30" spans="1:84" ht="15" thickBot="1" x14ac:dyDescent="0.4">
      <c r="A30" s="50" t="s">
        <v>10</v>
      </c>
      <c r="B30" s="108"/>
      <c r="C30" s="72" t="s">
        <v>38</v>
      </c>
      <c r="D30" s="73">
        <v>1</v>
      </c>
      <c r="E30" s="74">
        <v>1</v>
      </c>
      <c r="F30" s="74">
        <f t="shared" si="1"/>
        <v>0</v>
      </c>
      <c r="G30" s="72">
        <v>0</v>
      </c>
      <c r="H30" s="73">
        <v>0</v>
      </c>
      <c r="I30" s="74">
        <v>0</v>
      </c>
      <c r="J30" s="74">
        <f t="shared" si="2"/>
        <v>0</v>
      </c>
      <c r="K30" s="72">
        <v>0</v>
      </c>
      <c r="L30" s="73">
        <v>0</v>
      </c>
      <c r="M30" s="74">
        <v>0</v>
      </c>
      <c r="N30" s="74">
        <f t="shared" si="3"/>
        <v>0</v>
      </c>
      <c r="O30" s="72">
        <v>0</v>
      </c>
      <c r="P30" s="73">
        <v>4</v>
      </c>
      <c r="Q30" s="74">
        <v>4</v>
      </c>
      <c r="R30" s="74">
        <f t="shared" si="4"/>
        <v>0</v>
      </c>
      <c r="S30" s="72">
        <v>0</v>
      </c>
      <c r="T30" s="73">
        <v>3</v>
      </c>
      <c r="U30" s="74">
        <v>3</v>
      </c>
      <c r="V30" s="74">
        <f t="shared" si="5"/>
        <v>0</v>
      </c>
      <c r="W30" s="72">
        <v>0</v>
      </c>
      <c r="X30" s="73">
        <v>1</v>
      </c>
      <c r="Y30" s="74">
        <v>1</v>
      </c>
      <c r="Z30" s="74">
        <f t="shared" si="6"/>
        <v>0</v>
      </c>
      <c r="AA30" s="72">
        <v>0</v>
      </c>
      <c r="AB30" s="73">
        <v>0</v>
      </c>
      <c r="AC30" s="74">
        <v>0</v>
      </c>
      <c r="AD30" s="74">
        <v>0</v>
      </c>
      <c r="AE30" s="72">
        <v>0</v>
      </c>
      <c r="AF30" s="73">
        <v>1</v>
      </c>
      <c r="AG30" s="74">
        <v>0</v>
      </c>
      <c r="AH30" s="74">
        <f t="shared" si="8"/>
        <v>1</v>
      </c>
      <c r="AI30" s="72">
        <v>0</v>
      </c>
      <c r="AJ30" s="73">
        <v>0</v>
      </c>
      <c r="AK30" s="74">
        <v>0</v>
      </c>
      <c r="AL30" s="74">
        <f t="shared" si="9"/>
        <v>0</v>
      </c>
      <c r="AM30" s="72">
        <v>0</v>
      </c>
      <c r="AN30" s="73">
        <v>0</v>
      </c>
      <c r="AO30" s="74">
        <v>0</v>
      </c>
      <c r="AP30" s="74">
        <f t="shared" si="10"/>
        <v>0</v>
      </c>
      <c r="AQ30" s="72">
        <v>0</v>
      </c>
      <c r="AR30" s="73">
        <v>0</v>
      </c>
      <c r="AS30" s="74">
        <v>0</v>
      </c>
      <c r="AT30" s="74">
        <f t="shared" si="11"/>
        <v>0</v>
      </c>
      <c r="AU30" s="72">
        <v>0</v>
      </c>
      <c r="AV30" s="73">
        <v>0</v>
      </c>
      <c r="AW30" s="74">
        <v>0</v>
      </c>
      <c r="AX30" s="74">
        <f t="shared" si="12"/>
        <v>0</v>
      </c>
      <c r="AY30" s="72">
        <v>0</v>
      </c>
      <c r="AZ30" s="73">
        <v>0</v>
      </c>
      <c r="BA30" s="74">
        <v>0</v>
      </c>
      <c r="BB30" s="74">
        <f t="shared" si="13"/>
        <v>0</v>
      </c>
      <c r="BC30" s="72">
        <v>0</v>
      </c>
      <c r="BD30" s="73">
        <v>0</v>
      </c>
      <c r="BE30" s="74">
        <v>0</v>
      </c>
      <c r="BF30" s="74">
        <f t="shared" si="14"/>
        <v>0</v>
      </c>
      <c r="BG30" s="72">
        <v>0</v>
      </c>
      <c r="BH30" s="73">
        <v>0</v>
      </c>
      <c r="BI30" s="74">
        <v>0</v>
      </c>
      <c r="BJ30" s="74">
        <f t="shared" si="15"/>
        <v>0</v>
      </c>
      <c r="BK30" s="72">
        <v>0</v>
      </c>
      <c r="BL30" s="73">
        <v>0</v>
      </c>
      <c r="BM30" s="74">
        <v>0</v>
      </c>
      <c r="BN30" s="74">
        <f t="shared" si="16"/>
        <v>0</v>
      </c>
      <c r="BO30" s="72">
        <v>0</v>
      </c>
      <c r="BP30" s="73">
        <v>0</v>
      </c>
      <c r="BQ30" s="74">
        <v>0</v>
      </c>
      <c r="BR30" s="74">
        <f t="shared" si="17"/>
        <v>0</v>
      </c>
      <c r="BS30" s="72">
        <v>0</v>
      </c>
      <c r="BT30" s="73">
        <f t="shared" si="18"/>
        <v>9</v>
      </c>
      <c r="BU30" s="74">
        <f t="shared" si="19"/>
        <v>1</v>
      </c>
      <c r="BV30" s="74">
        <f t="shared" si="20"/>
        <v>0</v>
      </c>
      <c r="BW30" s="74">
        <f t="shared" si="21"/>
        <v>0.9</v>
      </c>
      <c r="BX30" s="74">
        <f t="shared" si="22"/>
        <v>1</v>
      </c>
      <c r="BY30" s="72">
        <f t="shared" si="23"/>
        <v>0.94736842105263164</v>
      </c>
    </row>
    <row r="31" spans="1:84" ht="15" thickTop="1" x14ac:dyDescent="0.35">
      <c r="C31" s="4" t="s">
        <v>88</v>
      </c>
      <c r="D31" s="51">
        <f>SUM(D3:D30)</f>
        <v>74</v>
      </c>
      <c r="E31" s="51">
        <f t="shared" ref="E31:BP31" si="38">SUM(E3:E30)</f>
        <v>74</v>
      </c>
      <c r="F31" s="51">
        <f t="shared" si="38"/>
        <v>0</v>
      </c>
      <c r="G31" s="51">
        <f t="shared" si="38"/>
        <v>0</v>
      </c>
      <c r="H31" s="51">
        <f t="shared" si="38"/>
        <v>8</v>
      </c>
      <c r="I31" s="51">
        <f t="shared" si="38"/>
        <v>4</v>
      </c>
      <c r="J31" s="51">
        <f t="shared" si="38"/>
        <v>4</v>
      </c>
      <c r="K31" s="51">
        <f t="shared" si="38"/>
        <v>0</v>
      </c>
      <c r="L31" s="51">
        <f t="shared" si="38"/>
        <v>20</v>
      </c>
      <c r="M31" s="51">
        <f t="shared" si="38"/>
        <v>12</v>
      </c>
      <c r="N31" s="51">
        <f t="shared" si="38"/>
        <v>8</v>
      </c>
      <c r="O31" s="51">
        <f t="shared" si="38"/>
        <v>0</v>
      </c>
      <c r="P31" s="51">
        <f t="shared" si="38"/>
        <v>100</v>
      </c>
      <c r="Q31" s="51">
        <f t="shared" si="38"/>
        <v>100</v>
      </c>
      <c r="R31" s="51">
        <f t="shared" si="38"/>
        <v>0</v>
      </c>
      <c r="S31" s="51">
        <f t="shared" si="38"/>
        <v>5</v>
      </c>
      <c r="T31" s="51">
        <f t="shared" si="38"/>
        <v>14</v>
      </c>
      <c r="U31" s="51">
        <f t="shared" si="38"/>
        <v>10</v>
      </c>
      <c r="V31" s="51">
        <f t="shared" si="38"/>
        <v>4</v>
      </c>
      <c r="W31" s="51">
        <f t="shared" si="38"/>
        <v>6</v>
      </c>
      <c r="X31" s="51">
        <f t="shared" si="38"/>
        <v>34</v>
      </c>
      <c r="Y31" s="51">
        <f t="shared" si="38"/>
        <v>34</v>
      </c>
      <c r="Z31" s="51">
        <f t="shared" si="38"/>
        <v>0</v>
      </c>
      <c r="AA31" s="51">
        <f t="shared" si="38"/>
        <v>1</v>
      </c>
      <c r="AB31" s="51">
        <f t="shared" si="38"/>
        <v>16</v>
      </c>
      <c r="AC31" s="51">
        <f t="shared" si="38"/>
        <v>16</v>
      </c>
      <c r="AD31" s="51">
        <f t="shared" si="38"/>
        <v>0</v>
      </c>
      <c r="AE31" s="51">
        <f t="shared" si="38"/>
        <v>1</v>
      </c>
      <c r="AF31" s="51">
        <f t="shared" si="38"/>
        <v>36</v>
      </c>
      <c r="AG31" s="51">
        <f t="shared" si="38"/>
        <v>11</v>
      </c>
      <c r="AH31" s="51">
        <f t="shared" si="38"/>
        <v>25</v>
      </c>
      <c r="AI31" s="51">
        <f t="shared" si="38"/>
        <v>0</v>
      </c>
      <c r="AJ31" s="51">
        <f t="shared" si="38"/>
        <v>22</v>
      </c>
      <c r="AK31" s="51">
        <f t="shared" si="38"/>
        <v>22</v>
      </c>
      <c r="AL31" s="51">
        <f t="shared" si="38"/>
        <v>0</v>
      </c>
      <c r="AM31" s="51">
        <f t="shared" si="38"/>
        <v>1</v>
      </c>
      <c r="AN31" s="51">
        <f t="shared" si="38"/>
        <v>2</v>
      </c>
      <c r="AO31" s="51">
        <f t="shared" si="38"/>
        <v>2</v>
      </c>
      <c r="AP31" s="51">
        <f t="shared" si="38"/>
        <v>0</v>
      </c>
      <c r="AQ31" s="51">
        <f t="shared" si="38"/>
        <v>5</v>
      </c>
      <c r="AR31" s="51">
        <f t="shared" si="38"/>
        <v>8</v>
      </c>
      <c r="AS31" s="51">
        <f t="shared" si="38"/>
        <v>0</v>
      </c>
      <c r="AT31" s="51">
        <f t="shared" si="38"/>
        <v>8</v>
      </c>
      <c r="AU31" s="51">
        <f t="shared" si="38"/>
        <v>3</v>
      </c>
      <c r="AV31" s="51">
        <f t="shared" si="38"/>
        <v>4</v>
      </c>
      <c r="AW31" s="51">
        <f t="shared" si="38"/>
        <v>2</v>
      </c>
      <c r="AX31" s="51">
        <f t="shared" si="38"/>
        <v>2</v>
      </c>
      <c r="AY31" s="51">
        <f t="shared" si="38"/>
        <v>13</v>
      </c>
      <c r="AZ31" s="51">
        <f t="shared" si="38"/>
        <v>46</v>
      </c>
      <c r="BA31" s="51">
        <f t="shared" si="38"/>
        <v>45</v>
      </c>
      <c r="BB31" s="51">
        <f t="shared" si="38"/>
        <v>1</v>
      </c>
      <c r="BC31" s="51">
        <f t="shared" si="38"/>
        <v>3</v>
      </c>
      <c r="BD31" s="51">
        <f t="shared" si="38"/>
        <v>6</v>
      </c>
      <c r="BE31" s="51">
        <f t="shared" si="38"/>
        <v>3</v>
      </c>
      <c r="BF31" s="51">
        <f t="shared" si="38"/>
        <v>3</v>
      </c>
      <c r="BG31" s="51">
        <f t="shared" si="38"/>
        <v>0</v>
      </c>
      <c r="BH31" s="51">
        <f t="shared" si="38"/>
        <v>4</v>
      </c>
      <c r="BI31" s="51">
        <f t="shared" si="38"/>
        <v>1</v>
      </c>
      <c r="BJ31" s="51">
        <f t="shared" si="38"/>
        <v>3</v>
      </c>
      <c r="BK31" s="51">
        <f t="shared" si="38"/>
        <v>0</v>
      </c>
      <c r="BL31" s="51">
        <f t="shared" si="38"/>
        <v>12</v>
      </c>
      <c r="BM31" s="51">
        <f t="shared" si="38"/>
        <v>1</v>
      </c>
      <c r="BN31" s="51">
        <f t="shared" si="38"/>
        <v>11</v>
      </c>
      <c r="BO31" s="51">
        <f t="shared" si="38"/>
        <v>0</v>
      </c>
      <c r="BP31" s="51">
        <f t="shared" si="38"/>
        <v>10</v>
      </c>
      <c r="BQ31" s="51">
        <f t="shared" ref="BQ31:BS31" si="39">SUM(BQ3:BQ30)</f>
        <v>5</v>
      </c>
      <c r="BR31" s="51">
        <f t="shared" si="39"/>
        <v>5</v>
      </c>
      <c r="BS31" s="51">
        <f t="shared" si="39"/>
        <v>1</v>
      </c>
    </row>
    <row r="33" spans="3:71" x14ac:dyDescent="0.35">
      <c r="C33" s="76" t="s">
        <v>7</v>
      </c>
      <c r="D33" s="112">
        <f>IFERROR(E31/(E31+F31),"")</f>
        <v>1</v>
      </c>
      <c r="E33" s="113"/>
      <c r="F33" s="113"/>
      <c r="G33" s="114"/>
      <c r="H33" s="112">
        <f t="shared" ref="H33" si="40">IFERROR(I31/(I31+J31),"")</f>
        <v>0.5</v>
      </c>
      <c r="I33" s="113"/>
      <c r="J33" s="113"/>
      <c r="K33" s="114"/>
      <c r="L33" s="112">
        <f t="shared" ref="L33" si="41">IFERROR(M31/(M31+N31),"")</f>
        <v>0.6</v>
      </c>
      <c r="M33" s="113"/>
      <c r="N33" s="113"/>
      <c r="O33" s="114"/>
      <c r="P33" s="112">
        <f t="shared" ref="P33" si="42">IFERROR(Q31/(Q31+R31),"")</f>
        <v>1</v>
      </c>
      <c r="Q33" s="113"/>
      <c r="R33" s="113"/>
      <c r="S33" s="114"/>
      <c r="T33" s="112">
        <f t="shared" ref="T33" si="43">IFERROR(U31/(U31+V31),"")</f>
        <v>0.7142857142857143</v>
      </c>
      <c r="U33" s="113"/>
      <c r="V33" s="113"/>
      <c r="W33" s="114"/>
      <c r="X33" s="112">
        <f t="shared" ref="X33" si="44">IFERROR(Y31/(Y31+Z31),"")</f>
        <v>1</v>
      </c>
      <c r="Y33" s="113"/>
      <c r="Z33" s="113"/>
      <c r="AA33" s="114"/>
      <c r="AB33" s="112">
        <f t="shared" ref="AB33" si="45">IFERROR(AC31/(AC31+AD31),"")</f>
        <v>1</v>
      </c>
      <c r="AC33" s="113"/>
      <c r="AD33" s="113"/>
      <c r="AE33" s="114"/>
      <c r="AF33" s="112">
        <f t="shared" ref="AF33" si="46">IFERROR(AG31/(AG31+AH31),"")</f>
        <v>0.30555555555555558</v>
      </c>
      <c r="AG33" s="113"/>
      <c r="AH33" s="113"/>
      <c r="AI33" s="114"/>
      <c r="AJ33" s="112">
        <f t="shared" ref="AJ33" si="47">IFERROR(AK31/(AK31+AL31),"")</f>
        <v>1</v>
      </c>
      <c r="AK33" s="113"/>
      <c r="AL33" s="113"/>
      <c r="AM33" s="114"/>
      <c r="AN33" s="112">
        <f t="shared" ref="AN33" si="48">IFERROR(AO31/(AO31+AP31),"")</f>
        <v>1</v>
      </c>
      <c r="AO33" s="113"/>
      <c r="AP33" s="113"/>
      <c r="AQ33" s="114"/>
      <c r="AR33" s="112">
        <f t="shared" ref="AR33" si="49">IFERROR(AS31/(AS31+AT31),"")</f>
        <v>0</v>
      </c>
      <c r="AS33" s="113"/>
      <c r="AT33" s="113"/>
      <c r="AU33" s="114"/>
      <c r="AV33" s="112">
        <f t="shared" ref="AV33" si="50">IFERROR(AW31/(AW31+AX31),"")</f>
        <v>0.5</v>
      </c>
      <c r="AW33" s="113"/>
      <c r="AX33" s="113"/>
      <c r="AY33" s="114"/>
      <c r="AZ33" s="112">
        <f t="shared" ref="AZ33" si="51">IFERROR(BA31/(BA31+BB31),"")</f>
        <v>0.97826086956521741</v>
      </c>
      <c r="BA33" s="113"/>
      <c r="BB33" s="113"/>
      <c r="BC33" s="114"/>
      <c r="BD33" s="112">
        <f t="shared" ref="BD33" si="52">IFERROR(BE31/(BE31+BF31),"")</f>
        <v>0.5</v>
      </c>
      <c r="BE33" s="113"/>
      <c r="BF33" s="113"/>
      <c r="BG33" s="114"/>
      <c r="BH33" s="112">
        <f t="shared" ref="BH33" si="53">IFERROR(BI31/(BI31+BJ31),"")</f>
        <v>0.25</v>
      </c>
      <c r="BI33" s="113"/>
      <c r="BJ33" s="113"/>
      <c r="BK33" s="114"/>
      <c r="BL33" s="112">
        <f t="shared" ref="BL33" si="54">IFERROR(BM31/(BM31+BN31),"")</f>
        <v>8.3333333333333329E-2</v>
      </c>
      <c r="BM33" s="113"/>
      <c r="BN33" s="113"/>
      <c r="BO33" s="114"/>
      <c r="BP33" s="112">
        <f t="shared" ref="BP33" si="55">IFERROR(BQ31/(BQ31+BR31),"")</f>
        <v>0.5</v>
      </c>
      <c r="BQ33" s="113"/>
      <c r="BR33" s="113"/>
      <c r="BS33" s="114"/>
    </row>
    <row r="34" spans="3:71" x14ac:dyDescent="0.35">
      <c r="C34" s="76" t="s">
        <v>117</v>
      </c>
      <c r="D34" s="112">
        <f>IFERROR(E31/(E31+G31),"")</f>
        <v>1</v>
      </c>
      <c r="E34" s="113"/>
      <c r="F34" s="113"/>
      <c r="G34" s="114"/>
      <c r="H34" s="112">
        <f t="shared" ref="H34" si="56">IFERROR(I31/(I31+K31),"")</f>
        <v>1</v>
      </c>
      <c r="I34" s="113"/>
      <c r="J34" s="113"/>
      <c r="K34" s="114"/>
      <c r="L34" s="112">
        <f t="shared" ref="L34" si="57">IFERROR(M31/(M31+O31),"")</f>
        <v>1</v>
      </c>
      <c r="M34" s="113"/>
      <c r="N34" s="113"/>
      <c r="O34" s="114"/>
      <c r="P34" s="112">
        <f t="shared" ref="P34" si="58">IFERROR(Q31/(Q31+S31),"")</f>
        <v>0.95238095238095233</v>
      </c>
      <c r="Q34" s="113"/>
      <c r="R34" s="113"/>
      <c r="S34" s="114"/>
      <c r="T34" s="112">
        <f t="shared" ref="T34" si="59">IFERROR(U31/(U31+W31),"")</f>
        <v>0.625</v>
      </c>
      <c r="U34" s="113"/>
      <c r="V34" s="113"/>
      <c r="W34" s="114"/>
      <c r="X34" s="112">
        <f t="shared" ref="X34" si="60">IFERROR(Y31/(Y31+AA31),"")</f>
        <v>0.97142857142857142</v>
      </c>
      <c r="Y34" s="113"/>
      <c r="Z34" s="113"/>
      <c r="AA34" s="114"/>
      <c r="AB34" s="112">
        <f t="shared" ref="AB34" si="61">IFERROR(AC31/(AC31+AE31),"")</f>
        <v>0.94117647058823528</v>
      </c>
      <c r="AC34" s="113"/>
      <c r="AD34" s="113"/>
      <c r="AE34" s="114"/>
      <c r="AF34" s="112">
        <f t="shared" ref="AF34" si="62">IFERROR(AG31/(AG31+AI31),"")</f>
        <v>1</v>
      </c>
      <c r="AG34" s="113"/>
      <c r="AH34" s="113"/>
      <c r="AI34" s="114"/>
      <c r="AJ34" s="112">
        <f t="shared" ref="AJ34" si="63">IFERROR(AK31/(AK31+AM31),"")</f>
        <v>0.95652173913043481</v>
      </c>
      <c r="AK34" s="113"/>
      <c r="AL34" s="113"/>
      <c r="AM34" s="114"/>
      <c r="AN34" s="112">
        <f t="shared" ref="AN34" si="64">IFERROR(AO31/(AO31+AQ31),"")</f>
        <v>0.2857142857142857</v>
      </c>
      <c r="AO34" s="113"/>
      <c r="AP34" s="113"/>
      <c r="AQ34" s="114"/>
      <c r="AR34" s="112">
        <f t="shared" ref="AR34" si="65">IFERROR(AS31/(AS31+AU31),"")</f>
        <v>0</v>
      </c>
      <c r="AS34" s="113"/>
      <c r="AT34" s="113"/>
      <c r="AU34" s="114"/>
      <c r="AV34" s="112">
        <f t="shared" ref="AV34" si="66">IFERROR(AW31/(AW31+AY31),"")</f>
        <v>0.13333333333333333</v>
      </c>
      <c r="AW34" s="113"/>
      <c r="AX34" s="113"/>
      <c r="AY34" s="114"/>
      <c r="AZ34" s="112">
        <f t="shared" ref="AZ34" si="67">IFERROR(BA31/(BA31+BC31),"")</f>
        <v>0.9375</v>
      </c>
      <c r="BA34" s="113"/>
      <c r="BB34" s="113"/>
      <c r="BC34" s="114"/>
      <c r="BD34" s="112">
        <f t="shared" ref="BD34" si="68">IFERROR(BE31/(BE31+BG31),"")</f>
        <v>1</v>
      </c>
      <c r="BE34" s="113"/>
      <c r="BF34" s="113"/>
      <c r="BG34" s="114"/>
      <c r="BH34" s="112">
        <f t="shared" ref="BH34" si="69">IFERROR(BI31/(BI31+BK31),"")</f>
        <v>1</v>
      </c>
      <c r="BI34" s="113"/>
      <c r="BJ34" s="113"/>
      <c r="BK34" s="114"/>
      <c r="BL34" s="112">
        <f t="shared" ref="BL34" si="70">IFERROR(BM31/(BM31+BO31),"")</f>
        <v>1</v>
      </c>
      <c r="BM34" s="113"/>
      <c r="BN34" s="113"/>
      <c r="BO34" s="114"/>
      <c r="BP34" s="112">
        <f t="shared" ref="BP34" si="71">IFERROR(BQ31/(BQ31+BS31),"")</f>
        <v>0.83333333333333337</v>
      </c>
      <c r="BQ34" s="113"/>
      <c r="BR34" s="113"/>
      <c r="BS34" s="114"/>
    </row>
    <row r="35" spans="3:71" x14ac:dyDescent="0.35">
      <c r="C35" s="76" t="s">
        <v>8</v>
      </c>
      <c r="D35" s="112">
        <f>IFERROR(2*D33*D34/(D33+D34),IF(AND(D33=0,D34=0),0,""))</f>
        <v>1</v>
      </c>
      <c r="E35" s="113"/>
      <c r="F35" s="113"/>
      <c r="G35" s="114"/>
      <c r="H35" s="112">
        <f t="shared" ref="H35" si="72">IFERROR(2*H33*H34/(H33+H34),IF(AND(H33=0,H34=0),0,""))</f>
        <v>0.66666666666666663</v>
      </c>
      <c r="I35" s="113"/>
      <c r="J35" s="113"/>
      <c r="K35" s="114"/>
      <c r="L35" s="112">
        <f t="shared" ref="L35" si="73">IFERROR(2*L33*L34/(L33+L34),IF(AND(L33=0,L34=0),0,""))</f>
        <v>0.74999999999999989</v>
      </c>
      <c r="M35" s="113"/>
      <c r="N35" s="113"/>
      <c r="O35" s="114"/>
      <c r="P35" s="112">
        <f t="shared" ref="P35" si="74">IFERROR(2*P33*P34/(P33+P34),IF(AND(P33=0,P34=0),0,""))</f>
        <v>0.97560975609756095</v>
      </c>
      <c r="Q35" s="113"/>
      <c r="R35" s="113"/>
      <c r="S35" s="114"/>
      <c r="T35" s="112">
        <f t="shared" ref="T35" si="75">IFERROR(2*T33*T34/(T33+T34),IF(AND(T33=0,T34=0),0,""))</f>
        <v>0.66666666666666663</v>
      </c>
      <c r="U35" s="113"/>
      <c r="V35" s="113"/>
      <c r="W35" s="114"/>
      <c r="X35" s="112">
        <f t="shared" ref="X35" si="76">IFERROR(2*X33*X34/(X33+X34),IF(AND(X33=0,X34=0),0,""))</f>
        <v>0.98550724637681153</v>
      </c>
      <c r="Y35" s="113"/>
      <c r="Z35" s="113"/>
      <c r="AA35" s="114"/>
      <c r="AB35" s="112">
        <f t="shared" ref="AB35" si="77">IFERROR(2*AB33*AB34/(AB33+AB34),IF(AND(AB33=0,AB34=0),0,""))</f>
        <v>0.96969696969696972</v>
      </c>
      <c r="AC35" s="113"/>
      <c r="AD35" s="113"/>
      <c r="AE35" s="114"/>
      <c r="AF35" s="112">
        <f t="shared" ref="AF35" si="78">IFERROR(2*AF33*AF34/(AF33+AF34),IF(AND(AF33=0,AF34=0),0,""))</f>
        <v>0.46808510638297873</v>
      </c>
      <c r="AG35" s="113"/>
      <c r="AH35" s="113"/>
      <c r="AI35" s="114"/>
      <c r="AJ35" s="112">
        <f t="shared" ref="AJ35" si="79">IFERROR(2*AJ33*AJ34/(AJ33+AJ34),IF(AND(AJ33=0,AJ34=0),0,""))</f>
        <v>0.97777777777777775</v>
      </c>
      <c r="AK35" s="113"/>
      <c r="AL35" s="113"/>
      <c r="AM35" s="114"/>
      <c r="AN35" s="112">
        <f t="shared" ref="AN35" si="80">IFERROR(2*AN33*AN34/(AN33+AN34),IF(AND(AN33=0,AN34=0),0,""))</f>
        <v>0.44444444444444448</v>
      </c>
      <c r="AO35" s="113"/>
      <c r="AP35" s="113"/>
      <c r="AQ35" s="114"/>
      <c r="AR35" s="112">
        <f t="shared" ref="AR35" si="81">IFERROR(2*AR33*AR34/(AR33+AR34),IF(AND(AR33=0,AR34=0),0,""))</f>
        <v>0</v>
      </c>
      <c r="AS35" s="113"/>
      <c r="AT35" s="113"/>
      <c r="AU35" s="114"/>
      <c r="AV35" s="112">
        <f t="shared" ref="AV35" si="82">IFERROR(2*AV33*AV34/(AV33+AV34),IF(AND(AV33=0,AV34=0),0,""))</f>
        <v>0.2105263157894737</v>
      </c>
      <c r="AW35" s="113"/>
      <c r="AX35" s="113"/>
      <c r="AY35" s="114"/>
      <c r="AZ35" s="112">
        <f t="shared" ref="AZ35" si="83">IFERROR(2*AZ33*AZ34/(AZ33+AZ34),IF(AND(AZ33=0,AZ34=0),0,""))</f>
        <v>0.95744680851063835</v>
      </c>
      <c r="BA35" s="113"/>
      <c r="BB35" s="113"/>
      <c r="BC35" s="114"/>
      <c r="BD35" s="112">
        <f t="shared" ref="BD35" si="84">IFERROR(2*BD33*BD34/(BD33+BD34),IF(AND(BD33=0,BD34=0),0,""))</f>
        <v>0.66666666666666663</v>
      </c>
      <c r="BE35" s="113"/>
      <c r="BF35" s="113"/>
      <c r="BG35" s="114"/>
      <c r="BH35" s="112">
        <f t="shared" ref="BH35" si="85">IFERROR(2*BH33*BH34/(BH33+BH34),IF(AND(BH33=0,BH34=0),0,""))</f>
        <v>0.4</v>
      </c>
      <c r="BI35" s="113"/>
      <c r="BJ35" s="113"/>
      <c r="BK35" s="114"/>
      <c r="BL35" s="112">
        <f t="shared" ref="BL35" si="86">IFERROR(2*BL33*BL34/(BL33+BL34),IF(AND(BL33=0,BL34=0),0,""))</f>
        <v>0.15384615384615385</v>
      </c>
      <c r="BM35" s="113"/>
      <c r="BN35" s="113"/>
      <c r="BO35" s="114"/>
      <c r="BP35" s="112">
        <f t="shared" ref="BP35" si="87">IFERROR(2*BP33*BP34/(BP33+BP34),IF(AND(BP33=0,BP34=0),0,""))</f>
        <v>0.625</v>
      </c>
      <c r="BQ35" s="113"/>
      <c r="BR35" s="113"/>
      <c r="BS35" s="114"/>
    </row>
  </sheetData>
  <mergeCells count="82">
    <mergeCell ref="BL35:BO35"/>
    <mergeCell ref="BP35:BS35"/>
    <mergeCell ref="BH34:BK34"/>
    <mergeCell ref="BL34:BO34"/>
    <mergeCell ref="BP34:BS34"/>
    <mergeCell ref="D35:G35"/>
    <mergeCell ref="H35:K35"/>
    <mergeCell ref="L35:O35"/>
    <mergeCell ref="P35:S35"/>
    <mergeCell ref="T35:W35"/>
    <mergeCell ref="X35:AA35"/>
    <mergeCell ref="AB35:AE35"/>
    <mergeCell ref="AF35:AI35"/>
    <mergeCell ref="AJ35:AM35"/>
    <mergeCell ref="AN35:AQ35"/>
    <mergeCell ref="AR35:AU35"/>
    <mergeCell ref="AV35:AY35"/>
    <mergeCell ref="AZ35:BC35"/>
    <mergeCell ref="BL33:BO33"/>
    <mergeCell ref="BP33:BS33"/>
    <mergeCell ref="AR34:AU34"/>
    <mergeCell ref="AV34:AY34"/>
    <mergeCell ref="AZ34:BC34"/>
    <mergeCell ref="BD34:BG34"/>
    <mergeCell ref="AR33:AU33"/>
    <mergeCell ref="AV33:AY33"/>
    <mergeCell ref="AZ33:BC33"/>
    <mergeCell ref="BD33:BG33"/>
    <mergeCell ref="BH33:BK33"/>
    <mergeCell ref="BD35:BG35"/>
    <mergeCell ref="BH35:BK35"/>
    <mergeCell ref="D34:G34"/>
    <mergeCell ref="H34:K34"/>
    <mergeCell ref="L34:O34"/>
    <mergeCell ref="P34:S34"/>
    <mergeCell ref="T34:W34"/>
    <mergeCell ref="X34:AA34"/>
    <mergeCell ref="AB34:AE34"/>
    <mergeCell ref="AF34:AI34"/>
    <mergeCell ref="AJ34:AM34"/>
    <mergeCell ref="AN34:AQ34"/>
    <mergeCell ref="X33:AA33"/>
    <mergeCell ref="AB33:AE33"/>
    <mergeCell ref="AF33:AI33"/>
    <mergeCell ref="AJ33:AM33"/>
    <mergeCell ref="AN33:AQ33"/>
    <mergeCell ref="D33:G33"/>
    <mergeCell ref="H33:K33"/>
    <mergeCell ref="L33:O33"/>
    <mergeCell ref="P33:S33"/>
    <mergeCell ref="T33:W33"/>
    <mergeCell ref="BX1:BX2"/>
    <mergeCell ref="AZ1:BC1"/>
    <mergeCell ref="BD1:BG1"/>
    <mergeCell ref="BH1:BK1"/>
    <mergeCell ref="BL1:BO1"/>
    <mergeCell ref="BP1:BS1"/>
    <mergeCell ref="B3:B30"/>
    <mergeCell ref="BT1:BT2"/>
    <mergeCell ref="BU1:BU2"/>
    <mergeCell ref="BV1:BV2"/>
    <mergeCell ref="BW1:BW2"/>
    <mergeCell ref="AF1:AI1"/>
    <mergeCell ref="AJ1:AM1"/>
    <mergeCell ref="AN1:AQ1"/>
    <mergeCell ref="AR1:AU1"/>
    <mergeCell ref="CC1:CC2"/>
    <mergeCell ref="CD1:CD2"/>
    <mergeCell ref="CE1:CE2"/>
    <mergeCell ref="CF1:CF2"/>
    <mergeCell ref="A1:A2"/>
    <mergeCell ref="B1:B2"/>
    <mergeCell ref="C1:C2"/>
    <mergeCell ref="D1:G1"/>
    <mergeCell ref="H1:K1"/>
    <mergeCell ref="AV1:AY1"/>
    <mergeCell ref="L1:O1"/>
    <mergeCell ref="P1:S1"/>
    <mergeCell ref="T1:W1"/>
    <mergeCell ref="X1:AA1"/>
    <mergeCell ref="AB1:AE1"/>
    <mergeCell ref="BY1:BY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5752-926C-4628-A1AC-C70018BCB1B7}">
  <dimension ref="A1:CF35"/>
  <sheetViews>
    <sheetView zoomScale="71" zoomScaleNormal="71" workbookViewId="0">
      <pane ySplit="2" topLeftCell="A4" activePane="bottomLeft" state="frozen"/>
      <selection activeCell="AW40" sqref="AW40"/>
      <selection pane="bottomLeft" activeCell="C34" sqref="C34"/>
    </sheetView>
  </sheetViews>
  <sheetFormatPr defaultRowHeight="14.5" x14ac:dyDescent="0.35"/>
  <cols>
    <col min="1" max="1" width="11.1796875" customWidth="1"/>
    <col min="2" max="2" width="35.26953125" customWidth="1"/>
    <col min="3" max="3" width="13.7265625"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7.7265625" customWidth="1"/>
    <col min="72" max="72" width="9" customWidth="1"/>
    <col min="76" max="76" width="10.453125" customWidth="1"/>
    <col min="81" max="81" width="13.26953125" bestFit="1" customWidth="1"/>
    <col min="83" max="83" width="12.08984375" customWidth="1"/>
  </cols>
  <sheetData>
    <row r="1" spans="1:84" ht="15.5" thickTop="1" thickBot="1" x14ac:dyDescent="0.4">
      <c r="A1" s="92" t="s">
        <v>0</v>
      </c>
      <c r="B1" s="94" t="s">
        <v>1</v>
      </c>
      <c r="C1" s="96" t="s">
        <v>2</v>
      </c>
      <c r="D1" s="98" t="s">
        <v>3</v>
      </c>
      <c r="E1" s="99"/>
      <c r="F1" s="99"/>
      <c r="G1" s="100"/>
      <c r="H1" s="101" t="s">
        <v>71</v>
      </c>
      <c r="I1" s="101"/>
      <c r="J1" s="101"/>
      <c r="K1" s="102"/>
      <c r="L1" s="92" t="s">
        <v>72</v>
      </c>
      <c r="M1" s="103"/>
      <c r="N1" s="103"/>
      <c r="O1" s="96"/>
      <c r="P1" s="92" t="s">
        <v>73</v>
      </c>
      <c r="Q1" s="103"/>
      <c r="R1" s="103"/>
      <c r="S1" s="96"/>
      <c r="T1" s="92" t="s">
        <v>74</v>
      </c>
      <c r="U1" s="103"/>
      <c r="V1" s="103"/>
      <c r="W1" s="96"/>
      <c r="X1" s="92" t="s">
        <v>75</v>
      </c>
      <c r="Y1" s="103"/>
      <c r="Z1" s="103"/>
      <c r="AA1" s="96"/>
      <c r="AB1" s="92" t="s">
        <v>76</v>
      </c>
      <c r="AC1" s="103"/>
      <c r="AD1" s="103"/>
      <c r="AE1" s="96"/>
      <c r="AF1" s="92" t="s">
        <v>77</v>
      </c>
      <c r="AG1" s="103"/>
      <c r="AH1" s="103"/>
      <c r="AI1" s="96"/>
      <c r="AJ1" s="92" t="s">
        <v>78</v>
      </c>
      <c r="AK1" s="103"/>
      <c r="AL1" s="103"/>
      <c r="AM1" s="96"/>
      <c r="AN1" s="92" t="s">
        <v>79</v>
      </c>
      <c r="AO1" s="103"/>
      <c r="AP1" s="103"/>
      <c r="AQ1" s="96"/>
      <c r="AR1" s="92" t="s">
        <v>80</v>
      </c>
      <c r="AS1" s="103"/>
      <c r="AT1" s="103"/>
      <c r="AU1" s="96"/>
      <c r="AV1" s="92" t="s">
        <v>81</v>
      </c>
      <c r="AW1" s="103"/>
      <c r="AX1" s="103"/>
      <c r="AY1" s="111"/>
      <c r="AZ1" s="104" t="s">
        <v>82</v>
      </c>
      <c r="BA1" s="101"/>
      <c r="BB1" s="101"/>
      <c r="BC1" s="102"/>
      <c r="BD1" s="92" t="s">
        <v>83</v>
      </c>
      <c r="BE1" s="103"/>
      <c r="BF1" s="103"/>
      <c r="BG1" s="96"/>
      <c r="BH1" s="92" t="s">
        <v>84</v>
      </c>
      <c r="BI1" s="103"/>
      <c r="BJ1" s="103"/>
      <c r="BK1" s="96"/>
      <c r="BL1" s="92" t="s">
        <v>85</v>
      </c>
      <c r="BM1" s="103"/>
      <c r="BN1" s="103"/>
      <c r="BO1" s="96"/>
      <c r="BP1" s="92" t="s">
        <v>86</v>
      </c>
      <c r="BQ1" s="103"/>
      <c r="BR1" s="103"/>
      <c r="BS1" s="96"/>
      <c r="BT1" s="109" t="s">
        <v>4</v>
      </c>
      <c r="BU1" s="103" t="s">
        <v>5</v>
      </c>
      <c r="BV1" s="103" t="s">
        <v>6</v>
      </c>
      <c r="BW1" s="103" t="s">
        <v>7</v>
      </c>
      <c r="BX1" s="103" t="s">
        <v>117</v>
      </c>
      <c r="BY1" s="96" t="s">
        <v>8</v>
      </c>
      <c r="CC1" s="91" t="s">
        <v>2</v>
      </c>
      <c r="CD1" s="91" t="str">
        <f>BW1</f>
        <v>Recall</v>
      </c>
      <c r="CE1" s="91" t="str">
        <f>BX1</f>
        <v>Precision</v>
      </c>
      <c r="CF1" s="91" t="str">
        <f>BY1</f>
        <v>F1</v>
      </c>
    </row>
    <row r="2" spans="1:84" ht="15.5" thickTop="1" thickBot="1" x14ac:dyDescent="0.4">
      <c r="A2" s="93"/>
      <c r="B2" s="95"/>
      <c r="C2" s="97"/>
      <c r="D2" s="5" t="s">
        <v>9</v>
      </c>
      <c r="E2" s="1" t="s">
        <v>4</v>
      </c>
      <c r="F2" s="1" t="s">
        <v>5</v>
      </c>
      <c r="G2" s="2" t="s">
        <v>6</v>
      </c>
      <c r="H2" s="1" t="s">
        <v>9</v>
      </c>
      <c r="I2" s="3" t="s">
        <v>4</v>
      </c>
      <c r="J2" s="3" t="s">
        <v>5</v>
      </c>
      <c r="K2" s="2" t="s">
        <v>6</v>
      </c>
      <c r="L2" s="1" t="s">
        <v>9</v>
      </c>
      <c r="M2" s="3" t="s">
        <v>4</v>
      </c>
      <c r="N2" s="3" t="s">
        <v>5</v>
      </c>
      <c r="O2" s="2" t="s">
        <v>6</v>
      </c>
      <c r="P2" s="1" t="s">
        <v>9</v>
      </c>
      <c r="Q2" s="3" t="s">
        <v>4</v>
      </c>
      <c r="R2" s="3" t="s">
        <v>5</v>
      </c>
      <c r="S2" s="2" t="s">
        <v>6</v>
      </c>
      <c r="T2" s="1" t="s">
        <v>9</v>
      </c>
      <c r="U2" s="3" t="s">
        <v>4</v>
      </c>
      <c r="V2" s="3" t="s">
        <v>5</v>
      </c>
      <c r="W2" s="2" t="s">
        <v>6</v>
      </c>
      <c r="X2" s="1" t="s">
        <v>9</v>
      </c>
      <c r="Y2" s="3" t="s">
        <v>4</v>
      </c>
      <c r="Z2" s="3" t="s">
        <v>5</v>
      </c>
      <c r="AA2" s="2" t="s">
        <v>6</v>
      </c>
      <c r="AB2" s="1" t="s">
        <v>9</v>
      </c>
      <c r="AC2" s="3" t="s">
        <v>4</v>
      </c>
      <c r="AD2" s="3" t="s">
        <v>5</v>
      </c>
      <c r="AE2" s="2" t="s">
        <v>6</v>
      </c>
      <c r="AF2" s="1" t="s">
        <v>9</v>
      </c>
      <c r="AG2" s="3" t="s">
        <v>4</v>
      </c>
      <c r="AH2" s="3" t="s">
        <v>5</v>
      </c>
      <c r="AI2" s="2" t="s">
        <v>6</v>
      </c>
      <c r="AJ2" s="1" t="s">
        <v>9</v>
      </c>
      <c r="AK2" s="3" t="s">
        <v>4</v>
      </c>
      <c r="AL2" s="3" t="s">
        <v>5</v>
      </c>
      <c r="AM2" s="2" t="s">
        <v>6</v>
      </c>
      <c r="AN2" s="1" t="s">
        <v>9</v>
      </c>
      <c r="AO2" s="3" t="s">
        <v>4</v>
      </c>
      <c r="AP2" s="3" t="s">
        <v>5</v>
      </c>
      <c r="AQ2" s="2" t="s">
        <v>6</v>
      </c>
      <c r="AR2" s="1" t="s">
        <v>9</v>
      </c>
      <c r="AS2" s="3" t="s">
        <v>4</v>
      </c>
      <c r="AT2" s="3" t="s">
        <v>5</v>
      </c>
      <c r="AU2" s="2" t="s">
        <v>6</v>
      </c>
      <c r="AV2" s="1" t="s">
        <v>9</v>
      </c>
      <c r="AW2" s="3" t="s">
        <v>4</v>
      </c>
      <c r="AX2" s="3" t="s">
        <v>5</v>
      </c>
      <c r="AY2" s="68" t="s">
        <v>6</v>
      </c>
      <c r="AZ2" s="66" t="s">
        <v>9</v>
      </c>
      <c r="BA2" s="67" t="s">
        <v>4</v>
      </c>
      <c r="BB2" s="67" t="s">
        <v>5</v>
      </c>
      <c r="BC2" s="68" t="s">
        <v>6</v>
      </c>
      <c r="BD2" s="5" t="s">
        <v>9</v>
      </c>
      <c r="BE2" s="3" t="s">
        <v>4</v>
      </c>
      <c r="BF2" s="3" t="s">
        <v>5</v>
      </c>
      <c r="BG2" s="2" t="s">
        <v>6</v>
      </c>
      <c r="BH2" s="1" t="s">
        <v>9</v>
      </c>
      <c r="BI2" s="3" t="s">
        <v>4</v>
      </c>
      <c r="BJ2" s="3" t="s">
        <v>5</v>
      </c>
      <c r="BK2" s="2" t="s">
        <v>6</v>
      </c>
      <c r="BL2" s="1" t="s">
        <v>9</v>
      </c>
      <c r="BM2" s="3" t="s">
        <v>4</v>
      </c>
      <c r="BN2" s="3" t="s">
        <v>5</v>
      </c>
      <c r="BO2" s="2" t="s">
        <v>6</v>
      </c>
      <c r="BP2" s="1" t="s">
        <v>9</v>
      </c>
      <c r="BQ2" s="3" t="s">
        <v>4</v>
      </c>
      <c r="BR2" s="3" t="s">
        <v>5</v>
      </c>
      <c r="BS2" s="2" t="s">
        <v>6</v>
      </c>
      <c r="BT2" s="110"/>
      <c r="BU2" s="105"/>
      <c r="BV2" s="105"/>
      <c r="BW2" s="105"/>
      <c r="BX2" s="105"/>
      <c r="BY2" s="106"/>
      <c r="CC2" s="91"/>
      <c r="CD2" s="91"/>
      <c r="CE2" s="91"/>
      <c r="CF2" s="91"/>
    </row>
    <row r="3" spans="1:84" ht="15" customHeight="1" thickTop="1" x14ac:dyDescent="0.35">
      <c r="A3" s="52" t="s">
        <v>10</v>
      </c>
      <c r="B3" s="107" t="s">
        <v>45</v>
      </c>
      <c r="C3" s="6" t="s">
        <v>11</v>
      </c>
      <c r="D3" s="7">
        <v>2</v>
      </c>
      <c r="E3" s="8">
        <v>2</v>
      </c>
      <c r="F3" s="8">
        <f>D3-E3</f>
        <v>0</v>
      </c>
      <c r="G3" s="6">
        <v>0</v>
      </c>
      <c r="H3" s="9">
        <v>0</v>
      </c>
      <c r="I3" s="8">
        <v>0</v>
      </c>
      <c r="J3" s="8">
        <f>H3-I3</f>
        <v>0</v>
      </c>
      <c r="K3" s="6">
        <v>0</v>
      </c>
      <c r="L3" s="9">
        <v>0</v>
      </c>
      <c r="M3" s="8">
        <v>0</v>
      </c>
      <c r="N3" s="8">
        <f>L3-M3</f>
        <v>0</v>
      </c>
      <c r="O3" s="6">
        <v>0</v>
      </c>
      <c r="P3" s="9">
        <v>2</v>
      </c>
      <c r="Q3" s="8">
        <v>2</v>
      </c>
      <c r="R3" s="8">
        <f>P3-Q3</f>
        <v>0</v>
      </c>
      <c r="S3" s="6">
        <v>0</v>
      </c>
      <c r="T3" s="9">
        <v>2</v>
      </c>
      <c r="U3" s="8">
        <v>2</v>
      </c>
      <c r="V3" s="8">
        <f>T3-U3</f>
        <v>0</v>
      </c>
      <c r="W3" s="6">
        <v>0</v>
      </c>
      <c r="X3" s="9">
        <v>3</v>
      </c>
      <c r="Y3" s="8">
        <v>3</v>
      </c>
      <c r="Z3" s="8">
        <f>X3-Y3</f>
        <v>0</v>
      </c>
      <c r="AA3" s="6">
        <v>0</v>
      </c>
      <c r="AB3" s="9">
        <v>2</v>
      </c>
      <c r="AC3" s="8">
        <v>2</v>
      </c>
      <c r="AD3" s="8">
        <f>AB3-AC3</f>
        <v>0</v>
      </c>
      <c r="AE3" s="6">
        <v>0</v>
      </c>
      <c r="AF3" s="9">
        <v>3</v>
      </c>
      <c r="AG3" s="8">
        <v>3</v>
      </c>
      <c r="AH3" s="8">
        <f>AF3-AG3</f>
        <v>0</v>
      </c>
      <c r="AI3" s="6">
        <v>0</v>
      </c>
      <c r="AJ3" s="9">
        <v>1</v>
      </c>
      <c r="AK3" s="8">
        <v>1</v>
      </c>
      <c r="AL3" s="8">
        <f>AJ3-AK3</f>
        <v>0</v>
      </c>
      <c r="AM3" s="6">
        <v>0</v>
      </c>
      <c r="AN3" s="9">
        <v>0</v>
      </c>
      <c r="AO3" s="8">
        <v>0</v>
      </c>
      <c r="AP3" s="8">
        <f>AN3-AO3</f>
        <v>0</v>
      </c>
      <c r="AQ3" s="6">
        <v>0</v>
      </c>
      <c r="AR3" s="9">
        <v>0</v>
      </c>
      <c r="AS3" s="8">
        <v>0</v>
      </c>
      <c r="AT3" s="8">
        <f>AR3-AS3</f>
        <v>0</v>
      </c>
      <c r="AU3" s="6">
        <v>0</v>
      </c>
      <c r="AV3" s="9">
        <v>0</v>
      </c>
      <c r="AW3" s="8">
        <v>0</v>
      </c>
      <c r="AX3" s="8">
        <f>AV3-AW3</f>
        <v>0</v>
      </c>
      <c r="AY3" s="6">
        <v>0</v>
      </c>
      <c r="AZ3" s="7">
        <v>1</v>
      </c>
      <c r="BA3" s="10">
        <v>1</v>
      </c>
      <c r="BB3" s="10">
        <f>AZ3-BA3</f>
        <v>0</v>
      </c>
      <c r="BC3" s="70">
        <v>0</v>
      </c>
      <c r="BD3" s="7">
        <v>1</v>
      </c>
      <c r="BE3" s="8">
        <v>1</v>
      </c>
      <c r="BF3" s="8">
        <f>BD3-BE3</f>
        <v>0</v>
      </c>
      <c r="BG3" s="6">
        <v>0</v>
      </c>
      <c r="BH3" s="9">
        <v>0</v>
      </c>
      <c r="BI3" s="8">
        <v>0</v>
      </c>
      <c r="BJ3" s="8">
        <f>BH3-BI3</f>
        <v>0</v>
      </c>
      <c r="BK3" s="6">
        <v>0</v>
      </c>
      <c r="BL3" s="9">
        <v>0</v>
      </c>
      <c r="BM3" s="8">
        <v>0</v>
      </c>
      <c r="BN3" s="8">
        <f>BL3-BM3</f>
        <v>0</v>
      </c>
      <c r="BO3" s="6">
        <v>2</v>
      </c>
      <c r="BP3" s="9">
        <v>0</v>
      </c>
      <c r="BQ3" s="8">
        <v>0</v>
      </c>
      <c r="BR3" s="8">
        <f>BP3-BQ3</f>
        <v>0</v>
      </c>
      <c r="BS3" s="6">
        <v>0</v>
      </c>
      <c r="BT3" s="9">
        <f>SUM(E3,I3,M3,Q3,U3,Y3,AC3,AG3,AK3,AO3,AS3,AW3,BE3,BI3,BM3,BQ3,BA3)</f>
        <v>17</v>
      </c>
      <c r="BU3" s="8">
        <f>SUM(BR3,BN3,BJ3,BF3,AX3,AT3,AP3,AL3,AH3,AD3,Z3,V3,R3,N3,J3,F3,BB3)</f>
        <v>0</v>
      </c>
      <c r="BV3" s="10">
        <f>SUM(BS3,BO3,BK3,BG3,AY3,AU3,AQ3,AM3,AI3,AE3,AA3,W3,S3,O3,K3,G3, BC3)</f>
        <v>2</v>
      </c>
      <c r="BW3" s="8">
        <f>BT3/(BT3+BU3)</f>
        <v>1</v>
      </c>
      <c r="BX3" s="8">
        <f>BT3/(BT3+BV3)</f>
        <v>0.89473684210526316</v>
      </c>
      <c r="BY3" s="6">
        <f>2*(BX3*BW3)/(BX3+BW3)</f>
        <v>0.94444444444444442</v>
      </c>
      <c r="CC3" s="75" t="s">
        <v>54</v>
      </c>
      <c r="CD3">
        <f>AVERAGE(BW3:BW4)</f>
        <v>1</v>
      </c>
      <c r="CE3">
        <f>AVERAGE(BX3:BX4)</f>
        <v>0.89473684210526316</v>
      </c>
      <c r="CF3">
        <f t="shared" ref="CF3" si="0">AVERAGE(BY3:BY4)</f>
        <v>0.94444444444444442</v>
      </c>
    </row>
    <row r="4" spans="1:84" x14ac:dyDescent="0.35">
      <c r="A4" s="52" t="s">
        <v>10</v>
      </c>
      <c r="B4" s="108"/>
      <c r="C4" s="70" t="s">
        <v>12</v>
      </c>
      <c r="D4" s="7">
        <v>2</v>
      </c>
      <c r="E4" s="10">
        <v>2</v>
      </c>
      <c r="F4" s="10">
        <f t="shared" ref="F4:F30" si="1">D4-E4</f>
        <v>0</v>
      </c>
      <c r="G4" s="70">
        <v>0</v>
      </c>
      <c r="H4" s="7">
        <v>0</v>
      </c>
      <c r="I4" s="10">
        <v>0</v>
      </c>
      <c r="J4" s="10">
        <f t="shared" ref="J4:J30" si="2">H4-I4</f>
        <v>0</v>
      </c>
      <c r="K4" s="70">
        <v>0</v>
      </c>
      <c r="L4" s="7">
        <v>0</v>
      </c>
      <c r="M4" s="10">
        <v>0</v>
      </c>
      <c r="N4" s="10">
        <f t="shared" ref="N4:N30" si="3">L4-M4</f>
        <v>0</v>
      </c>
      <c r="O4" s="70">
        <v>0</v>
      </c>
      <c r="P4" s="7">
        <v>2</v>
      </c>
      <c r="Q4" s="10">
        <v>2</v>
      </c>
      <c r="R4" s="10">
        <f t="shared" ref="R4:R30" si="4">P4-Q4</f>
        <v>0</v>
      </c>
      <c r="S4" s="70">
        <v>0</v>
      </c>
      <c r="T4" s="7">
        <v>2</v>
      </c>
      <c r="U4" s="10">
        <v>2</v>
      </c>
      <c r="V4" s="10">
        <f t="shared" ref="V4:V30" si="5">T4-U4</f>
        <v>0</v>
      </c>
      <c r="W4" s="70">
        <v>0</v>
      </c>
      <c r="X4" s="7">
        <v>3</v>
      </c>
      <c r="Y4" s="10">
        <v>3</v>
      </c>
      <c r="Z4" s="10">
        <f t="shared" ref="Z4:Z30" si="6">X4-Y4</f>
        <v>0</v>
      </c>
      <c r="AA4" s="70">
        <v>0</v>
      </c>
      <c r="AB4" s="7">
        <v>2</v>
      </c>
      <c r="AC4" s="10">
        <v>2</v>
      </c>
      <c r="AD4" s="10">
        <f t="shared" ref="AD4:AD29" si="7">AB4-AC4</f>
        <v>0</v>
      </c>
      <c r="AE4" s="70">
        <v>0</v>
      </c>
      <c r="AF4" s="7">
        <v>3</v>
      </c>
      <c r="AG4" s="10">
        <v>3</v>
      </c>
      <c r="AH4" s="10">
        <f t="shared" ref="AH4:AH30" si="8">AF4-AG4</f>
        <v>0</v>
      </c>
      <c r="AI4" s="70">
        <v>0</v>
      </c>
      <c r="AJ4" s="7">
        <v>1</v>
      </c>
      <c r="AK4" s="10">
        <v>1</v>
      </c>
      <c r="AL4" s="10">
        <f t="shared" ref="AL4:AL30" si="9">AJ4-AK4</f>
        <v>0</v>
      </c>
      <c r="AM4" s="70">
        <v>0</v>
      </c>
      <c r="AN4" s="7">
        <v>0</v>
      </c>
      <c r="AO4" s="10">
        <v>0</v>
      </c>
      <c r="AP4" s="10">
        <f t="shared" ref="AP4:AP30" si="10">AN4-AO4</f>
        <v>0</v>
      </c>
      <c r="AQ4" s="70">
        <v>0</v>
      </c>
      <c r="AR4" s="7">
        <v>0</v>
      </c>
      <c r="AS4" s="10">
        <v>0</v>
      </c>
      <c r="AT4" s="10">
        <f t="shared" ref="AT4:AT30" si="11">AR4-AS4</f>
        <v>0</v>
      </c>
      <c r="AU4" s="70">
        <v>0</v>
      </c>
      <c r="AV4" s="7">
        <v>0</v>
      </c>
      <c r="AW4" s="10">
        <v>0</v>
      </c>
      <c r="AX4" s="10">
        <f t="shared" ref="AX4:AX30" si="12">AV4-AW4</f>
        <v>0</v>
      </c>
      <c r="AY4" s="70">
        <v>0</v>
      </c>
      <c r="AZ4" s="7">
        <v>1</v>
      </c>
      <c r="BA4" s="10">
        <v>1</v>
      </c>
      <c r="BB4" s="10">
        <f t="shared" ref="BB4:BB30" si="13">AZ4-BA4</f>
        <v>0</v>
      </c>
      <c r="BC4" s="70">
        <v>0</v>
      </c>
      <c r="BD4" s="7">
        <v>1</v>
      </c>
      <c r="BE4" s="10">
        <v>1</v>
      </c>
      <c r="BF4" s="10">
        <f t="shared" ref="BF4:BF30" si="14">BD4-BE4</f>
        <v>0</v>
      </c>
      <c r="BG4" s="70">
        <v>0</v>
      </c>
      <c r="BH4" s="7">
        <v>0</v>
      </c>
      <c r="BI4" s="10">
        <v>0</v>
      </c>
      <c r="BJ4" s="10">
        <f t="shared" ref="BJ4:BJ30" si="15">BH4-BI4</f>
        <v>0</v>
      </c>
      <c r="BK4" s="70">
        <v>0</v>
      </c>
      <c r="BL4" s="7">
        <v>0</v>
      </c>
      <c r="BM4" s="10">
        <v>0</v>
      </c>
      <c r="BN4" s="10">
        <f t="shared" ref="BN4:BN30" si="16">BL4-BM4</f>
        <v>0</v>
      </c>
      <c r="BO4" s="70">
        <v>2</v>
      </c>
      <c r="BP4" s="7">
        <v>0</v>
      </c>
      <c r="BQ4" s="10">
        <v>0</v>
      </c>
      <c r="BR4" s="10">
        <f t="shared" ref="BR4:BR30" si="17">BP4-BQ4</f>
        <v>0</v>
      </c>
      <c r="BS4" s="70">
        <v>0</v>
      </c>
      <c r="BT4" s="7">
        <f t="shared" ref="BT4:BT30" si="18">SUM(E4,I4,M4,Q4,U4,Y4,AC4,AG4,AK4,AO4,AS4,AW4,BE4,BI4,BM4,BQ4,BA4)</f>
        <v>17</v>
      </c>
      <c r="BU4" s="10">
        <f t="shared" ref="BU4:BU30" si="19">SUM(BR4,BN4,BJ4,BF4,AX4,AT4,AP4,AL4,AH4,AD4,Z4,V4,R4,N4,J4,F4,BB4)</f>
        <v>0</v>
      </c>
      <c r="BV4" s="10">
        <f t="shared" ref="BV4:BV30" si="20">SUM(BS4,BO4,BK4,BG4,AY4,AU4,AQ4,AM4,AI4,AE4,AA4,W4,S4,O4,K4,G4, BC4)</f>
        <v>2</v>
      </c>
      <c r="BW4" s="10">
        <f t="shared" ref="BW4:BW30" si="21">BT4/(BT4+BU4)</f>
        <v>1</v>
      </c>
      <c r="BX4" s="10">
        <f t="shared" ref="BX4:BX30" si="22">BT4/(BT4+BV4)</f>
        <v>0.89473684210526316</v>
      </c>
      <c r="BY4" s="70">
        <f t="shared" ref="BY4:BY30" si="23">2*(BX4*BW4)/(BX4+BW4)</f>
        <v>0.94444444444444442</v>
      </c>
      <c r="CC4" s="75" t="s">
        <v>55</v>
      </c>
      <c r="CD4">
        <f>AVERAGE(BW5:BW6)</f>
        <v>1</v>
      </c>
      <c r="CE4">
        <f t="shared" ref="CE4" si="24">AVERAGE(BX5:BX6)</f>
        <v>0.49836601307189543</v>
      </c>
      <c r="CF4">
        <f>AVERAGE(BY5:BY6)</f>
        <v>0.66326530612244894</v>
      </c>
    </row>
    <row r="5" spans="1:84" x14ac:dyDescent="0.35">
      <c r="A5" s="53" t="s">
        <v>10</v>
      </c>
      <c r="B5" s="108"/>
      <c r="C5" s="11" t="s">
        <v>13</v>
      </c>
      <c r="D5" s="12">
        <v>4</v>
      </c>
      <c r="E5" s="13">
        <v>4</v>
      </c>
      <c r="F5" s="13">
        <f t="shared" si="1"/>
        <v>0</v>
      </c>
      <c r="G5" s="11">
        <v>0</v>
      </c>
      <c r="H5" s="12">
        <v>0</v>
      </c>
      <c r="I5" s="13">
        <v>0</v>
      </c>
      <c r="J5" s="13">
        <f t="shared" si="2"/>
        <v>0</v>
      </c>
      <c r="K5" s="11">
        <v>4</v>
      </c>
      <c r="L5" s="12">
        <v>0</v>
      </c>
      <c r="M5" s="13">
        <v>0</v>
      </c>
      <c r="N5" s="13">
        <f t="shared" si="3"/>
        <v>0</v>
      </c>
      <c r="O5" s="11">
        <v>0</v>
      </c>
      <c r="P5" s="12">
        <v>4</v>
      </c>
      <c r="Q5" s="13">
        <v>4</v>
      </c>
      <c r="R5" s="13">
        <f t="shared" si="4"/>
        <v>0</v>
      </c>
      <c r="S5" s="11">
        <v>0</v>
      </c>
      <c r="T5" s="12">
        <v>0</v>
      </c>
      <c r="U5" s="13">
        <v>0</v>
      </c>
      <c r="V5" s="13">
        <f t="shared" si="5"/>
        <v>0</v>
      </c>
      <c r="W5" s="11">
        <v>4</v>
      </c>
      <c r="X5" s="12">
        <v>1</v>
      </c>
      <c r="Y5" s="13">
        <v>1</v>
      </c>
      <c r="Z5" s="13">
        <f t="shared" si="6"/>
        <v>0</v>
      </c>
      <c r="AA5" s="11">
        <v>0</v>
      </c>
      <c r="AB5" s="12">
        <v>0</v>
      </c>
      <c r="AC5" s="13">
        <v>0</v>
      </c>
      <c r="AD5" s="13">
        <f t="shared" si="7"/>
        <v>0</v>
      </c>
      <c r="AE5" s="11">
        <v>0</v>
      </c>
      <c r="AF5" s="12">
        <v>0</v>
      </c>
      <c r="AG5" s="13">
        <v>0</v>
      </c>
      <c r="AH5" s="13">
        <f t="shared" si="8"/>
        <v>0</v>
      </c>
      <c r="AI5" s="11">
        <v>5</v>
      </c>
      <c r="AJ5" s="12">
        <v>3</v>
      </c>
      <c r="AK5" s="13">
        <v>3</v>
      </c>
      <c r="AL5" s="13">
        <f t="shared" si="9"/>
        <v>0</v>
      </c>
      <c r="AM5" s="11">
        <v>0</v>
      </c>
      <c r="AN5" s="12">
        <v>0</v>
      </c>
      <c r="AO5" s="13">
        <v>0</v>
      </c>
      <c r="AP5" s="13">
        <f t="shared" si="10"/>
        <v>0</v>
      </c>
      <c r="AQ5" s="11">
        <v>0</v>
      </c>
      <c r="AR5" s="12">
        <v>0</v>
      </c>
      <c r="AS5" s="13">
        <v>0</v>
      </c>
      <c r="AT5" s="13">
        <f t="shared" si="11"/>
        <v>0</v>
      </c>
      <c r="AU5" s="11">
        <v>0</v>
      </c>
      <c r="AV5" s="12">
        <v>0</v>
      </c>
      <c r="AW5" s="13">
        <v>0</v>
      </c>
      <c r="AX5" s="13">
        <f t="shared" si="12"/>
        <v>0</v>
      </c>
      <c r="AY5" s="11">
        <v>0</v>
      </c>
      <c r="AZ5" s="12">
        <v>3</v>
      </c>
      <c r="BA5" s="13">
        <v>3</v>
      </c>
      <c r="BB5" s="13">
        <f t="shared" si="13"/>
        <v>0</v>
      </c>
      <c r="BC5" s="11">
        <v>0</v>
      </c>
      <c r="BD5" s="12">
        <v>0</v>
      </c>
      <c r="BE5" s="13">
        <v>0</v>
      </c>
      <c r="BF5" s="13">
        <f t="shared" si="14"/>
        <v>0</v>
      </c>
      <c r="BG5" s="11">
        <v>0</v>
      </c>
      <c r="BH5" s="12">
        <v>0</v>
      </c>
      <c r="BI5" s="13">
        <v>0</v>
      </c>
      <c r="BJ5" s="13">
        <f t="shared" si="15"/>
        <v>0</v>
      </c>
      <c r="BK5" s="11">
        <v>0</v>
      </c>
      <c r="BL5" s="12">
        <v>0</v>
      </c>
      <c r="BM5" s="13">
        <v>0</v>
      </c>
      <c r="BN5" s="13">
        <f t="shared" si="16"/>
        <v>0</v>
      </c>
      <c r="BO5" s="11">
        <v>6</v>
      </c>
      <c r="BP5" s="12">
        <v>0</v>
      </c>
      <c r="BQ5" s="13">
        <v>0</v>
      </c>
      <c r="BR5" s="13">
        <f t="shared" si="17"/>
        <v>0</v>
      </c>
      <c r="BS5" s="11">
        <v>0</v>
      </c>
      <c r="BT5" s="12">
        <f t="shared" si="18"/>
        <v>15</v>
      </c>
      <c r="BU5" s="13">
        <f t="shared" si="19"/>
        <v>0</v>
      </c>
      <c r="BV5" s="13">
        <f t="shared" si="20"/>
        <v>19</v>
      </c>
      <c r="BW5" s="13">
        <f t="shared" si="21"/>
        <v>1</v>
      </c>
      <c r="BX5" s="13">
        <f t="shared" si="22"/>
        <v>0.44117647058823528</v>
      </c>
      <c r="BY5" s="11">
        <f t="shared" si="23"/>
        <v>0.61224489795918369</v>
      </c>
      <c r="CC5" s="75" t="s">
        <v>56</v>
      </c>
      <c r="CD5">
        <f>AVERAGE(BW7:BW8)</f>
        <v>0.9</v>
      </c>
      <c r="CE5">
        <f t="shared" ref="CE5:CF5" si="25">AVERAGE(BX7:BX8)</f>
        <v>0.63293650793650791</v>
      </c>
      <c r="CF5">
        <f t="shared" si="25"/>
        <v>0.74316939890710376</v>
      </c>
    </row>
    <row r="6" spans="1:84" x14ac:dyDescent="0.35">
      <c r="A6" s="53" t="s">
        <v>10</v>
      </c>
      <c r="B6" s="108"/>
      <c r="C6" s="11" t="s">
        <v>14</v>
      </c>
      <c r="D6" s="12">
        <v>4</v>
      </c>
      <c r="E6" s="13">
        <v>4</v>
      </c>
      <c r="F6" s="13">
        <f t="shared" si="1"/>
        <v>0</v>
      </c>
      <c r="G6" s="11">
        <v>0</v>
      </c>
      <c r="H6" s="12">
        <v>0</v>
      </c>
      <c r="I6" s="13">
        <v>0</v>
      </c>
      <c r="J6" s="13">
        <f t="shared" si="2"/>
        <v>0</v>
      </c>
      <c r="K6" s="11">
        <v>0</v>
      </c>
      <c r="L6" s="12">
        <v>0</v>
      </c>
      <c r="M6" s="13">
        <v>0</v>
      </c>
      <c r="N6" s="13">
        <f t="shared" si="3"/>
        <v>0</v>
      </c>
      <c r="O6" s="11">
        <v>0</v>
      </c>
      <c r="P6" s="12">
        <v>4</v>
      </c>
      <c r="Q6" s="13">
        <v>4</v>
      </c>
      <c r="R6" s="13">
        <f t="shared" si="4"/>
        <v>0</v>
      </c>
      <c r="S6" s="11">
        <v>0</v>
      </c>
      <c r="T6" s="12">
        <v>0</v>
      </c>
      <c r="U6" s="13">
        <v>0</v>
      </c>
      <c r="V6" s="13">
        <f t="shared" si="5"/>
        <v>0</v>
      </c>
      <c r="W6" s="11">
        <v>4</v>
      </c>
      <c r="X6" s="12">
        <v>1</v>
      </c>
      <c r="Y6" s="13">
        <v>1</v>
      </c>
      <c r="Z6" s="13">
        <f t="shared" si="6"/>
        <v>0</v>
      </c>
      <c r="AA6" s="11">
        <v>0</v>
      </c>
      <c r="AB6" s="12">
        <v>0</v>
      </c>
      <c r="AC6" s="13">
        <v>0</v>
      </c>
      <c r="AD6" s="13">
        <f t="shared" si="7"/>
        <v>0</v>
      </c>
      <c r="AE6" s="11">
        <v>0</v>
      </c>
      <c r="AF6" s="12">
        <v>0</v>
      </c>
      <c r="AG6" s="13">
        <v>0</v>
      </c>
      <c r="AH6" s="13">
        <f t="shared" si="8"/>
        <v>0</v>
      </c>
      <c r="AI6" s="11">
        <v>1</v>
      </c>
      <c r="AJ6" s="12">
        <v>3</v>
      </c>
      <c r="AK6" s="13">
        <v>3</v>
      </c>
      <c r="AL6" s="13">
        <f t="shared" si="9"/>
        <v>0</v>
      </c>
      <c r="AM6" s="11">
        <v>0</v>
      </c>
      <c r="AN6" s="12">
        <v>0</v>
      </c>
      <c r="AO6" s="13">
        <v>0</v>
      </c>
      <c r="AP6" s="13">
        <f t="shared" si="10"/>
        <v>0</v>
      </c>
      <c r="AQ6" s="11">
        <v>1</v>
      </c>
      <c r="AR6" s="12">
        <v>0</v>
      </c>
      <c r="AS6" s="13">
        <v>0</v>
      </c>
      <c r="AT6" s="13">
        <f t="shared" si="11"/>
        <v>0</v>
      </c>
      <c r="AU6" s="11">
        <v>0</v>
      </c>
      <c r="AV6" s="12">
        <v>0</v>
      </c>
      <c r="AW6" s="13">
        <v>0</v>
      </c>
      <c r="AX6" s="13">
        <f t="shared" si="12"/>
        <v>0</v>
      </c>
      <c r="AY6" s="11">
        <v>0</v>
      </c>
      <c r="AZ6" s="12">
        <v>3</v>
      </c>
      <c r="BA6" s="13">
        <v>3</v>
      </c>
      <c r="BB6" s="13">
        <f t="shared" si="13"/>
        <v>0</v>
      </c>
      <c r="BC6" s="11">
        <v>0</v>
      </c>
      <c r="BD6" s="12">
        <v>0</v>
      </c>
      <c r="BE6" s="13">
        <v>0</v>
      </c>
      <c r="BF6" s="13">
        <f t="shared" si="14"/>
        <v>0</v>
      </c>
      <c r="BG6" s="11">
        <v>0</v>
      </c>
      <c r="BH6" s="12">
        <v>0</v>
      </c>
      <c r="BI6" s="13">
        <v>0</v>
      </c>
      <c r="BJ6" s="13">
        <f t="shared" si="15"/>
        <v>0</v>
      </c>
      <c r="BK6" s="11">
        <v>0</v>
      </c>
      <c r="BL6" s="12">
        <v>0</v>
      </c>
      <c r="BM6" s="13">
        <v>0</v>
      </c>
      <c r="BN6" s="13">
        <f t="shared" si="16"/>
        <v>0</v>
      </c>
      <c r="BO6" s="11">
        <v>6</v>
      </c>
      <c r="BP6" s="12">
        <v>0</v>
      </c>
      <c r="BQ6" s="13">
        <v>0</v>
      </c>
      <c r="BR6" s="13">
        <f t="shared" si="17"/>
        <v>0</v>
      </c>
      <c r="BS6" s="11">
        <v>0</v>
      </c>
      <c r="BT6" s="12">
        <f t="shared" si="18"/>
        <v>15</v>
      </c>
      <c r="BU6" s="13">
        <f t="shared" si="19"/>
        <v>0</v>
      </c>
      <c r="BV6" s="13">
        <f t="shared" si="20"/>
        <v>12</v>
      </c>
      <c r="BW6" s="13">
        <f t="shared" si="21"/>
        <v>1</v>
      </c>
      <c r="BX6" s="13">
        <f t="shared" si="22"/>
        <v>0.55555555555555558</v>
      </c>
      <c r="BY6" s="11">
        <f t="shared" si="23"/>
        <v>0.7142857142857143</v>
      </c>
      <c r="CC6" s="75" t="s">
        <v>57</v>
      </c>
      <c r="CD6">
        <f>AVERAGE(BW9:BW10)</f>
        <v>0.88461538461538458</v>
      </c>
      <c r="CE6">
        <f t="shared" ref="CE6:CF6" si="26">AVERAGE(BX9:BX10)</f>
        <v>0.53042596348884385</v>
      </c>
      <c r="CF6">
        <f t="shared" si="26"/>
        <v>0.65238095238095251</v>
      </c>
    </row>
    <row r="7" spans="1:84" x14ac:dyDescent="0.35">
      <c r="A7" s="54" t="s">
        <v>10</v>
      </c>
      <c r="B7" s="108"/>
      <c r="C7" s="14" t="s">
        <v>15</v>
      </c>
      <c r="D7" s="15">
        <v>6</v>
      </c>
      <c r="E7" s="16">
        <v>6</v>
      </c>
      <c r="F7" s="16">
        <f t="shared" si="1"/>
        <v>0</v>
      </c>
      <c r="G7" s="14">
        <v>0</v>
      </c>
      <c r="H7" s="15">
        <v>0</v>
      </c>
      <c r="I7" s="16">
        <v>0</v>
      </c>
      <c r="J7" s="16">
        <f t="shared" si="2"/>
        <v>0</v>
      </c>
      <c r="K7" s="14">
        <v>0</v>
      </c>
      <c r="L7" s="15">
        <v>0</v>
      </c>
      <c r="M7" s="16">
        <v>0</v>
      </c>
      <c r="N7" s="16">
        <f t="shared" si="3"/>
        <v>0</v>
      </c>
      <c r="O7" s="14">
        <v>0</v>
      </c>
      <c r="P7" s="15">
        <v>9</v>
      </c>
      <c r="Q7" s="16">
        <v>9</v>
      </c>
      <c r="R7" s="16">
        <f t="shared" si="4"/>
        <v>0</v>
      </c>
      <c r="S7" s="14">
        <v>0</v>
      </c>
      <c r="T7" s="15">
        <v>0</v>
      </c>
      <c r="U7" s="16">
        <v>0</v>
      </c>
      <c r="V7" s="16">
        <f t="shared" si="5"/>
        <v>0</v>
      </c>
      <c r="W7" s="14">
        <v>0</v>
      </c>
      <c r="X7" s="15">
        <v>0</v>
      </c>
      <c r="Y7" s="16">
        <v>0</v>
      </c>
      <c r="Z7" s="16">
        <f t="shared" si="6"/>
        <v>0</v>
      </c>
      <c r="AA7" s="14">
        <v>0</v>
      </c>
      <c r="AB7" s="15">
        <v>0</v>
      </c>
      <c r="AC7" s="16">
        <v>0</v>
      </c>
      <c r="AD7" s="16">
        <f t="shared" si="7"/>
        <v>0</v>
      </c>
      <c r="AE7" s="14">
        <v>0</v>
      </c>
      <c r="AF7" s="15">
        <v>0</v>
      </c>
      <c r="AG7" s="16">
        <v>0</v>
      </c>
      <c r="AH7" s="16">
        <f t="shared" si="8"/>
        <v>0</v>
      </c>
      <c r="AI7" s="14">
        <v>0</v>
      </c>
      <c r="AJ7" s="15">
        <v>5</v>
      </c>
      <c r="AK7" s="16">
        <v>5</v>
      </c>
      <c r="AL7" s="16">
        <f t="shared" si="9"/>
        <v>0</v>
      </c>
      <c r="AM7" s="14">
        <v>0</v>
      </c>
      <c r="AN7" s="15">
        <v>0</v>
      </c>
      <c r="AO7" s="16">
        <v>0</v>
      </c>
      <c r="AP7" s="16">
        <f t="shared" si="10"/>
        <v>0</v>
      </c>
      <c r="AQ7" s="14">
        <v>0</v>
      </c>
      <c r="AR7" s="15">
        <v>0</v>
      </c>
      <c r="AS7" s="16">
        <v>0</v>
      </c>
      <c r="AT7" s="16">
        <f t="shared" si="11"/>
        <v>0</v>
      </c>
      <c r="AU7" s="14">
        <v>0</v>
      </c>
      <c r="AV7" s="15">
        <v>0</v>
      </c>
      <c r="AW7" s="16">
        <v>0</v>
      </c>
      <c r="AX7" s="16">
        <f t="shared" si="12"/>
        <v>0</v>
      </c>
      <c r="AY7" s="14">
        <v>0</v>
      </c>
      <c r="AZ7" s="15">
        <v>5</v>
      </c>
      <c r="BA7" s="16">
        <v>5</v>
      </c>
      <c r="BB7" s="16">
        <f t="shared" si="13"/>
        <v>0</v>
      </c>
      <c r="BC7" s="14">
        <v>0</v>
      </c>
      <c r="BD7" s="15">
        <v>0</v>
      </c>
      <c r="BE7" s="16">
        <v>0</v>
      </c>
      <c r="BF7" s="16">
        <f t="shared" si="14"/>
        <v>0</v>
      </c>
      <c r="BG7" s="14">
        <v>0</v>
      </c>
      <c r="BH7" s="15">
        <v>0</v>
      </c>
      <c r="BI7" s="16">
        <v>0</v>
      </c>
      <c r="BJ7" s="16">
        <f t="shared" si="15"/>
        <v>0</v>
      </c>
      <c r="BK7" s="14">
        <v>1</v>
      </c>
      <c r="BL7" s="15">
        <v>0</v>
      </c>
      <c r="BM7" s="16">
        <v>0</v>
      </c>
      <c r="BN7" s="16">
        <f t="shared" si="16"/>
        <v>0</v>
      </c>
      <c r="BO7" s="14">
        <v>10</v>
      </c>
      <c r="BP7" s="15">
        <v>0</v>
      </c>
      <c r="BQ7" s="16">
        <v>0</v>
      </c>
      <c r="BR7" s="16">
        <f t="shared" si="17"/>
        <v>0</v>
      </c>
      <c r="BS7" s="14">
        <v>0</v>
      </c>
      <c r="BT7" s="15">
        <f t="shared" si="18"/>
        <v>25</v>
      </c>
      <c r="BU7" s="16">
        <f t="shared" si="19"/>
        <v>0</v>
      </c>
      <c r="BV7" s="16">
        <f t="shared" si="20"/>
        <v>11</v>
      </c>
      <c r="BW7" s="16">
        <f t="shared" si="21"/>
        <v>1</v>
      </c>
      <c r="BX7" s="16">
        <f t="shared" si="22"/>
        <v>0.69444444444444442</v>
      </c>
      <c r="BY7" s="14">
        <f t="shared" si="23"/>
        <v>0.81967213114754101</v>
      </c>
      <c r="CC7" s="75" t="s">
        <v>58</v>
      </c>
      <c r="CD7">
        <f>AVERAGE(BW11:BW12)</f>
        <v>0.94444444444444442</v>
      </c>
      <c r="CE7">
        <f t="shared" ref="CE7" si="27">AVERAGE(BX11:BX12)</f>
        <v>0.77117117117117118</v>
      </c>
      <c r="CF7">
        <f>AVERAGE(BY11:BY12)</f>
        <v>0.84676535087719307</v>
      </c>
    </row>
    <row r="8" spans="1:84" x14ac:dyDescent="0.35">
      <c r="A8" s="54" t="s">
        <v>10</v>
      </c>
      <c r="B8" s="108"/>
      <c r="C8" s="14" t="s">
        <v>16</v>
      </c>
      <c r="D8" s="15">
        <v>6</v>
      </c>
      <c r="E8" s="16">
        <v>6</v>
      </c>
      <c r="F8" s="16">
        <f t="shared" si="1"/>
        <v>0</v>
      </c>
      <c r="G8" s="14">
        <v>0</v>
      </c>
      <c r="H8" s="15">
        <v>0</v>
      </c>
      <c r="I8" s="16">
        <v>0</v>
      </c>
      <c r="J8" s="16">
        <f t="shared" si="2"/>
        <v>0</v>
      </c>
      <c r="K8" s="14">
        <v>0</v>
      </c>
      <c r="L8" s="15">
        <v>0</v>
      </c>
      <c r="M8" s="16">
        <v>0</v>
      </c>
      <c r="N8" s="16">
        <f t="shared" si="3"/>
        <v>0</v>
      </c>
      <c r="O8" s="14">
        <v>0</v>
      </c>
      <c r="P8" s="15">
        <v>9</v>
      </c>
      <c r="Q8" s="16">
        <v>9</v>
      </c>
      <c r="R8" s="16">
        <f t="shared" si="4"/>
        <v>0</v>
      </c>
      <c r="S8" s="14">
        <v>0</v>
      </c>
      <c r="T8" s="15">
        <v>0</v>
      </c>
      <c r="U8" s="16">
        <v>0</v>
      </c>
      <c r="V8" s="16">
        <f t="shared" si="5"/>
        <v>0</v>
      </c>
      <c r="W8" s="14">
        <v>0</v>
      </c>
      <c r="X8" s="15">
        <v>0</v>
      </c>
      <c r="Y8" s="16">
        <v>0</v>
      </c>
      <c r="Z8" s="16">
        <f t="shared" si="6"/>
        <v>0</v>
      </c>
      <c r="AA8" s="14">
        <v>0</v>
      </c>
      <c r="AB8" s="15">
        <v>0</v>
      </c>
      <c r="AC8" s="16">
        <v>0</v>
      </c>
      <c r="AD8" s="16">
        <f t="shared" si="7"/>
        <v>0</v>
      </c>
      <c r="AE8" s="14">
        <v>0</v>
      </c>
      <c r="AF8" s="15">
        <v>0</v>
      </c>
      <c r="AG8" s="16">
        <v>0</v>
      </c>
      <c r="AH8" s="16">
        <f t="shared" si="8"/>
        <v>0</v>
      </c>
      <c r="AI8" s="14">
        <v>0</v>
      </c>
      <c r="AJ8" s="15">
        <v>5</v>
      </c>
      <c r="AK8" s="16">
        <v>5</v>
      </c>
      <c r="AL8" s="16">
        <f t="shared" si="9"/>
        <v>0</v>
      </c>
      <c r="AM8" s="14">
        <v>0</v>
      </c>
      <c r="AN8" s="15">
        <v>0</v>
      </c>
      <c r="AO8" s="16">
        <v>0</v>
      </c>
      <c r="AP8" s="16">
        <f t="shared" si="10"/>
        <v>0</v>
      </c>
      <c r="AQ8" s="14">
        <v>0</v>
      </c>
      <c r="AR8" s="15">
        <v>0</v>
      </c>
      <c r="AS8" s="16">
        <v>0</v>
      </c>
      <c r="AT8" s="16">
        <f t="shared" si="11"/>
        <v>0</v>
      </c>
      <c r="AU8" s="14">
        <v>0</v>
      </c>
      <c r="AV8" s="15">
        <v>0</v>
      </c>
      <c r="AW8" s="16">
        <v>0</v>
      </c>
      <c r="AX8" s="16">
        <f t="shared" si="12"/>
        <v>0</v>
      </c>
      <c r="AY8" s="14">
        <v>0</v>
      </c>
      <c r="AZ8" s="15">
        <v>5</v>
      </c>
      <c r="BA8" s="16">
        <v>0</v>
      </c>
      <c r="BB8" s="16">
        <f t="shared" si="13"/>
        <v>5</v>
      </c>
      <c r="BC8" s="14">
        <v>5</v>
      </c>
      <c r="BD8" s="15">
        <v>0</v>
      </c>
      <c r="BE8" s="16">
        <v>0</v>
      </c>
      <c r="BF8" s="16">
        <f t="shared" si="14"/>
        <v>0</v>
      </c>
      <c r="BG8" s="14">
        <v>0</v>
      </c>
      <c r="BH8" s="15">
        <v>0</v>
      </c>
      <c r="BI8" s="16">
        <v>0</v>
      </c>
      <c r="BJ8" s="16">
        <f t="shared" si="15"/>
        <v>0</v>
      </c>
      <c r="BK8" s="14">
        <v>0</v>
      </c>
      <c r="BL8" s="15">
        <v>0</v>
      </c>
      <c r="BM8" s="16">
        <v>0</v>
      </c>
      <c r="BN8" s="16">
        <f t="shared" si="16"/>
        <v>0</v>
      </c>
      <c r="BO8" s="14">
        <v>10</v>
      </c>
      <c r="BP8" s="15">
        <v>0</v>
      </c>
      <c r="BQ8" s="16">
        <v>0</v>
      </c>
      <c r="BR8" s="16">
        <f t="shared" si="17"/>
        <v>0</v>
      </c>
      <c r="BS8" s="14">
        <v>0</v>
      </c>
      <c r="BT8" s="15">
        <f t="shared" si="18"/>
        <v>20</v>
      </c>
      <c r="BU8" s="16">
        <f t="shared" si="19"/>
        <v>5</v>
      </c>
      <c r="BV8" s="16">
        <f t="shared" si="20"/>
        <v>15</v>
      </c>
      <c r="BW8" s="16">
        <f t="shared" si="21"/>
        <v>0.8</v>
      </c>
      <c r="BX8" s="16">
        <f t="shared" si="22"/>
        <v>0.5714285714285714</v>
      </c>
      <c r="BY8" s="14">
        <f t="shared" si="23"/>
        <v>0.66666666666666663</v>
      </c>
      <c r="CC8" s="75" t="s">
        <v>59</v>
      </c>
      <c r="CD8">
        <f>AVERAGE(BW13:BW14)</f>
        <v>0.7142857142857143</v>
      </c>
      <c r="CE8">
        <f t="shared" ref="CE8:CF8" si="28">AVERAGE(BX13:BX14)</f>
        <v>0.33157894736842108</v>
      </c>
      <c r="CF8">
        <f t="shared" si="28"/>
        <v>0.44871794871794873</v>
      </c>
    </row>
    <row r="9" spans="1:84" x14ac:dyDescent="0.35">
      <c r="A9" s="55" t="s">
        <v>10</v>
      </c>
      <c r="B9" s="108"/>
      <c r="C9" s="17" t="s">
        <v>17</v>
      </c>
      <c r="D9" s="18">
        <v>3</v>
      </c>
      <c r="E9" s="19">
        <v>3</v>
      </c>
      <c r="F9" s="19">
        <f t="shared" si="1"/>
        <v>0</v>
      </c>
      <c r="G9" s="17">
        <v>0</v>
      </c>
      <c r="H9" s="18">
        <v>0</v>
      </c>
      <c r="I9" s="19">
        <v>0</v>
      </c>
      <c r="J9" s="19">
        <f t="shared" si="2"/>
        <v>0</v>
      </c>
      <c r="K9" s="17">
        <v>0</v>
      </c>
      <c r="L9" s="18">
        <v>0</v>
      </c>
      <c r="M9" s="19">
        <v>0</v>
      </c>
      <c r="N9" s="19">
        <f t="shared" si="3"/>
        <v>0</v>
      </c>
      <c r="O9" s="17">
        <v>0</v>
      </c>
      <c r="P9" s="18">
        <v>5</v>
      </c>
      <c r="Q9" s="19">
        <v>5</v>
      </c>
      <c r="R9" s="19">
        <f t="shared" si="4"/>
        <v>0</v>
      </c>
      <c r="S9" s="17">
        <v>1</v>
      </c>
      <c r="T9" s="18">
        <v>0</v>
      </c>
      <c r="U9" s="19">
        <v>0</v>
      </c>
      <c r="V9" s="19">
        <f t="shared" si="5"/>
        <v>0</v>
      </c>
      <c r="W9" s="17">
        <v>0</v>
      </c>
      <c r="X9" s="18">
        <v>0</v>
      </c>
      <c r="Y9" s="19">
        <v>0</v>
      </c>
      <c r="Z9" s="19">
        <f t="shared" si="6"/>
        <v>0</v>
      </c>
      <c r="AA9" s="17">
        <v>0</v>
      </c>
      <c r="AB9" s="18">
        <v>0</v>
      </c>
      <c r="AC9" s="19">
        <v>0</v>
      </c>
      <c r="AD9" s="19">
        <f t="shared" si="7"/>
        <v>0</v>
      </c>
      <c r="AE9" s="17">
        <v>0</v>
      </c>
      <c r="AF9" s="18">
        <v>0</v>
      </c>
      <c r="AG9" s="19">
        <v>0</v>
      </c>
      <c r="AH9" s="19">
        <f t="shared" si="8"/>
        <v>0</v>
      </c>
      <c r="AI9" s="17">
        <v>0</v>
      </c>
      <c r="AJ9" s="18">
        <v>1</v>
      </c>
      <c r="AK9" s="19">
        <v>1</v>
      </c>
      <c r="AL9" s="19">
        <f t="shared" si="9"/>
        <v>0</v>
      </c>
      <c r="AM9" s="17">
        <v>0</v>
      </c>
      <c r="AN9" s="18">
        <v>0</v>
      </c>
      <c r="AO9" s="19">
        <v>0</v>
      </c>
      <c r="AP9" s="19">
        <f t="shared" si="10"/>
        <v>0</v>
      </c>
      <c r="AQ9" s="17">
        <v>0</v>
      </c>
      <c r="AR9" s="18">
        <v>1</v>
      </c>
      <c r="AS9" s="19">
        <v>0</v>
      </c>
      <c r="AT9" s="19">
        <f t="shared" si="11"/>
        <v>1</v>
      </c>
      <c r="AU9" s="17">
        <v>0</v>
      </c>
      <c r="AV9" s="18">
        <v>0</v>
      </c>
      <c r="AW9" s="19">
        <v>0</v>
      </c>
      <c r="AX9" s="19">
        <f t="shared" si="12"/>
        <v>0</v>
      </c>
      <c r="AY9" s="17">
        <v>1</v>
      </c>
      <c r="AZ9" s="18">
        <v>2</v>
      </c>
      <c r="BA9" s="19">
        <v>2</v>
      </c>
      <c r="BB9" s="19">
        <f t="shared" si="13"/>
        <v>0</v>
      </c>
      <c r="BC9" s="17">
        <v>0</v>
      </c>
      <c r="BD9" s="18">
        <v>0</v>
      </c>
      <c r="BE9" s="19">
        <v>0</v>
      </c>
      <c r="BF9" s="19">
        <f t="shared" si="14"/>
        <v>0</v>
      </c>
      <c r="BG9" s="17">
        <v>0</v>
      </c>
      <c r="BH9" s="18">
        <v>0</v>
      </c>
      <c r="BI9" s="19">
        <v>0</v>
      </c>
      <c r="BJ9" s="19">
        <f t="shared" si="15"/>
        <v>0</v>
      </c>
      <c r="BK9" s="17">
        <v>0</v>
      </c>
      <c r="BL9" s="18">
        <v>1</v>
      </c>
      <c r="BM9" s="19">
        <v>0</v>
      </c>
      <c r="BN9" s="19">
        <f t="shared" si="16"/>
        <v>1</v>
      </c>
      <c r="BO9" s="17">
        <v>4</v>
      </c>
      <c r="BP9" s="18">
        <v>0</v>
      </c>
      <c r="BQ9" s="19">
        <v>0</v>
      </c>
      <c r="BR9" s="19">
        <f t="shared" si="17"/>
        <v>0</v>
      </c>
      <c r="BS9" s="17">
        <v>0</v>
      </c>
      <c r="BT9" s="18">
        <f t="shared" si="18"/>
        <v>11</v>
      </c>
      <c r="BU9" s="19">
        <f t="shared" si="19"/>
        <v>2</v>
      </c>
      <c r="BV9" s="19">
        <f t="shared" si="20"/>
        <v>6</v>
      </c>
      <c r="BW9" s="19">
        <f t="shared" si="21"/>
        <v>0.84615384615384615</v>
      </c>
      <c r="BX9" s="19">
        <f t="shared" si="22"/>
        <v>0.6470588235294118</v>
      </c>
      <c r="BY9" s="17">
        <f t="shared" si="23"/>
        <v>0.73333333333333339</v>
      </c>
      <c r="CC9" s="75" t="s">
        <v>60</v>
      </c>
      <c r="CD9">
        <f>AVERAGE(BW15:BW16)</f>
        <v>0.9375</v>
      </c>
      <c r="CE9">
        <f t="shared" ref="CE9:CF9" si="29">AVERAGE(BX15:BX16)</f>
        <v>0.57692307692307687</v>
      </c>
      <c r="CF9">
        <f t="shared" si="29"/>
        <v>0.71428571428571441</v>
      </c>
    </row>
    <row r="10" spans="1:84" x14ac:dyDescent="0.35">
      <c r="A10" s="55" t="s">
        <v>10</v>
      </c>
      <c r="B10" s="108"/>
      <c r="C10" s="17" t="s">
        <v>18</v>
      </c>
      <c r="D10" s="18">
        <v>3</v>
      </c>
      <c r="E10" s="19">
        <v>3</v>
      </c>
      <c r="F10" s="19">
        <f t="shared" si="1"/>
        <v>0</v>
      </c>
      <c r="G10" s="17">
        <v>0</v>
      </c>
      <c r="H10" s="18">
        <v>0</v>
      </c>
      <c r="I10" s="19">
        <v>0</v>
      </c>
      <c r="J10" s="19">
        <f t="shared" si="2"/>
        <v>0</v>
      </c>
      <c r="K10" s="17">
        <v>3</v>
      </c>
      <c r="L10" s="18">
        <v>0</v>
      </c>
      <c r="M10" s="19">
        <v>0</v>
      </c>
      <c r="N10" s="19">
        <f t="shared" si="3"/>
        <v>0</v>
      </c>
      <c r="O10" s="17">
        <v>0</v>
      </c>
      <c r="P10" s="18">
        <v>5</v>
      </c>
      <c r="Q10" s="19">
        <v>5</v>
      </c>
      <c r="R10" s="19">
        <f t="shared" si="4"/>
        <v>0</v>
      </c>
      <c r="S10" s="17">
        <v>1</v>
      </c>
      <c r="T10" s="18">
        <v>0</v>
      </c>
      <c r="U10" s="19">
        <v>0</v>
      </c>
      <c r="V10" s="19">
        <f t="shared" si="5"/>
        <v>0</v>
      </c>
      <c r="W10" s="17">
        <v>6</v>
      </c>
      <c r="X10" s="18">
        <v>0</v>
      </c>
      <c r="Y10" s="19">
        <v>0</v>
      </c>
      <c r="Z10" s="19">
        <f t="shared" si="6"/>
        <v>0</v>
      </c>
      <c r="AA10" s="17">
        <v>0</v>
      </c>
      <c r="AB10" s="18">
        <v>0</v>
      </c>
      <c r="AC10" s="19">
        <v>0</v>
      </c>
      <c r="AD10" s="19">
        <f t="shared" si="7"/>
        <v>0</v>
      </c>
      <c r="AE10" s="17">
        <v>0</v>
      </c>
      <c r="AF10" s="18">
        <v>0</v>
      </c>
      <c r="AG10" s="19">
        <v>0</v>
      </c>
      <c r="AH10" s="19">
        <f t="shared" si="8"/>
        <v>0</v>
      </c>
      <c r="AI10" s="17">
        <v>3</v>
      </c>
      <c r="AJ10" s="18">
        <v>1</v>
      </c>
      <c r="AK10" s="19">
        <v>1</v>
      </c>
      <c r="AL10" s="19">
        <f t="shared" si="9"/>
        <v>0</v>
      </c>
      <c r="AM10" s="17">
        <v>0</v>
      </c>
      <c r="AN10" s="18">
        <v>0</v>
      </c>
      <c r="AO10" s="19">
        <v>0</v>
      </c>
      <c r="AP10" s="19">
        <f t="shared" si="10"/>
        <v>0</v>
      </c>
      <c r="AQ10" s="17">
        <v>0</v>
      </c>
      <c r="AR10" s="18">
        <v>1</v>
      </c>
      <c r="AS10" s="19">
        <v>1</v>
      </c>
      <c r="AT10" s="19">
        <f t="shared" si="11"/>
        <v>0</v>
      </c>
      <c r="AU10" s="17">
        <v>0</v>
      </c>
      <c r="AV10" s="18">
        <v>0</v>
      </c>
      <c r="AW10" s="19">
        <v>0</v>
      </c>
      <c r="AX10" s="19">
        <f t="shared" si="12"/>
        <v>0</v>
      </c>
      <c r="AY10" s="17">
        <v>0</v>
      </c>
      <c r="AZ10" s="18">
        <v>2</v>
      </c>
      <c r="BA10" s="19">
        <v>2</v>
      </c>
      <c r="BB10" s="19">
        <f t="shared" si="13"/>
        <v>0</v>
      </c>
      <c r="BC10" s="17">
        <v>0</v>
      </c>
      <c r="BD10" s="18">
        <v>0</v>
      </c>
      <c r="BE10" s="19">
        <v>0</v>
      </c>
      <c r="BF10" s="19">
        <f t="shared" si="14"/>
        <v>0</v>
      </c>
      <c r="BG10" s="17">
        <v>0</v>
      </c>
      <c r="BH10" s="18">
        <v>0</v>
      </c>
      <c r="BI10" s="19">
        <v>0</v>
      </c>
      <c r="BJ10" s="19">
        <f t="shared" si="15"/>
        <v>0</v>
      </c>
      <c r="BK10" s="17">
        <v>0</v>
      </c>
      <c r="BL10" s="18">
        <v>1</v>
      </c>
      <c r="BM10" s="19">
        <v>0</v>
      </c>
      <c r="BN10" s="19">
        <f t="shared" si="16"/>
        <v>1</v>
      </c>
      <c r="BO10" s="17">
        <v>4</v>
      </c>
      <c r="BP10" s="18">
        <v>0</v>
      </c>
      <c r="BQ10" s="19">
        <v>0</v>
      </c>
      <c r="BR10" s="19">
        <f t="shared" si="17"/>
        <v>0</v>
      </c>
      <c r="BS10" s="17">
        <v>0</v>
      </c>
      <c r="BT10" s="18">
        <f t="shared" si="18"/>
        <v>12</v>
      </c>
      <c r="BU10" s="19">
        <f t="shared" si="19"/>
        <v>1</v>
      </c>
      <c r="BV10" s="19">
        <f t="shared" si="20"/>
        <v>17</v>
      </c>
      <c r="BW10" s="19">
        <f t="shared" si="21"/>
        <v>0.92307692307692313</v>
      </c>
      <c r="BX10" s="19">
        <f t="shared" si="22"/>
        <v>0.41379310344827586</v>
      </c>
      <c r="BY10" s="17">
        <f t="shared" si="23"/>
        <v>0.57142857142857151</v>
      </c>
      <c r="CC10" s="75" t="s">
        <v>61</v>
      </c>
      <c r="CD10">
        <f>AVERAGE(BW17:BW18)</f>
        <v>0.95</v>
      </c>
      <c r="CE10">
        <f t="shared" ref="CE10:CF10" si="30">AVERAGE(BX17:BX18)</f>
        <v>0.71666666666666667</v>
      </c>
      <c r="CF10">
        <f t="shared" si="30"/>
        <v>0.81454545454545457</v>
      </c>
    </row>
    <row r="11" spans="1:84" x14ac:dyDescent="0.35">
      <c r="A11" s="56" t="s">
        <v>10</v>
      </c>
      <c r="B11" s="108"/>
      <c r="C11" s="20" t="s">
        <v>19</v>
      </c>
      <c r="D11" s="21">
        <v>2</v>
      </c>
      <c r="E11" s="22">
        <v>2</v>
      </c>
      <c r="F11" s="22">
        <f t="shared" si="1"/>
        <v>0</v>
      </c>
      <c r="G11" s="20">
        <v>0</v>
      </c>
      <c r="H11" s="21">
        <v>2</v>
      </c>
      <c r="I11" s="22">
        <v>2</v>
      </c>
      <c r="J11" s="22">
        <f t="shared" si="2"/>
        <v>0</v>
      </c>
      <c r="K11" s="20">
        <v>0</v>
      </c>
      <c r="L11" s="21">
        <v>8</v>
      </c>
      <c r="M11" s="22">
        <v>8</v>
      </c>
      <c r="N11" s="22">
        <f t="shared" si="3"/>
        <v>0</v>
      </c>
      <c r="O11" s="20">
        <v>0</v>
      </c>
      <c r="P11" s="21">
        <v>7</v>
      </c>
      <c r="Q11" s="22">
        <v>7</v>
      </c>
      <c r="R11" s="22">
        <f t="shared" si="4"/>
        <v>0</v>
      </c>
      <c r="S11" s="20">
        <v>2</v>
      </c>
      <c r="T11" s="21">
        <v>0</v>
      </c>
      <c r="U11" s="22">
        <v>0</v>
      </c>
      <c r="V11" s="22">
        <f t="shared" si="5"/>
        <v>0</v>
      </c>
      <c r="W11" s="20">
        <v>7</v>
      </c>
      <c r="X11" s="21">
        <v>1</v>
      </c>
      <c r="Y11" s="22">
        <v>1</v>
      </c>
      <c r="Z11" s="22">
        <f t="shared" si="6"/>
        <v>0</v>
      </c>
      <c r="AA11" s="20">
        <v>0</v>
      </c>
      <c r="AB11" s="21">
        <v>1</v>
      </c>
      <c r="AC11" s="22">
        <v>1</v>
      </c>
      <c r="AD11" s="22">
        <f t="shared" si="7"/>
        <v>0</v>
      </c>
      <c r="AE11" s="20">
        <v>0</v>
      </c>
      <c r="AF11" s="21">
        <v>3</v>
      </c>
      <c r="AG11" s="22">
        <v>3</v>
      </c>
      <c r="AH11" s="22">
        <f t="shared" si="8"/>
        <v>0</v>
      </c>
      <c r="AI11" s="20">
        <v>0</v>
      </c>
      <c r="AJ11" s="21">
        <v>0</v>
      </c>
      <c r="AK11" s="22">
        <v>0</v>
      </c>
      <c r="AL11" s="22">
        <f t="shared" si="9"/>
        <v>0</v>
      </c>
      <c r="AM11" s="20">
        <v>0</v>
      </c>
      <c r="AN11" s="21">
        <v>0</v>
      </c>
      <c r="AO11" s="22">
        <v>0</v>
      </c>
      <c r="AP11" s="22">
        <f t="shared" si="10"/>
        <v>0</v>
      </c>
      <c r="AQ11" s="20">
        <v>0</v>
      </c>
      <c r="AR11" s="21">
        <v>0</v>
      </c>
      <c r="AS11" s="22">
        <v>0</v>
      </c>
      <c r="AT11" s="22">
        <f t="shared" si="11"/>
        <v>0</v>
      </c>
      <c r="AU11" s="20">
        <v>0</v>
      </c>
      <c r="AV11" s="21">
        <v>1</v>
      </c>
      <c r="AW11" s="22">
        <v>0</v>
      </c>
      <c r="AX11" s="22">
        <f t="shared" si="12"/>
        <v>1</v>
      </c>
      <c r="AY11" s="20">
        <v>1</v>
      </c>
      <c r="AZ11" s="21">
        <v>1</v>
      </c>
      <c r="BA11" s="22">
        <v>1</v>
      </c>
      <c r="BB11" s="22">
        <f t="shared" si="13"/>
        <v>0</v>
      </c>
      <c r="BC11" s="20">
        <v>0</v>
      </c>
      <c r="BD11" s="21">
        <v>0</v>
      </c>
      <c r="BE11" s="22">
        <v>0</v>
      </c>
      <c r="BF11" s="22">
        <f t="shared" si="14"/>
        <v>0</v>
      </c>
      <c r="BG11" s="20">
        <v>0</v>
      </c>
      <c r="BH11" s="21">
        <v>0</v>
      </c>
      <c r="BI11" s="22">
        <v>0</v>
      </c>
      <c r="BJ11" s="22">
        <f t="shared" si="15"/>
        <v>0</v>
      </c>
      <c r="BK11" s="20">
        <v>0</v>
      </c>
      <c r="BL11" s="21">
        <v>1</v>
      </c>
      <c r="BM11" s="22">
        <v>0</v>
      </c>
      <c r="BN11" s="22">
        <f t="shared" si="16"/>
        <v>1</v>
      </c>
      <c r="BO11" s="20">
        <v>2</v>
      </c>
      <c r="BP11" s="21">
        <v>0</v>
      </c>
      <c r="BQ11" s="22">
        <v>0</v>
      </c>
      <c r="BR11" s="22">
        <f t="shared" si="17"/>
        <v>0</v>
      </c>
      <c r="BS11" s="20">
        <v>0</v>
      </c>
      <c r="BT11" s="21">
        <f t="shared" si="18"/>
        <v>25</v>
      </c>
      <c r="BU11" s="22">
        <f t="shared" si="19"/>
        <v>2</v>
      </c>
      <c r="BV11" s="22">
        <f t="shared" si="20"/>
        <v>12</v>
      </c>
      <c r="BW11" s="22">
        <f t="shared" si="21"/>
        <v>0.92592592592592593</v>
      </c>
      <c r="BX11" s="22">
        <f t="shared" si="22"/>
        <v>0.67567567567567566</v>
      </c>
      <c r="BY11" s="20">
        <f t="shared" si="23"/>
        <v>0.78125000000000011</v>
      </c>
      <c r="CC11" s="75" t="s">
        <v>62</v>
      </c>
      <c r="CD11">
        <f>AVERAGE(BW19:BW20)</f>
        <v>0.91176470588235292</v>
      </c>
      <c r="CE11">
        <f t="shared" ref="CE11:CF11" si="31">AVERAGE(BX19:BX20)</f>
        <v>0.72222222222222221</v>
      </c>
      <c r="CF11">
        <f t="shared" si="31"/>
        <v>0.79805194805194812</v>
      </c>
    </row>
    <row r="12" spans="1:84" x14ac:dyDescent="0.35">
      <c r="A12" s="56" t="s">
        <v>10</v>
      </c>
      <c r="B12" s="108"/>
      <c r="C12" s="20" t="s">
        <v>20</v>
      </c>
      <c r="D12" s="21">
        <v>2</v>
      </c>
      <c r="E12" s="22">
        <v>2</v>
      </c>
      <c r="F12" s="22">
        <f t="shared" si="1"/>
        <v>0</v>
      </c>
      <c r="G12" s="20">
        <v>0</v>
      </c>
      <c r="H12" s="21">
        <v>2</v>
      </c>
      <c r="I12" s="22">
        <v>2</v>
      </c>
      <c r="J12" s="22">
        <f>H12-I12</f>
        <v>0</v>
      </c>
      <c r="K12" s="20">
        <v>0</v>
      </c>
      <c r="L12" s="21">
        <v>8</v>
      </c>
      <c r="M12" s="22">
        <v>8</v>
      </c>
      <c r="N12" s="22">
        <f t="shared" si="3"/>
        <v>0</v>
      </c>
      <c r="O12" s="20">
        <v>0</v>
      </c>
      <c r="P12" s="21">
        <v>7</v>
      </c>
      <c r="Q12" s="22">
        <v>7</v>
      </c>
      <c r="R12" s="22">
        <f t="shared" si="4"/>
        <v>0</v>
      </c>
      <c r="S12" s="20">
        <v>2</v>
      </c>
      <c r="T12" s="21">
        <v>0</v>
      </c>
      <c r="U12" s="22">
        <v>0</v>
      </c>
      <c r="V12" s="22">
        <f t="shared" si="5"/>
        <v>0</v>
      </c>
      <c r="W12" s="20">
        <v>0</v>
      </c>
      <c r="X12" s="21">
        <v>1</v>
      </c>
      <c r="Y12" s="22">
        <v>1</v>
      </c>
      <c r="Z12" s="22">
        <f t="shared" si="6"/>
        <v>0</v>
      </c>
      <c r="AA12" s="20">
        <v>0</v>
      </c>
      <c r="AB12" s="21">
        <v>1</v>
      </c>
      <c r="AC12" s="22">
        <v>1</v>
      </c>
      <c r="AD12" s="22">
        <f t="shared" si="7"/>
        <v>0</v>
      </c>
      <c r="AE12" s="20">
        <v>0</v>
      </c>
      <c r="AF12" s="21">
        <v>3</v>
      </c>
      <c r="AG12" s="22">
        <v>3</v>
      </c>
      <c r="AH12" s="22">
        <f t="shared" si="8"/>
        <v>0</v>
      </c>
      <c r="AI12" s="20">
        <v>0</v>
      </c>
      <c r="AJ12" s="21">
        <v>0</v>
      </c>
      <c r="AK12" s="22">
        <v>0</v>
      </c>
      <c r="AL12" s="22">
        <f t="shared" si="9"/>
        <v>0</v>
      </c>
      <c r="AM12" s="20">
        <v>0</v>
      </c>
      <c r="AN12" s="21">
        <v>0</v>
      </c>
      <c r="AO12" s="22">
        <v>0</v>
      </c>
      <c r="AP12" s="22">
        <f t="shared" si="10"/>
        <v>0</v>
      </c>
      <c r="AQ12" s="20">
        <v>0</v>
      </c>
      <c r="AR12" s="21">
        <v>0</v>
      </c>
      <c r="AS12" s="22">
        <v>0</v>
      </c>
      <c r="AT12" s="22">
        <f t="shared" si="11"/>
        <v>0</v>
      </c>
      <c r="AU12" s="20">
        <v>0</v>
      </c>
      <c r="AV12" s="21">
        <v>1</v>
      </c>
      <c r="AW12" s="22">
        <v>1</v>
      </c>
      <c r="AX12" s="22">
        <f>AV12-AW12</f>
        <v>0</v>
      </c>
      <c r="AY12" s="20">
        <v>0</v>
      </c>
      <c r="AZ12" s="21">
        <v>1</v>
      </c>
      <c r="BA12" s="22">
        <v>0</v>
      </c>
      <c r="BB12" s="22">
        <f t="shared" si="13"/>
        <v>1</v>
      </c>
      <c r="BC12" s="20">
        <v>1</v>
      </c>
      <c r="BD12" s="21">
        <v>0</v>
      </c>
      <c r="BE12" s="22">
        <v>0</v>
      </c>
      <c r="BF12" s="22">
        <f t="shared" si="14"/>
        <v>0</v>
      </c>
      <c r="BG12" s="20">
        <v>0</v>
      </c>
      <c r="BH12" s="21">
        <v>0</v>
      </c>
      <c r="BI12" s="22">
        <v>0</v>
      </c>
      <c r="BJ12" s="22">
        <f t="shared" si="15"/>
        <v>0</v>
      </c>
      <c r="BK12" s="20">
        <v>0</v>
      </c>
      <c r="BL12" s="21">
        <v>1</v>
      </c>
      <c r="BM12" s="22">
        <v>1</v>
      </c>
      <c r="BN12" s="22">
        <f t="shared" si="16"/>
        <v>0</v>
      </c>
      <c r="BO12" s="20">
        <v>1</v>
      </c>
      <c r="BP12" s="21">
        <v>0</v>
      </c>
      <c r="BQ12" s="22">
        <v>0</v>
      </c>
      <c r="BR12" s="22">
        <f t="shared" si="17"/>
        <v>0</v>
      </c>
      <c r="BS12" s="20">
        <v>0</v>
      </c>
      <c r="BT12" s="21">
        <f t="shared" si="18"/>
        <v>26</v>
      </c>
      <c r="BU12" s="22">
        <f t="shared" si="19"/>
        <v>1</v>
      </c>
      <c r="BV12" s="22">
        <f t="shared" si="20"/>
        <v>4</v>
      </c>
      <c r="BW12" s="22">
        <f t="shared" si="21"/>
        <v>0.96296296296296291</v>
      </c>
      <c r="BX12" s="22">
        <f t="shared" si="22"/>
        <v>0.8666666666666667</v>
      </c>
      <c r="BY12" s="20">
        <f t="shared" si="23"/>
        <v>0.91228070175438603</v>
      </c>
      <c r="CC12" s="75" t="s">
        <v>63</v>
      </c>
      <c r="CD12">
        <f>AVERAGE(BW21:BW22)</f>
        <v>0.9</v>
      </c>
      <c r="CE12">
        <f t="shared" ref="CE12:CF12" si="32">AVERAGE(BX21:BX22)</f>
        <v>0.6</v>
      </c>
      <c r="CF12">
        <f t="shared" si="32"/>
        <v>0.72000000000000008</v>
      </c>
    </row>
    <row r="13" spans="1:84" ht="13.5" customHeight="1" x14ac:dyDescent="0.35">
      <c r="A13" s="57" t="s">
        <v>10</v>
      </c>
      <c r="B13" s="108"/>
      <c r="C13" s="23" t="s">
        <v>21</v>
      </c>
      <c r="D13" s="24">
        <v>3</v>
      </c>
      <c r="E13" s="25">
        <v>3</v>
      </c>
      <c r="F13" s="25">
        <f t="shared" si="1"/>
        <v>0</v>
      </c>
      <c r="G13" s="23">
        <v>0</v>
      </c>
      <c r="H13" s="24">
        <v>0</v>
      </c>
      <c r="I13" s="25">
        <v>0</v>
      </c>
      <c r="J13" s="25">
        <f t="shared" si="2"/>
        <v>0</v>
      </c>
      <c r="K13" s="23">
        <v>0</v>
      </c>
      <c r="L13" s="24">
        <v>0</v>
      </c>
      <c r="M13" s="25">
        <v>0</v>
      </c>
      <c r="N13" s="25">
        <f t="shared" si="3"/>
        <v>0</v>
      </c>
      <c r="O13" s="23">
        <v>0</v>
      </c>
      <c r="P13" s="24">
        <v>5</v>
      </c>
      <c r="Q13" s="25">
        <v>5</v>
      </c>
      <c r="R13" s="25">
        <f t="shared" si="4"/>
        <v>0</v>
      </c>
      <c r="S13" s="23">
        <v>2</v>
      </c>
      <c r="T13" s="24">
        <v>0</v>
      </c>
      <c r="U13" s="25">
        <v>0</v>
      </c>
      <c r="V13" s="25">
        <f t="shared" si="5"/>
        <v>0</v>
      </c>
      <c r="W13" s="23">
        <v>7</v>
      </c>
      <c r="X13" s="24">
        <v>0</v>
      </c>
      <c r="Y13" s="25">
        <v>0</v>
      </c>
      <c r="Z13" s="25">
        <f t="shared" si="6"/>
        <v>0</v>
      </c>
      <c r="AA13" s="23">
        <v>0</v>
      </c>
      <c r="AB13" s="24">
        <v>0</v>
      </c>
      <c r="AC13" s="25">
        <v>0</v>
      </c>
      <c r="AD13" s="25">
        <f t="shared" si="7"/>
        <v>0</v>
      </c>
      <c r="AE13" s="23">
        <v>0</v>
      </c>
      <c r="AF13" s="24">
        <v>0</v>
      </c>
      <c r="AG13" s="25">
        <v>0</v>
      </c>
      <c r="AH13" s="25">
        <f t="shared" si="8"/>
        <v>0</v>
      </c>
      <c r="AI13" s="23">
        <v>0</v>
      </c>
      <c r="AJ13" s="24">
        <v>0</v>
      </c>
      <c r="AK13" s="25">
        <v>0</v>
      </c>
      <c r="AL13" s="25">
        <f t="shared" si="9"/>
        <v>0</v>
      </c>
      <c r="AM13" s="23">
        <v>0</v>
      </c>
      <c r="AN13" s="24">
        <v>0</v>
      </c>
      <c r="AO13" s="25">
        <v>0</v>
      </c>
      <c r="AP13" s="25">
        <f t="shared" si="10"/>
        <v>0</v>
      </c>
      <c r="AQ13" s="23">
        <v>0</v>
      </c>
      <c r="AR13" s="24">
        <v>2</v>
      </c>
      <c r="AS13" s="25">
        <v>0</v>
      </c>
      <c r="AT13" s="25">
        <f t="shared" si="11"/>
        <v>2</v>
      </c>
      <c r="AU13" s="23">
        <v>0</v>
      </c>
      <c r="AV13" s="24">
        <v>0</v>
      </c>
      <c r="AW13" s="25">
        <v>0</v>
      </c>
      <c r="AX13" s="25">
        <f t="shared" si="12"/>
        <v>0</v>
      </c>
      <c r="AY13" s="23">
        <v>2</v>
      </c>
      <c r="AZ13" s="24">
        <v>2</v>
      </c>
      <c r="BA13" s="25">
        <v>2</v>
      </c>
      <c r="BB13" s="25">
        <f t="shared" si="13"/>
        <v>0</v>
      </c>
      <c r="BC13" s="23">
        <v>0</v>
      </c>
      <c r="BD13" s="24">
        <v>0</v>
      </c>
      <c r="BE13" s="25">
        <v>0</v>
      </c>
      <c r="BF13" s="25">
        <f t="shared" si="14"/>
        <v>0</v>
      </c>
      <c r="BG13" s="23">
        <v>0</v>
      </c>
      <c r="BH13" s="24">
        <v>0</v>
      </c>
      <c r="BI13" s="25">
        <v>0</v>
      </c>
      <c r="BJ13" s="25">
        <f t="shared" si="15"/>
        <v>0</v>
      </c>
      <c r="BK13" s="23">
        <v>0</v>
      </c>
      <c r="BL13" s="24">
        <v>2</v>
      </c>
      <c r="BM13" s="25">
        <v>0</v>
      </c>
      <c r="BN13" s="25">
        <f t="shared" si="16"/>
        <v>2</v>
      </c>
      <c r="BO13" s="23">
        <v>4</v>
      </c>
      <c r="BP13" s="24">
        <v>0</v>
      </c>
      <c r="BQ13" s="25">
        <v>0</v>
      </c>
      <c r="BR13" s="25">
        <f t="shared" si="17"/>
        <v>0</v>
      </c>
      <c r="BS13" s="23">
        <v>0</v>
      </c>
      <c r="BT13" s="24">
        <f t="shared" si="18"/>
        <v>10</v>
      </c>
      <c r="BU13" s="25">
        <f t="shared" si="19"/>
        <v>4</v>
      </c>
      <c r="BV13" s="25">
        <f t="shared" si="20"/>
        <v>15</v>
      </c>
      <c r="BW13" s="25">
        <f t="shared" si="21"/>
        <v>0.7142857142857143</v>
      </c>
      <c r="BX13" s="25">
        <f t="shared" si="22"/>
        <v>0.4</v>
      </c>
      <c r="BY13" s="23">
        <f t="shared" si="23"/>
        <v>0.51282051282051289</v>
      </c>
      <c r="CC13" s="75" t="s">
        <v>64</v>
      </c>
      <c r="CD13">
        <f>AVERAGE(BW23:BW24)</f>
        <v>0.75</v>
      </c>
      <c r="CE13">
        <f t="shared" ref="CE13:CF13" si="33">AVERAGE(BX23:BX24)</f>
        <v>0.54575163398692816</v>
      </c>
      <c r="CF13">
        <f t="shared" si="33"/>
        <v>0.61058201058201056</v>
      </c>
    </row>
    <row r="14" spans="1:84" x14ac:dyDescent="0.35">
      <c r="A14" s="57" t="s">
        <v>10</v>
      </c>
      <c r="B14" s="108"/>
      <c r="C14" s="23" t="s">
        <v>22</v>
      </c>
      <c r="D14" s="24">
        <v>3</v>
      </c>
      <c r="E14" s="25">
        <v>3</v>
      </c>
      <c r="F14" s="25">
        <f t="shared" si="1"/>
        <v>0</v>
      </c>
      <c r="G14" s="23">
        <v>0</v>
      </c>
      <c r="H14" s="24">
        <v>0</v>
      </c>
      <c r="I14" s="24">
        <v>0</v>
      </c>
      <c r="J14" s="24">
        <v>0</v>
      </c>
      <c r="K14" s="23">
        <v>3</v>
      </c>
      <c r="L14" s="24">
        <v>0</v>
      </c>
      <c r="M14" s="24">
        <v>0</v>
      </c>
      <c r="N14" s="24">
        <v>0</v>
      </c>
      <c r="O14" s="23">
        <v>0</v>
      </c>
      <c r="P14" s="24">
        <v>5</v>
      </c>
      <c r="Q14" s="25">
        <v>5</v>
      </c>
      <c r="R14" s="25">
        <f t="shared" si="4"/>
        <v>0</v>
      </c>
      <c r="S14" s="23">
        <v>2</v>
      </c>
      <c r="T14" s="24">
        <v>0</v>
      </c>
      <c r="U14" s="25">
        <v>0</v>
      </c>
      <c r="V14" s="25">
        <v>0</v>
      </c>
      <c r="W14" s="23">
        <v>7</v>
      </c>
      <c r="X14" s="24">
        <v>0</v>
      </c>
      <c r="Y14" s="24">
        <v>0</v>
      </c>
      <c r="Z14" s="24">
        <f>X14-Y14</f>
        <v>0</v>
      </c>
      <c r="AA14" s="23">
        <v>0</v>
      </c>
      <c r="AB14" s="24">
        <v>0</v>
      </c>
      <c r="AC14" s="24">
        <v>0</v>
      </c>
      <c r="AD14" s="24">
        <f>AB14-AC14</f>
        <v>0</v>
      </c>
      <c r="AE14" s="23">
        <v>0</v>
      </c>
      <c r="AF14" s="24">
        <v>0</v>
      </c>
      <c r="AG14" s="24">
        <v>0</v>
      </c>
      <c r="AH14" s="24">
        <f>AF14-AG14</f>
        <v>0</v>
      </c>
      <c r="AI14" s="23">
        <v>0</v>
      </c>
      <c r="AJ14" s="24">
        <v>0</v>
      </c>
      <c r="AK14" s="24">
        <v>0</v>
      </c>
      <c r="AL14" s="24">
        <f>AJ14-AK14</f>
        <v>0</v>
      </c>
      <c r="AM14" s="23">
        <v>0</v>
      </c>
      <c r="AN14" s="24">
        <v>0</v>
      </c>
      <c r="AO14" s="24">
        <v>0</v>
      </c>
      <c r="AP14" s="24">
        <f>AN14-AO14</f>
        <v>0</v>
      </c>
      <c r="AQ14" s="23">
        <v>0</v>
      </c>
      <c r="AR14" s="24">
        <v>2</v>
      </c>
      <c r="AS14" s="25">
        <v>0</v>
      </c>
      <c r="AT14" s="25">
        <f t="shared" si="11"/>
        <v>2</v>
      </c>
      <c r="AU14" s="23">
        <v>0</v>
      </c>
      <c r="AV14" s="24">
        <v>0</v>
      </c>
      <c r="AW14" s="25">
        <v>0</v>
      </c>
      <c r="AX14" s="25">
        <f t="shared" si="12"/>
        <v>0</v>
      </c>
      <c r="AY14" s="23">
        <v>2</v>
      </c>
      <c r="AZ14" s="24">
        <v>2</v>
      </c>
      <c r="BA14" s="25">
        <v>2</v>
      </c>
      <c r="BB14" s="25">
        <f t="shared" si="13"/>
        <v>0</v>
      </c>
      <c r="BC14" s="23">
        <v>0</v>
      </c>
      <c r="BD14" s="24">
        <v>0</v>
      </c>
      <c r="BE14" s="25">
        <v>0</v>
      </c>
      <c r="BF14" s="25">
        <f t="shared" si="14"/>
        <v>0</v>
      </c>
      <c r="BG14" s="23">
        <v>0</v>
      </c>
      <c r="BH14" s="24">
        <v>0</v>
      </c>
      <c r="BI14" s="25">
        <v>0</v>
      </c>
      <c r="BJ14" s="25">
        <f t="shared" si="15"/>
        <v>0</v>
      </c>
      <c r="BK14" s="23">
        <v>10</v>
      </c>
      <c r="BL14" s="24">
        <v>2</v>
      </c>
      <c r="BM14" s="25">
        <v>0</v>
      </c>
      <c r="BN14" s="25">
        <f t="shared" si="16"/>
        <v>2</v>
      </c>
      <c r="BO14" s="23">
        <v>4</v>
      </c>
      <c r="BP14" s="24">
        <v>0</v>
      </c>
      <c r="BQ14" s="25">
        <v>0</v>
      </c>
      <c r="BR14" s="25">
        <f t="shared" si="17"/>
        <v>0</v>
      </c>
      <c r="BS14" s="23">
        <v>0</v>
      </c>
      <c r="BT14" s="24">
        <f t="shared" si="18"/>
        <v>10</v>
      </c>
      <c r="BU14" s="25">
        <f t="shared" si="19"/>
        <v>4</v>
      </c>
      <c r="BV14" s="25">
        <f t="shared" si="20"/>
        <v>28</v>
      </c>
      <c r="BW14" s="25">
        <f t="shared" si="21"/>
        <v>0.7142857142857143</v>
      </c>
      <c r="BX14" s="25">
        <f t="shared" si="22"/>
        <v>0.26315789473684209</v>
      </c>
      <c r="BY14" s="23">
        <f t="shared" si="23"/>
        <v>0.38461538461538458</v>
      </c>
      <c r="CC14" s="75" t="s">
        <v>65</v>
      </c>
      <c r="CD14">
        <f>AVERAGE(BW25:BW26)</f>
        <v>1</v>
      </c>
      <c r="CE14">
        <f t="shared" ref="CE14:CF14" si="34">AVERAGE(BX25:BX26)</f>
        <v>0.70707070707070707</v>
      </c>
      <c r="CF14">
        <f t="shared" si="34"/>
        <v>0.82638888888888895</v>
      </c>
    </row>
    <row r="15" spans="1:84" x14ac:dyDescent="0.35">
      <c r="A15" s="58" t="s">
        <v>10</v>
      </c>
      <c r="B15" s="108"/>
      <c r="C15" s="26" t="s">
        <v>23</v>
      </c>
      <c r="D15" s="27">
        <v>2</v>
      </c>
      <c r="E15" s="28">
        <v>2</v>
      </c>
      <c r="F15" s="28">
        <f t="shared" si="1"/>
        <v>0</v>
      </c>
      <c r="G15" s="26">
        <v>0</v>
      </c>
      <c r="H15" s="27">
        <v>0</v>
      </c>
      <c r="I15" s="27">
        <v>0</v>
      </c>
      <c r="J15" s="27">
        <f t="shared" si="2"/>
        <v>0</v>
      </c>
      <c r="K15" s="26">
        <v>0</v>
      </c>
      <c r="L15" s="27">
        <v>0</v>
      </c>
      <c r="M15" s="27">
        <v>0</v>
      </c>
      <c r="N15" s="27">
        <f t="shared" si="3"/>
        <v>0</v>
      </c>
      <c r="O15" s="26">
        <v>0</v>
      </c>
      <c r="P15" s="27">
        <v>3</v>
      </c>
      <c r="Q15" s="28">
        <v>3</v>
      </c>
      <c r="R15" s="28">
        <f t="shared" si="4"/>
        <v>0</v>
      </c>
      <c r="S15" s="26">
        <v>1</v>
      </c>
      <c r="T15" s="27">
        <v>0</v>
      </c>
      <c r="U15" s="28">
        <v>0</v>
      </c>
      <c r="V15" s="28">
        <f t="shared" si="5"/>
        <v>0</v>
      </c>
      <c r="W15" s="26">
        <v>3</v>
      </c>
      <c r="X15" s="27">
        <v>0</v>
      </c>
      <c r="Y15" s="27">
        <v>0</v>
      </c>
      <c r="Z15" s="27">
        <f t="shared" si="6"/>
        <v>0</v>
      </c>
      <c r="AA15" s="26">
        <v>0</v>
      </c>
      <c r="AB15" s="27">
        <v>0</v>
      </c>
      <c r="AC15" s="27">
        <v>0</v>
      </c>
      <c r="AD15" s="27">
        <f t="shared" si="7"/>
        <v>0</v>
      </c>
      <c r="AE15" s="26">
        <v>0</v>
      </c>
      <c r="AF15" s="27">
        <v>0</v>
      </c>
      <c r="AG15" s="27">
        <v>0</v>
      </c>
      <c r="AH15" s="27">
        <f t="shared" si="8"/>
        <v>0</v>
      </c>
      <c r="AI15" s="26">
        <v>0</v>
      </c>
      <c r="AJ15" s="27">
        <v>0</v>
      </c>
      <c r="AK15" s="27">
        <v>0</v>
      </c>
      <c r="AL15" s="27">
        <f t="shared" si="9"/>
        <v>0</v>
      </c>
      <c r="AM15" s="26">
        <v>0</v>
      </c>
      <c r="AN15" s="27">
        <v>0</v>
      </c>
      <c r="AO15" s="27">
        <v>0</v>
      </c>
      <c r="AP15" s="27">
        <f t="shared" si="10"/>
        <v>0</v>
      </c>
      <c r="AQ15" s="26">
        <v>0</v>
      </c>
      <c r="AR15" s="27">
        <v>1</v>
      </c>
      <c r="AS15" s="28">
        <v>0</v>
      </c>
      <c r="AT15" s="28">
        <f t="shared" si="11"/>
        <v>1</v>
      </c>
      <c r="AU15" s="26">
        <v>0</v>
      </c>
      <c r="AV15" s="27">
        <v>0</v>
      </c>
      <c r="AW15" s="28">
        <v>0</v>
      </c>
      <c r="AX15" s="28">
        <f t="shared" si="12"/>
        <v>0</v>
      </c>
      <c r="AY15" s="26">
        <v>1</v>
      </c>
      <c r="AZ15" s="27">
        <v>1</v>
      </c>
      <c r="BA15" s="28">
        <v>1</v>
      </c>
      <c r="BB15" s="28">
        <f t="shared" si="13"/>
        <v>0</v>
      </c>
      <c r="BC15" s="26">
        <v>0</v>
      </c>
      <c r="BD15" s="27">
        <v>0</v>
      </c>
      <c r="BE15" s="28">
        <v>0</v>
      </c>
      <c r="BF15" s="28">
        <f t="shared" si="14"/>
        <v>0</v>
      </c>
      <c r="BG15" s="26">
        <v>0</v>
      </c>
      <c r="BH15" s="27">
        <v>0</v>
      </c>
      <c r="BI15" s="28">
        <v>0</v>
      </c>
      <c r="BJ15" s="28">
        <f t="shared" si="15"/>
        <v>0</v>
      </c>
      <c r="BK15" s="26">
        <v>0</v>
      </c>
      <c r="BL15" s="27">
        <v>1</v>
      </c>
      <c r="BM15" s="28">
        <v>1</v>
      </c>
      <c r="BN15" s="28">
        <f t="shared" si="16"/>
        <v>0</v>
      </c>
      <c r="BO15" s="26">
        <v>1</v>
      </c>
      <c r="BP15" s="27">
        <v>0</v>
      </c>
      <c r="BQ15" s="28">
        <v>0</v>
      </c>
      <c r="BR15" s="28">
        <f t="shared" si="17"/>
        <v>0</v>
      </c>
      <c r="BS15" s="26">
        <v>0</v>
      </c>
      <c r="BT15" s="27">
        <f t="shared" si="18"/>
        <v>7</v>
      </c>
      <c r="BU15" s="28">
        <f t="shared" si="19"/>
        <v>1</v>
      </c>
      <c r="BV15" s="28">
        <f t="shared" si="20"/>
        <v>6</v>
      </c>
      <c r="BW15" s="28">
        <f t="shared" si="21"/>
        <v>0.875</v>
      </c>
      <c r="BX15" s="28">
        <f t="shared" si="22"/>
        <v>0.53846153846153844</v>
      </c>
      <c r="BY15" s="26">
        <f t="shared" si="23"/>
        <v>0.66666666666666674</v>
      </c>
      <c r="CC15" s="75" t="s">
        <v>66</v>
      </c>
      <c r="CD15">
        <f>AVERAGE(BW27:BW28)</f>
        <v>0.8529411764705882</v>
      </c>
      <c r="CE15">
        <f t="shared" ref="CE15:CF15" si="35">AVERAGE(BX27:BX28)</f>
        <v>0.65909090909090906</v>
      </c>
      <c r="CF15">
        <f t="shared" si="35"/>
        <v>0.74358974358974361</v>
      </c>
    </row>
    <row r="16" spans="1:84" x14ac:dyDescent="0.35">
      <c r="A16" s="58" t="s">
        <v>10</v>
      </c>
      <c r="B16" s="108"/>
      <c r="C16" s="26" t="s">
        <v>24</v>
      </c>
      <c r="D16" s="27">
        <v>2</v>
      </c>
      <c r="E16" s="28">
        <v>2</v>
      </c>
      <c r="F16" s="28">
        <f t="shared" si="1"/>
        <v>0</v>
      </c>
      <c r="G16" s="26">
        <v>0</v>
      </c>
      <c r="H16" s="27">
        <v>0</v>
      </c>
      <c r="I16" s="27">
        <v>0</v>
      </c>
      <c r="J16" s="27">
        <f t="shared" si="2"/>
        <v>0</v>
      </c>
      <c r="K16" s="26">
        <v>0</v>
      </c>
      <c r="L16" s="27">
        <v>0</v>
      </c>
      <c r="M16" s="27">
        <v>0</v>
      </c>
      <c r="N16" s="27">
        <f t="shared" si="3"/>
        <v>0</v>
      </c>
      <c r="O16" s="26">
        <v>0</v>
      </c>
      <c r="P16" s="27">
        <v>3</v>
      </c>
      <c r="Q16" s="28">
        <v>3</v>
      </c>
      <c r="R16" s="28">
        <f t="shared" si="4"/>
        <v>0</v>
      </c>
      <c r="S16" s="26">
        <v>1</v>
      </c>
      <c r="T16" s="27">
        <v>0</v>
      </c>
      <c r="U16" s="28">
        <v>0</v>
      </c>
      <c r="V16" s="28">
        <f t="shared" si="5"/>
        <v>0</v>
      </c>
      <c r="W16" s="26">
        <v>3</v>
      </c>
      <c r="X16" s="27">
        <v>0</v>
      </c>
      <c r="Y16" s="27">
        <v>0</v>
      </c>
      <c r="Z16" s="27">
        <v>0</v>
      </c>
      <c r="AA16" s="26">
        <v>0</v>
      </c>
      <c r="AB16" s="27">
        <v>0</v>
      </c>
      <c r="AC16" s="27">
        <v>0</v>
      </c>
      <c r="AD16" s="27">
        <f t="shared" si="7"/>
        <v>0</v>
      </c>
      <c r="AE16" s="26">
        <v>0</v>
      </c>
      <c r="AF16" s="27">
        <v>0</v>
      </c>
      <c r="AG16" s="27">
        <v>0</v>
      </c>
      <c r="AH16" s="27">
        <f t="shared" si="8"/>
        <v>0</v>
      </c>
      <c r="AI16" s="26">
        <v>0</v>
      </c>
      <c r="AJ16" s="27">
        <v>0</v>
      </c>
      <c r="AK16" s="27">
        <v>0</v>
      </c>
      <c r="AL16" s="27">
        <f t="shared" si="9"/>
        <v>0</v>
      </c>
      <c r="AM16" s="26">
        <v>0</v>
      </c>
      <c r="AN16" s="27">
        <v>0</v>
      </c>
      <c r="AO16" s="27">
        <v>0</v>
      </c>
      <c r="AP16" s="27">
        <f t="shared" si="10"/>
        <v>0</v>
      </c>
      <c r="AQ16" s="26">
        <v>0</v>
      </c>
      <c r="AR16" s="27">
        <v>1</v>
      </c>
      <c r="AS16" s="28">
        <v>1</v>
      </c>
      <c r="AT16" s="28">
        <f t="shared" si="11"/>
        <v>0</v>
      </c>
      <c r="AU16" s="26">
        <v>0</v>
      </c>
      <c r="AV16" s="27">
        <v>0</v>
      </c>
      <c r="AW16" s="28">
        <v>0</v>
      </c>
      <c r="AX16" s="28">
        <f t="shared" si="12"/>
        <v>0</v>
      </c>
      <c r="AY16" s="26">
        <v>0</v>
      </c>
      <c r="AZ16" s="27">
        <v>1</v>
      </c>
      <c r="BA16" s="28">
        <v>1</v>
      </c>
      <c r="BB16" s="28">
        <f t="shared" si="13"/>
        <v>0</v>
      </c>
      <c r="BC16" s="26">
        <v>0</v>
      </c>
      <c r="BD16" s="27">
        <v>0</v>
      </c>
      <c r="BE16" s="28">
        <v>0</v>
      </c>
      <c r="BF16" s="28">
        <f t="shared" si="14"/>
        <v>0</v>
      </c>
      <c r="BG16" s="26">
        <v>0</v>
      </c>
      <c r="BH16" s="27">
        <v>0</v>
      </c>
      <c r="BI16" s="28">
        <v>0</v>
      </c>
      <c r="BJ16" s="28">
        <f t="shared" si="15"/>
        <v>0</v>
      </c>
      <c r="BK16" s="26">
        <v>0</v>
      </c>
      <c r="BL16" s="27">
        <v>1</v>
      </c>
      <c r="BM16" s="28">
        <v>1</v>
      </c>
      <c r="BN16" s="28">
        <f t="shared" si="16"/>
        <v>0</v>
      </c>
      <c r="BO16" s="26">
        <v>1</v>
      </c>
      <c r="BP16" s="27">
        <v>0</v>
      </c>
      <c r="BQ16" s="28">
        <v>0</v>
      </c>
      <c r="BR16" s="28">
        <f t="shared" si="17"/>
        <v>0</v>
      </c>
      <c r="BS16" s="26">
        <v>0</v>
      </c>
      <c r="BT16" s="27">
        <f t="shared" si="18"/>
        <v>8</v>
      </c>
      <c r="BU16" s="28">
        <f t="shared" si="19"/>
        <v>0</v>
      </c>
      <c r="BV16" s="28">
        <f t="shared" si="20"/>
        <v>5</v>
      </c>
      <c r="BW16" s="28">
        <f t="shared" si="21"/>
        <v>1</v>
      </c>
      <c r="BX16" s="28">
        <f t="shared" si="22"/>
        <v>0.61538461538461542</v>
      </c>
      <c r="BY16" s="26">
        <f t="shared" si="23"/>
        <v>0.76190476190476197</v>
      </c>
      <c r="CC16" s="75" t="s">
        <v>67</v>
      </c>
      <c r="CD16">
        <f>AVERAGE(BW29:BW30)</f>
        <v>1</v>
      </c>
      <c r="CE16">
        <f t="shared" ref="CE16:CF16" si="36">AVERAGE(BX29:BX30)</f>
        <v>0.76923076923076927</v>
      </c>
      <c r="CF16">
        <f t="shared" si="36"/>
        <v>0.86956521739130443</v>
      </c>
    </row>
    <row r="17" spans="1:84" x14ac:dyDescent="0.35">
      <c r="A17" s="59" t="s">
        <v>10</v>
      </c>
      <c r="B17" s="108"/>
      <c r="C17" s="29" t="s">
        <v>25</v>
      </c>
      <c r="D17" s="30">
        <v>2</v>
      </c>
      <c r="E17" s="31">
        <v>2</v>
      </c>
      <c r="F17" s="31">
        <f t="shared" si="1"/>
        <v>0</v>
      </c>
      <c r="G17" s="29">
        <v>0</v>
      </c>
      <c r="H17" s="30">
        <v>0</v>
      </c>
      <c r="I17" s="31">
        <v>0</v>
      </c>
      <c r="J17" s="31">
        <f t="shared" si="2"/>
        <v>0</v>
      </c>
      <c r="K17" s="29">
        <v>0</v>
      </c>
      <c r="L17" s="30">
        <v>0</v>
      </c>
      <c r="M17" s="31">
        <v>0</v>
      </c>
      <c r="N17" s="31">
        <f t="shared" si="3"/>
        <v>0</v>
      </c>
      <c r="O17" s="29">
        <v>0</v>
      </c>
      <c r="P17" s="30">
        <v>3</v>
      </c>
      <c r="Q17" s="31">
        <v>3</v>
      </c>
      <c r="R17" s="31">
        <f t="shared" si="4"/>
        <v>0</v>
      </c>
      <c r="S17" s="29">
        <v>0</v>
      </c>
      <c r="T17" s="30">
        <v>0</v>
      </c>
      <c r="U17" s="31">
        <v>0</v>
      </c>
      <c r="V17" s="31">
        <f t="shared" si="5"/>
        <v>0</v>
      </c>
      <c r="W17" s="29">
        <v>0</v>
      </c>
      <c r="X17" s="30">
        <v>1</v>
      </c>
      <c r="Y17" s="31">
        <v>1</v>
      </c>
      <c r="Z17" s="31">
        <f t="shared" si="6"/>
        <v>0</v>
      </c>
      <c r="AA17" s="29">
        <v>0</v>
      </c>
      <c r="AB17" s="30">
        <v>1</v>
      </c>
      <c r="AC17" s="31">
        <v>1</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0</v>
      </c>
      <c r="AW17" s="31">
        <v>0</v>
      </c>
      <c r="AX17" s="31">
        <f t="shared" si="12"/>
        <v>0</v>
      </c>
      <c r="AY17" s="29">
        <v>0</v>
      </c>
      <c r="AZ17" s="30">
        <v>1</v>
      </c>
      <c r="BA17" s="31">
        <v>1</v>
      </c>
      <c r="BB17" s="31">
        <f t="shared" si="13"/>
        <v>0</v>
      </c>
      <c r="BC17" s="29">
        <v>0</v>
      </c>
      <c r="BD17" s="30">
        <v>0</v>
      </c>
      <c r="BE17" s="31">
        <v>0</v>
      </c>
      <c r="BF17" s="31">
        <f t="shared" si="14"/>
        <v>0</v>
      </c>
      <c r="BG17" s="29">
        <v>0</v>
      </c>
      <c r="BH17" s="30">
        <v>0</v>
      </c>
      <c r="BI17" s="31">
        <v>0</v>
      </c>
      <c r="BJ17" s="31">
        <f t="shared" si="15"/>
        <v>0</v>
      </c>
      <c r="BK17" s="29">
        <v>0</v>
      </c>
      <c r="BL17" s="30">
        <v>0</v>
      </c>
      <c r="BM17" s="31">
        <v>0</v>
      </c>
      <c r="BN17" s="31">
        <f t="shared" si="16"/>
        <v>0</v>
      </c>
      <c r="BO17" s="29">
        <v>2</v>
      </c>
      <c r="BP17" s="30">
        <v>1</v>
      </c>
      <c r="BQ17" s="31">
        <v>1</v>
      </c>
      <c r="BR17" s="31">
        <f t="shared" si="17"/>
        <v>0</v>
      </c>
      <c r="BS17" s="29">
        <v>0</v>
      </c>
      <c r="BT17" s="30">
        <f t="shared" si="18"/>
        <v>10</v>
      </c>
      <c r="BU17" s="31">
        <f t="shared" si="19"/>
        <v>0</v>
      </c>
      <c r="BV17" s="31">
        <f t="shared" si="20"/>
        <v>2</v>
      </c>
      <c r="BW17" s="31">
        <f t="shared" si="21"/>
        <v>1</v>
      </c>
      <c r="BX17" s="31">
        <f t="shared" si="22"/>
        <v>0.83333333333333337</v>
      </c>
      <c r="BY17" s="29">
        <f t="shared" si="23"/>
        <v>0.90909090909090906</v>
      </c>
      <c r="CC17" s="75" t="s">
        <v>42</v>
      </c>
      <c r="CD17">
        <f>AVERAGE(CD3:CD16)</f>
        <v>0.91039653040703461</v>
      </c>
      <c r="CE17">
        <f t="shared" ref="CE17:CF17" si="37">AVERAGE(CE3:CE16)</f>
        <v>0.63972653073809871</v>
      </c>
      <c r="CF17">
        <f t="shared" si="37"/>
        <v>0.74255374134179675</v>
      </c>
    </row>
    <row r="18" spans="1:84" x14ac:dyDescent="0.35">
      <c r="A18" s="59" t="s">
        <v>10</v>
      </c>
      <c r="B18" s="108"/>
      <c r="C18" s="29" t="s">
        <v>26</v>
      </c>
      <c r="D18" s="30">
        <v>2</v>
      </c>
      <c r="E18" s="31">
        <v>2</v>
      </c>
      <c r="F18" s="31">
        <f t="shared" si="1"/>
        <v>0</v>
      </c>
      <c r="G18" s="29">
        <v>0</v>
      </c>
      <c r="H18" s="30">
        <v>0</v>
      </c>
      <c r="I18" s="31">
        <v>0</v>
      </c>
      <c r="J18" s="31">
        <f t="shared" si="2"/>
        <v>0</v>
      </c>
      <c r="K18" s="29">
        <v>0</v>
      </c>
      <c r="L18" s="30">
        <v>0</v>
      </c>
      <c r="M18" s="31">
        <v>0</v>
      </c>
      <c r="N18" s="31">
        <f t="shared" si="3"/>
        <v>0</v>
      </c>
      <c r="O18" s="29">
        <v>0</v>
      </c>
      <c r="P18" s="30">
        <v>3</v>
      </c>
      <c r="Q18" s="31">
        <v>3</v>
      </c>
      <c r="R18" s="31">
        <f t="shared" si="4"/>
        <v>0</v>
      </c>
      <c r="S18" s="29">
        <v>0</v>
      </c>
      <c r="T18" s="30">
        <v>0</v>
      </c>
      <c r="U18" s="31">
        <v>0</v>
      </c>
      <c r="V18" s="31">
        <f t="shared" si="5"/>
        <v>0</v>
      </c>
      <c r="W18" s="29">
        <v>3</v>
      </c>
      <c r="X18" s="30">
        <v>1</v>
      </c>
      <c r="Y18" s="31">
        <v>1</v>
      </c>
      <c r="Z18" s="31">
        <f t="shared" si="6"/>
        <v>0</v>
      </c>
      <c r="AA18" s="29">
        <v>0</v>
      </c>
      <c r="AB18" s="30">
        <v>1</v>
      </c>
      <c r="AC18" s="31">
        <v>1</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1</v>
      </c>
      <c r="AV18" s="30">
        <v>0</v>
      </c>
      <c r="AW18" s="31">
        <v>0</v>
      </c>
      <c r="AX18" s="31">
        <f t="shared" si="12"/>
        <v>0</v>
      </c>
      <c r="AY18" s="29">
        <v>0</v>
      </c>
      <c r="AZ18" s="30">
        <v>1</v>
      </c>
      <c r="BA18" s="31">
        <v>1</v>
      </c>
      <c r="BB18" s="31">
        <f t="shared" si="13"/>
        <v>0</v>
      </c>
      <c r="BC18" s="29">
        <v>0</v>
      </c>
      <c r="BD18" s="30">
        <v>0</v>
      </c>
      <c r="BE18" s="31">
        <v>0</v>
      </c>
      <c r="BF18" s="31">
        <f t="shared" si="14"/>
        <v>0</v>
      </c>
      <c r="BG18" s="29">
        <v>0</v>
      </c>
      <c r="BH18" s="30">
        <v>0</v>
      </c>
      <c r="BI18" s="31">
        <v>0</v>
      </c>
      <c r="BJ18" s="31">
        <f t="shared" si="15"/>
        <v>0</v>
      </c>
      <c r="BK18" s="29">
        <v>0</v>
      </c>
      <c r="BL18" s="30">
        <v>0</v>
      </c>
      <c r="BM18" s="31">
        <v>0</v>
      </c>
      <c r="BN18" s="31">
        <f>BL18-BM18</f>
        <v>0</v>
      </c>
      <c r="BO18" s="29">
        <v>2</v>
      </c>
      <c r="BP18" s="30">
        <v>1</v>
      </c>
      <c r="BQ18" s="31">
        <v>0</v>
      </c>
      <c r="BR18" s="31">
        <f t="shared" si="17"/>
        <v>1</v>
      </c>
      <c r="BS18" s="29">
        <v>0</v>
      </c>
      <c r="BT18" s="30">
        <f t="shared" si="18"/>
        <v>9</v>
      </c>
      <c r="BU18" s="31">
        <f t="shared" si="19"/>
        <v>1</v>
      </c>
      <c r="BV18" s="31">
        <f t="shared" si="20"/>
        <v>6</v>
      </c>
      <c r="BW18" s="31">
        <f t="shared" si="21"/>
        <v>0.9</v>
      </c>
      <c r="BX18" s="31">
        <f t="shared" si="22"/>
        <v>0.6</v>
      </c>
      <c r="BY18" s="29">
        <f t="shared" si="23"/>
        <v>0.72000000000000008</v>
      </c>
    </row>
    <row r="19" spans="1:84" x14ac:dyDescent="0.35">
      <c r="A19" s="60" t="s">
        <v>10</v>
      </c>
      <c r="B19" s="108"/>
      <c r="C19" s="32" t="s">
        <v>27</v>
      </c>
      <c r="D19" s="33">
        <v>3</v>
      </c>
      <c r="E19" s="34">
        <v>3</v>
      </c>
      <c r="F19" s="34">
        <f t="shared" si="1"/>
        <v>0</v>
      </c>
      <c r="G19" s="32">
        <v>0</v>
      </c>
      <c r="H19" s="33">
        <v>0</v>
      </c>
      <c r="I19" s="34">
        <v>0</v>
      </c>
      <c r="J19" s="34">
        <f t="shared" si="2"/>
        <v>0</v>
      </c>
      <c r="K19" s="32">
        <v>0</v>
      </c>
      <c r="L19" s="33">
        <v>0</v>
      </c>
      <c r="M19" s="34">
        <v>0</v>
      </c>
      <c r="N19" s="34">
        <f t="shared" si="3"/>
        <v>0</v>
      </c>
      <c r="O19" s="32">
        <v>0</v>
      </c>
      <c r="P19" s="33">
        <v>3</v>
      </c>
      <c r="Q19" s="34">
        <v>3</v>
      </c>
      <c r="R19" s="34">
        <f t="shared" si="4"/>
        <v>0</v>
      </c>
      <c r="S19" s="32">
        <v>0</v>
      </c>
      <c r="T19" s="33">
        <v>0</v>
      </c>
      <c r="U19" s="34">
        <v>0</v>
      </c>
      <c r="V19" s="34">
        <f t="shared" si="5"/>
        <v>0</v>
      </c>
      <c r="W19" s="32">
        <v>0</v>
      </c>
      <c r="X19" s="33">
        <v>2</v>
      </c>
      <c r="Y19" s="34">
        <v>2</v>
      </c>
      <c r="Z19" s="34">
        <f t="shared" si="6"/>
        <v>0</v>
      </c>
      <c r="AA19" s="32">
        <v>0</v>
      </c>
      <c r="AB19" s="33">
        <v>2</v>
      </c>
      <c r="AC19" s="34">
        <v>2</v>
      </c>
      <c r="AD19" s="34">
        <f t="shared" si="7"/>
        <v>0</v>
      </c>
      <c r="AE19" s="32">
        <v>0</v>
      </c>
      <c r="AF19" s="33">
        <v>2</v>
      </c>
      <c r="AG19" s="34">
        <v>2</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0</v>
      </c>
      <c r="AV19" s="33">
        <v>0</v>
      </c>
      <c r="AW19" s="34">
        <v>0</v>
      </c>
      <c r="AX19" s="34">
        <f t="shared" si="12"/>
        <v>0</v>
      </c>
      <c r="AY19" s="32">
        <v>0</v>
      </c>
      <c r="AZ19" s="33">
        <v>2</v>
      </c>
      <c r="BA19" s="34">
        <v>2</v>
      </c>
      <c r="BB19" s="34">
        <f t="shared" si="13"/>
        <v>0</v>
      </c>
      <c r="BC19" s="32">
        <v>0</v>
      </c>
      <c r="BD19" s="33">
        <v>0</v>
      </c>
      <c r="BE19" s="34">
        <v>0</v>
      </c>
      <c r="BF19" s="34">
        <f t="shared" si="14"/>
        <v>0</v>
      </c>
      <c r="BG19" s="32">
        <v>0</v>
      </c>
      <c r="BH19" s="33">
        <v>1</v>
      </c>
      <c r="BI19" s="34">
        <v>0</v>
      </c>
      <c r="BJ19" s="34">
        <f t="shared" si="15"/>
        <v>1</v>
      </c>
      <c r="BK19" s="32">
        <v>0</v>
      </c>
      <c r="BL19" s="33">
        <v>0</v>
      </c>
      <c r="BM19" s="34">
        <v>0</v>
      </c>
      <c r="BN19" s="34">
        <f t="shared" si="16"/>
        <v>0</v>
      </c>
      <c r="BO19" s="32">
        <v>2</v>
      </c>
      <c r="BP19" s="33">
        <v>2</v>
      </c>
      <c r="BQ19" s="34">
        <v>2</v>
      </c>
      <c r="BR19" s="34">
        <f t="shared" si="17"/>
        <v>0</v>
      </c>
      <c r="BS19" s="32">
        <v>0</v>
      </c>
      <c r="BT19" s="33">
        <f t="shared" si="18"/>
        <v>16</v>
      </c>
      <c r="BU19" s="34">
        <f t="shared" si="19"/>
        <v>1</v>
      </c>
      <c r="BV19" s="34">
        <f t="shared" si="20"/>
        <v>2</v>
      </c>
      <c r="BW19" s="34">
        <f t="shared" si="21"/>
        <v>0.94117647058823528</v>
      </c>
      <c r="BX19" s="34">
        <f t="shared" si="22"/>
        <v>0.88888888888888884</v>
      </c>
      <c r="BY19" s="32">
        <f t="shared" si="23"/>
        <v>0.91428571428571426</v>
      </c>
    </row>
    <row r="20" spans="1:84" x14ac:dyDescent="0.35">
      <c r="A20" s="60" t="s">
        <v>10</v>
      </c>
      <c r="B20" s="108"/>
      <c r="C20" s="32" t="s">
        <v>28</v>
      </c>
      <c r="D20" s="33">
        <v>3</v>
      </c>
      <c r="E20" s="34">
        <v>3</v>
      </c>
      <c r="F20" s="34">
        <f t="shared" si="1"/>
        <v>0</v>
      </c>
      <c r="G20" s="32">
        <v>0</v>
      </c>
      <c r="H20" s="33">
        <v>0</v>
      </c>
      <c r="I20" s="34">
        <v>0</v>
      </c>
      <c r="J20" s="34">
        <f t="shared" si="2"/>
        <v>0</v>
      </c>
      <c r="K20" s="32">
        <v>0</v>
      </c>
      <c r="L20" s="33">
        <v>0</v>
      </c>
      <c r="M20" s="34">
        <v>0</v>
      </c>
      <c r="N20" s="34">
        <f t="shared" si="3"/>
        <v>0</v>
      </c>
      <c r="O20" s="32">
        <v>0</v>
      </c>
      <c r="P20" s="33">
        <v>3</v>
      </c>
      <c r="Q20" s="34">
        <v>3</v>
      </c>
      <c r="R20" s="34">
        <f t="shared" si="4"/>
        <v>0</v>
      </c>
      <c r="S20" s="32">
        <v>0</v>
      </c>
      <c r="T20" s="33">
        <v>0</v>
      </c>
      <c r="U20" s="34">
        <v>0</v>
      </c>
      <c r="V20" s="34">
        <f t="shared" si="5"/>
        <v>0</v>
      </c>
      <c r="W20" s="32">
        <v>3</v>
      </c>
      <c r="X20" s="33">
        <v>2</v>
      </c>
      <c r="Y20" s="34">
        <v>2</v>
      </c>
      <c r="Z20" s="34">
        <f t="shared" si="6"/>
        <v>0</v>
      </c>
      <c r="AA20" s="32">
        <v>0</v>
      </c>
      <c r="AB20" s="33">
        <v>2</v>
      </c>
      <c r="AC20" s="34">
        <v>2</v>
      </c>
      <c r="AD20" s="34">
        <f t="shared" si="7"/>
        <v>0</v>
      </c>
      <c r="AE20" s="32">
        <v>0</v>
      </c>
      <c r="AF20" s="33">
        <v>2</v>
      </c>
      <c r="AG20" s="34">
        <v>2</v>
      </c>
      <c r="AH20" s="34">
        <f t="shared" si="8"/>
        <v>0</v>
      </c>
      <c r="AI20" s="32">
        <v>0</v>
      </c>
      <c r="AJ20" s="33">
        <v>0</v>
      </c>
      <c r="AK20" s="34">
        <v>0</v>
      </c>
      <c r="AL20" s="34">
        <f t="shared" si="9"/>
        <v>0</v>
      </c>
      <c r="AM20" s="32">
        <v>0</v>
      </c>
      <c r="AN20" s="33">
        <v>0</v>
      </c>
      <c r="AO20" s="34">
        <v>0</v>
      </c>
      <c r="AP20" s="34">
        <f t="shared" si="10"/>
        <v>0</v>
      </c>
      <c r="AQ20" s="32">
        <v>1</v>
      </c>
      <c r="AR20" s="33">
        <v>0</v>
      </c>
      <c r="AS20" s="34">
        <v>0</v>
      </c>
      <c r="AT20" s="34">
        <f t="shared" si="11"/>
        <v>0</v>
      </c>
      <c r="AU20" s="32">
        <v>1</v>
      </c>
      <c r="AV20" s="33">
        <v>0</v>
      </c>
      <c r="AW20" s="34">
        <v>0</v>
      </c>
      <c r="AX20" s="34">
        <f t="shared" si="12"/>
        <v>0</v>
      </c>
      <c r="AY20" s="32">
        <v>1</v>
      </c>
      <c r="AZ20" s="33">
        <v>2</v>
      </c>
      <c r="BA20" s="34">
        <v>2</v>
      </c>
      <c r="BB20" s="34">
        <f t="shared" si="13"/>
        <v>0</v>
      </c>
      <c r="BC20" s="32">
        <v>0</v>
      </c>
      <c r="BD20" s="33">
        <v>0</v>
      </c>
      <c r="BE20" s="34">
        <v>0</v>
      </c>
      <c r="BF20" s="34">
        <f t="shared" si="14"/>
        <v>0</v>
      </c>
      <c r="BG20" s="32">
        <v>0</v>
      </c>
      <c r="BH20" s="33">
        <v>1</v>
      </c>
      <c r="BI20" s="34">
        <v>1</v>
      </c>
      <c r="BJ20" s="34">
        <f t="shared" si="15"/>
        <v>0</v>
      </c>
      <c r="BK20" s="32">
        <v>2</v>
      </c>
      <c r="BL20" s="33">
        <v>0</v>
      </c>
      <c r="BM20" s="34">
        <v>0</v>
      </c>
      <c r="BN20" s="34">
        <f t="shared" si="16"/>
        <v>0</v>
      </c>
      <c r="BO20" s="32">
        <v>4</v>
      </c>
      <c r="BP20" s="33">
        <v>2</v>
      </c>
      <c r="BQ20" s="34">
        <v>0</v>
      </c>
      <c r="BR20" s="34">
        <f t="shared" si="17"/>
        <v>2</v>
      </c>
      <c r="BS20" s="32">
        <v>0</v>
      </c>
      <c r="BT20" s="33">
        <f t="shared" si="18"/>
        <v>15</v>
      </c>
      <c r="BU20" s="34">
        <f t="shared" si="19"/>
        <v>2</v>
      </c>
      <c r="BV20" s="34">
        <f t="shared" si="20"/>
        <v>12</v>
      </c>
      <c r="BW20" s="34">
        <f t="shared" si="21"/>
        <v>0.88235294117647056</v>
      </c>
      <c r="BX20" s="34">
        <f t="shared" si="22"/>
        <v>0.55555555555555558</v>
      </c>
      <c r="BY20" s="32">
        <f t="shared" si="23"/>
        <v>0.68181818181818188</v>
      </c>
    </row>
    <row r="21" spans="1:84" x14ac:dyDescent="0.35">
      <c r="A21" s="61" t="s">
        <v>10</v>
      </c>
      <c r="B21" s="108"/>
      <c r="C21" s="35" t="s">
        <v>29</v>
      </c>
      <c r="D21" s="36">
        <v>2</v>
      </c>
      <c r="E21" s="37">
        <v>2</v>
      </c>
      <c r="F21" s="37">
        <f t="shared" si="1"/>
        <v>0</v>
      </c>
      <c r="G21" s="35">
        <v>0</v>
      </c>
      <c r="H21" s="36">
        <v>0</v>
      </c>
      <c r="I21" s="37">
        <v>0</v>
      </c>
      <c r="J21" s="37">
        <f t="shared" si="2"/>
        <v>0</v>
      </c>
      <c r="K21" s="35">
        <v>0</v>
      </c>
      <c r="L21" s="36">
        <v>0</v>
      </c>
      <c r="M21" s="37">
        <v>0</v>
      </c>
      <c r="N21" s="37">
        <f t="shared" si="3"/>
        <v>0</v>
      </c>
      <c r="O21" s="35">
        <v>0</v>
      </c>
      <c r="P21" s="36">
        <v>3</v>
      </c>
      <c r="Q21" s="37">
        <v>3</v>
      </c>
      <c r="R21" s="37">
        <f t="shared" si="4"/>
        <v>0</v>
      </c>
      <c r="S21" s="35">
        <v>0</v>
      </c>
      <c r="T21" s="36">
        <v>0</v>
      </c>
      <c r="U21" s="37">
        <v>0</v>
      </c>
      <c r="V21" s="37">
        <f t="shared" si="5"/>
        <v>0</v>
      </c>
      <c r="W21" s="35">
        <v>3</v>
      </c>
      <c r="X21" s="36">
        <v>1</v>
      </c>
      <c r="Y21" s="37">
        <v>1</v>
      </c>
      <c r="Z21" s="37">
        <f t="shared" si="6"/>
        <v>0</v>
      </c>
      <c r="AA21" s="35">
        <v>0</v>
      </c>
      <c r="AB21" s="36">
        <v>1</v>
      </c>
      <c r="AC21" s="37">
        <v>1</v>
      </c>
      <c r="AD21" s="37">
        <f t="shared" si="7"/>
        <v>0</v>
      </c>
      <c r="AE21" s="35">
        <v>0</v>
      </c>
      <c r="AF21" s="36">
        <v>1</v>
      </c>
      <c r="AG21" s="37">
        <v>1</v>
      </c>
      <c r="AH21" s="37">
        <f t="shared" si="8"/>
        <v>0</v>
      </c>
      <c r="AI21" s="35">
        <v>0</v>
      </c>
      <c r="AJ21" s="36">
        <v>0</v>
      </c>
      <c r="AK21" s="37">
        <v>0</v>
      </c>
      <c r="AL21" s="37">
        <f t="shared" si="9"/>
        <v>0</v>
      </c>
      <c r="AM21" s="35">
        <v>0</v>
      </c>
      <c r="AN21" s="36">
        <v>0</v>
      </c>
      <c r="AO21" s="37">
        <v>0</v>
      </c>
      <c r="AP21" s="37">
        <f t="shared" si="10"/>
        <v>0</v>
      </c>
      <c r="AQ21" s="35">
        <v>1</v>
      </c>
      <c r="AR21" s="36">
        <v>0</v>
      </c>
      <c r="AS21" s="37">
        <v>0</v>
      </c>
      <c r="AT21" s="37">
        <f t="shared" si="11"/>
        <v>0</v>
      </c>
      <c r="AU21" s="35">
        <v>0</v>
      </c>
      <c r="AV21" s="36">
        <v>0</v>
      </c>
      <c r="AW21" s="37">
        <v>0</v>
      </c>
      <c r="AX21" s="37">
        <f t="shared" si="12"/>
        <v>0</v>
      </c>
      <c r="AY21" s="35">
        <v>0</v>
      </c>
      <c r="AZ21" s="36">
        <v>1</v>
      </c>
      <c r="BA21" s="37">
        <v>1</v>
      </c>
      <c r="BB21" s="37">
        <f t="shared" si="13"/>
        <v>0</v>
      </c>
      <c r="BC21" s="35">
        <v>0</v>
      </c>
      <c r="BD21" s="36">
        <v>0</v>
      </c>
      <c r="BE21" s="37">
        <v>0</v>
      </c>
      <c r="BF21" s="37">
        <f t="shared" si="14"/>
        <v>0</v>
      </c>
      <c r="BG21" s="35">
        <v>0</v>
      </c>
      <c r="BH21" s="36">
        <v>0</v>
      </c>
      <c r="BI21" s="37">
        <v>0</v>
      </c>
      <c r="BJ21" s="37">
        <f t="shared" si="15"/>
        <v>0</v>
      </c>
      <c r="BK21" s="35">
        <v>0</v>
      </c>
      <c r="BL21" s="36">
        <v>0</v>
      </c>
      <c r="BM21" s="37">
        <v>0</v>
      </c>
      <c r="BN21" s="37">
        <f t="shared" si="16"/>
        <v>0</v>
      </c>
      <c r="BO21" s="35">
        <v>2</v>
      </c>
      <c r="BP21" s="36">
        <v>1</v>
      </c>
      <c r="BQ21" s="37">
        <v>0</v>
      </c>
      <c r="BR21" s="37">
        <f t="shared" si="17"/>
        <v>1</v>
      </c>
      <c r="BS21" s="35">
        <v>0</v>
      </c>
      <c r="BT21" s="36">
        <f t="shared" si="18"/>
        <v>9</v>
      </c>
      <c r="BU21" s="37">
        <f t="shared" si="19"/>
        <v>1</v>
      </c>
      <c r="BV21" s="37">
        <f t="shared" si="20"/>
        <v>6</v>
      </c>
      <c r="BW21" s="37">
        <f t="shared" si="21"/>
        <v>0.9</v>
      </c>
      <c r="BX21" s="37">
        <f t="shared" si="22"/>
        <v>0.6</v>
      </c>
      <c r="BY21" s="35">
        <f t="shared" si="23"/>
        <v>0.72000000000000008</v>
      </c>
    </row>
    <row r="22" spans="1:84" x14ac:dyDescent="0.35">
      <c r="A22" s="61" t="s">
        <v>10</v>
      </c>
      <c r="B22" s="108"/>
      <c r="C22" s="35" t="s">
        <v>30</v>
      </c>
      <c r="D22" s="36">
        <v>2</v>
      </c>
      <c r="E22" s="37">
        <v>2</v>
      </c>
      <c r="F22" s="37">
        <f t="shared" si="1"/>
        <v>0</v>
      </c>
      <c r="G22" s="35">
        <v>0</v>
      </c>
      <c r="H22" s="36">
        <v>0</v>
      </c>
      <c r="I22" s="37">
        <v>0</v>
      </c>
      <c r="J22" s="37">
        <f t="shared" si="2"/>
        <v>0</v>
      </c>
      <c r="K22" s="35">
        <v>0</v>
      </c>
      <c r="L22" s="36">
        <v>0</v>
      </c>
      <c r="M22" s="37">
        <v>0</v>
      </c>
      <c r="N22" s="37">
        <f t="shared" si="3"/>
        <v>0</v>
      </c>
      <c r="O22" s="35">
        <v>0</v>
      </c>
      <c r="P22" s="36">
        <v>3</v>
      </c>
      <c r="Q22" s="37">
        <v>3</v>
      </c>
      <c r="R22" s="37">
        <f t="shared" si="4"/>
        <v>0</v>
      </c>
      <c r="S22" s="35">
        <v>0</v>
      </c>
      <c r="T22" s="36">
        <v>0</v>
      </c>
      <c r="U22" s="37">
        <v>0</v>
      </c>
      <c r="V22" s="37">
        <f t="shared" si="5"/>
        <v>0</v>
      </c>
      <c r="W22" s="35">
        <v>3</v>
      </c>
      <c r="X22" s="36">
        <v>1</v>
      </c>
      <c r="Y22" s="37">
        <v>1</v>
      </c>
      <c r="Z22" s="37">
        <f t="shared" si="6"/>
        <v>0</v>
      </c>
      <c r="AA22" s="35">
        <v>0</v>
      </c>
      <c r="AB22" s="36">
        <v>1</v>
      </c>
      <c r="AC22" s="37">
        <v>1</v>
      </c>
      <c r="AD22" s="37">
        <f t="shared" si="7"/>
        <v>0</v>
      </c>
      <c r="AE22" s="35">
        <v>0</v>
      </c>
      <c r="AF22" s="36">
        <v>1</v>
      </c>
      <c r="AG22" s="37">
        <v>1</v>
      </c>
      <c r="AH22" s="37">
        <f t="shared" si="8"/>
        <v>0</v>
      </c>
      <c r="AI22" s="35">
        <v>0</v>
      </c>
      <c r="AJ22" s="36">
        <v>0</v>
      </c>
      <c r="AK22" s="37">
        <v>0</v>
      </c>
      <c r="AL22" s="37">
        <f t="shared" si="9"/>
        <v>0</v>
      </c>
      <c r="AM22" s="35">
        <v>0</v>
      </c>
      <c r="AN22" s="36">
        <v>0</v>
      </c>
      <c r="AO22" s="37">
        <v>0</v>
      </c>
      <c r="AP22" s="37">
        <f t="shared" si="10"/>
        <v>0</v>
      </c>
      <c r="AQ22" s="35">
        <v>1</v>
      </c>
      <c r="AR22" s="36">
        <v>0</v>
      </c>
      <c r="AS22" s="37">
        <v>0</v>
      </c>
      <c r="AT22" s="37">
        <f t="shared" si="11"/>
        <v>0</v>
      </c>
      <c r="AU22" s="35">
        <v>0</v>
      </c>
      <c r="AV22" s="36">
        <v>0</v>
      </c>
      <c r="AW22" s="37">
        <v>0</v>
      </c>
      <c r="AX22" s="37">
        <f t="shared" si="12"/>
        <v>0</v>
      </c>
      <c r="AY22" s="35">
        <v>0</v>
      </c>
      <c r="AZ22" s="36">
        <v>1</v>
      </c>
      <c r="BA22" s="37">
        <v>1</v>
      </c>
      <c r="BB22" s="37">
        <f t="shared" si="13"/>
        <v>0</v>
      </c>
      <c r="BC22" s="35">
        <v>0</v>
      </c>
      <c r="BD22" s="36">
        <v>0</v>
      </c>
      <c r="BE22" s="37">
        <v>0</v>
      </c>
      <c r="BF22" s="37">
        <f t="shared" si="14"/>
        <v>0</v>
      </c>
      <c r="BG22" s="35">
        <v>0</v>
      </c>
      <c r="BH22" s="36">
        <v>0</v>
      </c>
      <c r="BI22" s="37">
        <v>0</v>
      </c>
      <c r="BJ22" s="37">
        <f t="shared" si="15"/>
        <v>0</v>
      </c>
      <c r="BK22" s="35">
        <v>0</v>
      </c>
      <c r="BL22" s="36">
        <v>0</v>
      </c>
      <c r="BM22" s="37">
        <v>0</v>
      </c>
      <c r="BN22" s="37">
        <f t="shared" si="16"/>
        <v>0</v>
      </c>
      <c r="BO22" s="35">
        <v>2</v>
      </c>
      <c r="BP22" s="36">
        <v>1</v>
      </c>
      <c r="BQ22" s="37">
        <v>0</v>
      </c>
      <c r="BR22" s="37">
        <f t="shared" si="17"/>
        <v>1</v>
      </c>
      <c r="BS22" s="35">
        <v>0</v>
      </c>
      <c r="BT22" s="36">
        <f t="shared" si="18"/>
        <v>9</v>
      </c>
      <c r="BU22" s="37">
        <f t="shared" si="19"/>
        <v>1</v>
      </c>
      <c r="BV22" s="37">
        <f t="shared" si="20"/>
        <v>6</v>
      </c>
      <c r="BW22" s="37">
        <f t="shared" si="21"/>
        <v>0.9</v>
      </c>
      <c r="BX22" s="37">
        <f t="shared" si="22"/>
        <v>0.6</v>
      </c>
      <c r="BY22" s="35">
        <f t="shared" si="23"/>
        <v>0.72000000000000008</v>
      </c>
    </row>
    <row r="23" spans="1:84" x14ac:dyDescent="0.35">
      <c r="A23" s="62" t="s">
        <v>10</v>
      </c>
      <c r="B23" s="108"/>
      <c r="C23" s="38" t="s">
        <v>31</v>
      </c>
      <c r="D23" s="39">
        <v>4</v>
      </c>
      <c r="E23" s="40">
        <v>3</v>
      </c>
      <c r="F23" s="40">
        <f t="shared" si="1"/>
        <v>1</v>
      </c>
      <c r="G23" s="38">
        <v>0</v>
      </c>
      <c r="H23" s="39">
        <v>0</v>
      </c>
      <c r="I23" s="40">
        <v>0</v>
      </c>
      <c r="J23" s="40">
        <f t="shared" si="2"/>
        <v>0</v>
      </c>
      <c r="K23" s="38">
        <v>0</v>
      </c>
      <c r="L23" s="39">
        <v>0</v>
      </c>
      <c r="M23" s="40">
        <v>0</v>
      </c>
      <c r="N23" s="40">
        <f t="shared" si="3"/>
        <v>0</v>
      </c>
      <c r="O23" s="38">
        <v>0</v>
      </c>
      <c r="P23" s="39">
        <v>0</v>
      </c>
      <c r="Q23" s="40">
        <v>0</v>
      </c>
      <c r="R23" s="40">
        <f t="shared" si="4"/>
        <v>0</v>
      </c>
      <c r="S23" s="38">
        <v>0</v>
      </c>
      <c r="T23" s="39">
        <v>0</v>
      </c>
      <c r="U23" s="40">
        <v>0</v>
      </c>
      <c r="V23" s="40">
        <f t="shared" si="5"/>
        <v>0</v>
      </c>
      <c r="W23" s="38">
        <v>0</v>
      </c>
      <c r="X23" s="39">
        <v>4</v>
      </c>
      <c r="Y23" s="40">
        <v>3</v>
      </c>
      <c r="Z23" s="40">
        <f t="shared" si="6"/>
        <v>1</v>
      </c>
      <c r="AA23" s="38">
        <v>0</v>
      </c>
      <c r="AB23" s="39">
        <v>1</v>
      </c>
      <c r="AC23" s="40">
        <v>0</v>
      </c>
      <c r="AD23" s="40">
        <f t="shared" si="7"/>
        <v>1</v>
      </c>
      <c r="AE23" s="38">
        <v>0</v>
      </c>
      <c r="AF23" s="39">
        <v>2</v>
      </c>
      <c r="AG23" s="40">
        <v>1</v>
      </c>
      <c r="AH23" s="40">
        <f t="shared" si="8"/>
        <v>1</v>
      </c>
      <c r="AI23" s="38">
        <v>2</v>
      </c>
      <c r="AJ23" s="39">
        <v>1</v>
      </c>
      <c r="AK23" s="40">
        <v>1</v>
      </c>
      <c r="AL23" s="40">
        <f t="shared" si="9"/>
        <v>0</v>
      </c>
      <c r="AM23" s="38">
        <v>0</v>
      </c>
      <c r="AN23" s="39">
        <v>1</v>
      </c>
      <c r="AO23" s="40">
        <v>1</v>
      </c>
      <c r="AP23" s="40">
        <f t="shared" si="10"/>
        <v>0</v>
      </c>
      <c r="AQ23" s="38">
        <v>0</v>
      </c>
      <c r="AR23" s="39">
        <v>0</v>
      </c>
      <c r="AS23" s="40">
        <v>0</v>
      </c>
      <c r="AT23" s="40">
        <f t="shared" si="11"/>
        <v>0</v>
      </c>
      <c r="AU23" s="38">
        <v>0</v>
      </c>
      <c r="AV23" s="39">
        <v>0</v>
      </c>
      <c r="AW23" s="40">
        <v>0</v>
      </c>
      <c r="AX23" s="40">
        <f t="shared" si="12"/>
        <v>0</v>
      </c>
      <c r="AY23" s="38">
        <v>0</v>
      </c>
      <c r="AZ23" s="39">
        <v>3</v>
      </c>
      <c r="BA23" s="40">
        <v>2</v>
      </c>
      <c r="BB23" s="40">
        <f t="shared" si="13"/>
        <v>1</v>
      </c>
      <c r="BC23" s="38">
        <v>0</v>
      </c>
      <c r="BD23" s="39">
        <v>0</v>
      </c>
      <c r="BE23" s="40">
        <v>0</v>
      </c>
      <c r="BF23" s="40">
        <f t="shared" si="14"/>
        <v>0</v>
      </c>
      <c r="BG23" s="38">
        <v>0</v>
      </c>
      <c r="BH23" s="39">
        <v>1</v>
      </c>
      <c r="BI23" s="40">
        <v>0</v>
      </c>
      <c r="BJ23" s="40">
        <f t="shared" si="15"/>
        <v>1</v>
      </c>
      <c r="BK23" s="38">
        <v>0</v>
      </c>
      <c r="BL23" s="39">
        <v>0</v>
      </c>
      <c r="BM23" s="40">
        <v>0</v>
      </c>
      <c r="BN23" s="40">
        <f t="shared" si="16"/>
        <v>0</v>
      </c>
      <c r="BO23" s="38">
        <v>4</v>
      </c>
      <c r="BP23" s="39">
        <v>1</v>
      </c>
      <c r="BQ23" s="40">
        <v>0</v>
      </c>
      <c r="BR23" s="40">
        <f t="shared" si="17"/>
        <v>1</v>
      </c>
      <c r="BS23" s="38">
        <v>0</v>
      </c>
      <c r="BT23" s="39">
        <f t="shared" si="18"/>
        <v>11</v>
      </c>
      <c r="BU23" s="40">
        <f t="shared" si="19"/>
        <v>7</v>
      </c>
      <c r="BV23" s="40">
        <f t="shared" si="20"/>
        <v>6</v>
      </c>
      <c r="BW23" s="40">
        <f t="shared" si="21"/>
        <v>0.61111111111111116</v>
      </c>
      <c r="BX23" s="40">
        <f t="shared" si="22"/>
        <v>0.6470588235294118</v>
      </c>
      <c r="BY23" s="38">
        <f t="shared" si="23"/>
        <v>0.62857142857142867</v>
      </c>
    </row>
    <row r="24" spans="1:84" x14ac:dyDescent="0.35">
      <c r="A24" s="62" t="s">
        <v>10</v>
      </c>
      <c r="B24" s="108"/>
      <c r="C24" s="38" t="s">
        <v>32</v>
      </c>
      <c r="D24" s="39">
        <v>4</v>
      </c>
      <c r="E24" s="40">
        <v>4</v>
      </c>
      <c r="F24" s="40">
        <f t="shared" si="1"/>
        <v>0</v>
      </c>
      <c r="G24" s="38">
        <v>0</v>
      </c>
      <c r="H24" s="39">
        <v>0</v>
      </c>
      <c r="I24" s="40">
        <v>0</v>
      </c>
      <c r="J24" s="40">
        <v>0</v>
      </c>
      <c r="K24" s="38">
        <v>4</v>
      </c>
      <c r="L24" s="39">
        <v>0</v>
      </c>
      <c r="M24" s="40">
        <v>0</v>
      </c>
      <c r="N24" s="40">
        <f t="shared" si="3"/>
        <v>0</v>
      </c>
      <c r="O24" s="38">
        <v>1</v>
      </c>
      <c r="P24" s="39">
        <v>0</v>
      </c>
      <c r="Q24" s="40">
        <v>0</v>
      </c>
      <c r="R24" s="40">
        <f t="shared" si="4"/>
        <v>0</v>
      </c>
      <c r="S24" s="38">
        <v>0</v>
      </c>
      <c r="T24" s="39">
        <v>0</v>
      </c>
      <c r="U24" s="40">
        <v>0</v>
      </c>
      <c r="V24" s="40">
        <f t="shared" si="5"/>
        <v>0</v>
      </c>
      <c r="W24" s="38">
        <v>0</v>
      </c>
      <c r="X24" s="39">
        <v>4</v>
      </c>
      <c r="Y24" s="40">
        <v>4</v>
      </c>
      <c r="Z24" s="40">
        <f t="shared" si="6"/>
        <v>0</v>
      </c>
      <c r="AA24" s="38">
        <v>1</v>
      </c>
      <c r="AB24" s="39">
        <v>1</v>
      </c>
      <c r="AC24" s="40">
        <v>1</v>
      </c>
      <c r="AD24" s="40">
        <f t="shared" si="7"/>
        <v>0</v>
      </c>
      <c r="AE24" s="38">
        <v>0</v>
      </c>
      <c r="AF24" s="39">
        <v>2</v>
      </c>
      <c r="AG24" s="40">
        <v>2</v>
      </c>
      <c r="AH24" s="40">
        <f t="shared" si="8"/>
        <v>0</v>
      </c>
      <c r="AI24" s="38">
        <v>7</v>
      </c>
      <c r="AJ24" s="39">
        <v>1</v>
      </c>
      <c r="AK24" s="40">
        <v>1</v>
      </c>
      <c r="AL24" s="40">
        <f t="shared" si="9"/>
        <v>0</v>
      </c>
      <c r="AM24" s="38">
        <v>0</v>
      </c>
      <c r="AN24" s="39">
        <v>1</v>
      </c>
      <c r="AO24" s="40">
        <v>1</v>
      </c>
      <c r="AP24" s="40">
        <f t="shared" si="10"/>
        <v>0</v>
      </c>
      <c r="AQ24" s="38">
        <v>0</v>
      </c>
      <c r="AR24" s="39">
        <v>0</v>
      </c>
      <c r="AS24" s="40">
        <v>0</v>
      </c>
      <c r="AT24" s="40">
        <f t="shared" si="11"/>
        <v>0</v>
      </c>
      <c r="AU24" s="38">
        <v>1</v>
      </c>
      <c r="AV24" s="39">
        <v>0</v>
      </c>
      <c r="AW24" s="40">
        <v>0</v>
      </c>
      <c r="AX24" s="40">
        <f t="shared" si="12"/>
        <v>0</v>
      </c>
      <c r="AY24" s="38">
        <v>0</v>
      </c>
      <c r="AZ24" s="39">
        <v>3</v>
      </c>
      <c r="BA24" s="40">
        <v>3</v>
      </c>
      <c r="BB24" s="40">
        <f t="shared" si="13"/>
        <v>0</v>
      </c>
      <c r="BC24" s="38">
        <v>0</v>
      </c>
      <c r="BD24" s="39">
        <v>0</v>
      </c>
      <c r="BE24" s="40">
        <v>0</v>
      </c>
      <c r="BF24" s="40">
        <f t="shared" si="14"/>
        <v>0</v>
      </c>
      <c r="BG24" s="38">
        <v>0</v>
      </c>
      <c r="BH24" s="39">
        <v>1</v>
      </c>
      <c r="BI24" s="40">
        <v>0</v>
      </c>
      <c r="BJ24" s="40">
        <f t="shared" si="15"/>
        <v>1</v>
      </c>
      <c r="BK24" s="38">
        <v>0</v>
      </c>
      <c r="BL24" s="39">
        <v>0</v>
      </c>
      <c r="BM24" s="40">
        <v>0</v>
      </c>
      <c r="BN24" s="40">
        <f t="shared" si="16"/>
        <v>0</v>
      </c>
      <c r="BO24" s="38">
        <v>6</v>
      </c>
      <c r="BP24" s="39">
        <v>1</v>
      </c>
      <c r="BQ24" s="40">
        <v>0</v>
      </c>
      <c r="BR24" s="40">
        <f t="shared" si="17"/>
        <v>1</v>
      </c>
      <c r="BS24" s="38">
        <v>0</v>
      </c>
      <c r="BT24" s="39">
        <f t="shared" si="18"/>
        <v>16</v>
      </c>
      <c r="BU24" s="40">
        <f t="shared" si="19"/>
        <v>2</v>
      </c>
      <c r="BV24" s="40">
        <f t="shared" si="20"/>
        <v>20</v>
      </c>
      <c r="BW24" s="40">
        <f t="shared" si="21"/>
        <v>0.88888888888888884</v>
      </c>
      <c r="BX24" s="40">
        <f t="shared" si="22"/>
        <v>0.44444444444444442</v>
      </c>
      <c r="BY24" s="38">
        <f t="shared" si="23"/>
        <v>0.59259259259259256</v>
      </c>
    </row>
    <row r="25" spans="1:84" ht="15" customHeight="1" x14ac:dyDescent="0.35">
      <c r="A25" s="63" t="s">
        <v>10</v>
      </c>
      <c r="B25" s="108"/>
      <c r="C25" s="41" t="s">
        <v>33</v>
      </c>
      <c r="D25" s="42">
        <v>1</v>
      </c>
      <c r="E25" s="43">
        <v>1</v>
      </c>
      <c r="F25" s="43">
        <f t="shared" si="1"/>
        <v>0</v>
      </c>
      <c r="G25" s="41">
        <v>0</v>
      </c>
      <c r="H25" s="42">
        <v>0</v>
      </c>
      <c r="I25" s="43">
        <v>0</v>
      </c>
      <c r="J25" s="43">
        <f t="shared" si="2"/>
        <v>0</v>
      </c>
      <c r="K25" s="41">
        <v>1</v>
      </c>
      <c r="L25" s="42">
        <v>0</v>
      </c>
      <c r="M25" s="43">
        <v>0</v>
      </c>
      <c r="N25" s="43">
        <f t="shared" si="3"/>
        <v>0</v>
      </c>
      <c r="O25" s="41">
        <v>0</v>
      </c>
      <c r="P25" s="42">
        <v>0</v>
      </c>
      <c r="Q25" s="43">
        <v>0</v>
      </c>
      <c r="R25" s="43">
        <f t="shared" si="4"/>
        <v>0</v>
      </c>
      <c r="S25" s="41">
        <v>0</v>
      </c>
      <c r="T25" s="42">
        <v>0</v>
      </c>
      <c r="U25" s="43">
        <v>0</v>
      </c>
      <c r="V25" s="43">
        <f t="shared" si="5"/>
        <v>0</v>
      </c>
      <c r="W25" s="41">
        <v>0</v>
      </c>
      <c r="X25" s="42">
        <v>2</v>
      </c>
      <c r="Y25" s="43">
        <v>2</v>
      </c>
      <c r="Z25" s="43">
        <f t="shared" si="6"/>
        <v>0</v>
      </c>
      <c r="AA25" s="41">
        <v>0</v>
      </c>
      <c r="AB25" s="42">
        <v>0</v>
      </c>
      <c r="AC25" s="43">
        <v>0</v>
      </c>
      <c r="AD25" s="43">
        <f t="shared" si="7"/>
        <v>0</v>
      </c>
      <c r="AE25" s="41">
        <v>0</v>
      </c>
      <c r="AF25" s="42">
        <v>2</v>
      </c>
      <c r="AG25" s="43">
        <v>2</v>
      </c>
      <c r="AH25" s="43">
        <f t="shared" si="8"/>
        <v>0</v>
      </c>
      <c r="AI25" s="41">
        <v>1</v>
      </c>
      <c r="AJ25" s="42">
        <v>0</v>
      </c>
      <c r="AK25" s="43">
        <v>0</v>
      </c>
      <c r="AL25" s="43">
        <f t="shared" si="9"/>
        <v>0</v>
      </c>
      <c r="AM25" s="41">
        <v>0</v>
      </c>
      <c r="AN25" s="42">
        <v>0</v>
      </c>
      <c r="AO25" s="43">
        <v>0</v>
      </c>
      <c r="AP25" s="43">
        <f t="shared" si="10"/>
        <v>0</v>
      </c>
      <c r="AQ25" s="41">
        <v>0</v>
      </c>
      <c r="AR25" s="42">
        <v>0</v>
      </c>
      <c r="AS25" s="43">
        <v>0</v>
      </c>
      <c r="AT25" s="43">
        <f t="shared" si="11"/>
        <v>0</v>
      </c>
      <c r="AU25" s="41">
        <v>0</v>
      </c>
      <c r="AV25" s="42">
        <v>0</v>
      </c>
      <c r="AW25" s="43">
        <v>0</v>
      </c>
      <c r="AX25" s="43">
        <f t="shared" si="12"/>
        <v>0</v>
      </c>
      <c r="AY25" s="41">
        <v>0</v>
      </c>
      <c r="AZ25" s="42">
        <v>0</v>
      </c>
      <c r="BA25" s="43">
        <v>0</v>
      </c>
      <c r="BB25" s="43">
        <f t="shared" si="13"/>
        <v>0</v>
      </c>
      <c r="BC25" s="41">
        <v>0</v>
      </c>
      <c r="BD25" s="42">
        <v>2</v>
      </c>
      <c r="BE25" s="43">
        <v>2</v>
      </c>
      <c r="BF25" s="43">
        <f t="shared" si="14"/>
        <v>0</v>
      </c>
      <c r="BG25" s="41">
        <v>0</v>
      </c>
      <c r="BH25" s="42">
        <v>0</v>
      </c>
      <c r="BI25" s="43">
        <v>0</v>
      </c>
      <c r="BJ25" s="43">
        <f t="shared" si="15"/>
        <v>0</v>
      </c>
      <c r="BK25" s="41">
        <v>0</v>
      </c>
      <c r="BL25" s="42">
        <v>0</v>
      </c>
      <c r="BM25" s="43">
        <v>0</v>
      </c>
      <c r="BN25" s="43">
        <f t="shared" si="16"/>
        <v>0</v>
      </c>
      <c r="BO25" s="41">
        <v>0</v>
      </c>
      <c r="BP25" s="42">
        <v>0</v>
      </c>
      <c r="BQ25" s="43">
        <v>0</v>
      </c>
      <c r="BR25" s="43">
        <f t="shared" si="17"/>
        <v>0</v>
      </c>
      <c r="BS25" s="41">
        <v>0</v>
      </c>
      <c r="BT25" s="42">
        <f t="shared" si="18"/>
        <v>7</v>
      </c>
      <c r="BU25" s="43">
        <f t="shared" si="19"/>
        <v>0</v>
      </c>
      <c r="BV25" s="43">
        <f t="shared" si="20"/>
        <v>2</v>
      </c>
      <c r="BW25" s="43">
        <f t="shared" si="21"/>
        <v>1</v>
      </c>
      <c r="BX25" s="43">
        <f t="shared" si="22"/>
        <v>0.77777777777777779</v>
      </c>
      <c r="BY25" s="41">
        <f t="shared" si="23"/>
        <v>0.87500000000000011</v>
      </c>
    </row>
    <row r="26" spans="1:84" x14ac:dyDescent="0.35">
      <c r="A26" s="63" t="s">
        <v>10</v>
      </c>
      <c r="B26" s="108"/>
      <c r="C26" s="41" t="s">
        <v>34</v>
      </c>
      <c r="D26" s="42">
        <v>1</v>
      </c>
      <c r="E26" s="43">
        <v>1</v>
      </c>
      <c r="F26" s="43">
        <f t="shared" si="1"/>
        <v>0</v>
      </c>
      <c r="G26" s="41">
        <v>0</v>
      </c>
      <c r="H26" s="42">
        <v>0</v>
      </c>
      <c r="I26" s="43">
        <v>0</v>
      </c>
      <c r="J26" s="43">
        <f t="shared" si="2"/>
        <v>0</v>
      </c>
      <c r="K26" s="41">
        <v>0</v>
      </c>
      <c r="L26" s="42">
        <v>0</v>
      </c>
      <c r="M26" s="43">
        <v>0</v>
      </c>
      <c r="N26" s="43">
        <f t="shared" si="3"/>
        <v>0</v>
      </c>
      <c r="O26" s="41">
        <v>0</v>
      </c>
      <c r="P26" s="42">
        <v>0</v>
      </c>
      <c r="Q26" s="43">
        <v>0</v>
      </c>
      <c r="R26" s="43">
        <f t="shared" si="4"/>
        <v>0</v>
      </c>
      <c r="S26" s="41">
        <v>0</v>
      </c>
      <c r="T26" s="42">
        <v>0</v>
      </c>
      <c r="U26" s="43">
        <v>0</v>
      </c>
      <c r="V26" s="43">
        <f t="shared" si="5"/>
        <v>0</v>
      </c>
      <c r="W26" s="41">
        <v>0</v>
      </c>
      <c r="X26" s="42">
        <v>2</v>
      </c>
      <c r="Y26" s="43">
        <v>2</v>
      </c>
      <c r="Z26" s="43">
        <f t="shared" si="6"/>
        <v>0</v>
      </c>
      <c r="AA26" s="41">
        <v>0</v>
      </c>
      <c r="AB26" s="42">
        <v>0</v>
      </c>
      <c r="AC26" s="43">
        <v>0</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0</v>
      </c>
      <c r="AS26" s="43">
        <v>0</v>
      </c>
      <c r="AT26" s="43">
        <f t="shared" si="11"/>
        <v>0</v>
      </c>
      <c r="AU26" s="41">
        <v>1</v>
      </c>
      <c r="AV26" s="42">
        <v>0</v>
      </c>
      <c r="AW26" s="43">
        <v>0</v>
      </c>
      <c r="AX26" s="43">
        <f t="shared" si="12"/>
        <v>0</v>
      </c>
      <c r="AY26" s="41">
        <v>0</v>
      </c>
      <c r="AZ26" s="42">
        <v>0</v>
      </c>
      <c r="BA26" s="43">
        <v>0</v>
      </c>
      <c r="BB26" s="43">
        <f t="shared" si="13"/>
        <v>0</v>
      </c>
      <c r="BC26" s="41">
        <v>1</v>
      </c>
      <c r="BD26" s="42">
        <v>2</v>
      </c>
      <c r="BE26" s="43">
        <v>2</v>
      </c>
      <c r="BF26" s="43">
        <f t="shared" si="14"/>
        <v>0</v>
      </c>
      <c r="BG26" s="41">
        <v>0</v>
      </c>
      <c r="BH26" s="42">
        <v>0</v>
      </c>
      <c r="BI26" s="43">
        <v>0</v>
      </c>
      <c r="BJ26" s="43">
        <f t="shared" si="15"/>
        <v>0</v>
      </c>
      <c r="BK26" s="41">
        <v>0</v>
      </c>
      <c r="BL26" s="42">
        <v>0</v>
      </c>
      <c r="BM26" s="43">
        <v>0</v>
      </c>
      <c r="BN26" s="43">
        <f t="shared" si="16"/>
        <v>0</v>
      </c>
      <c r="BO26" s="41">
        <v>2</v>
      </c>
      <c r="BP26" s="42">
        <v>0</v>
      </c>
      <c r="BQ26" s="43">
        <v>0</v>
      </c>
      <c r="BR26" s="43">
        <f t="shared" si="17"/>
        <v>0</v>
      </c>
      <c r="BS26" s="41">
        <v>0</v>
      </c>
      <c r="BT26" s="42">
        <f t="shared" si="18"/>
        <v>7</v>
      </c>
      <c r="BU26" s="43">
        <f t="shared" si="19"/>
        <v>0</v>
      </c>
      <c r="BV26" s="43">
        <f t="shared" si="20"/>
        <v>4</v>
      </c>
      <c r="BW26" s="43">
        <f t="shared" si="21"/>
        <v>1</v>
      </c>
      <c r="BX26" s="43">
        <f t="shared" si="22"/>
        <v>0.63636363636363635</v>
      </c>
      <c r="BY26" s="41">
        <f t="shared" si="23"/>
        <v>0.77777777777777779</v>
      </c>
    </row>
    <row r="27" spans="1:84" x14ac:dyDescent="0.35">
      <c r="A27" s="47" t="s">
        <v>10</v>
      </c>
      <c r="B27" s="108"/>
      <c r="C27" s="44" t="s">
        <v>35</v>
      </c>
      <c r="D27" s="45">
        <v>2</v>
      </c>
      <c r="E27" s="46">
        <v>2</v>
      </c>
      <c r="F27" s="46">
        <f t="shared" si="1"/>
        <v>0</v>
      </c>
      <c r="G27" s="44">
        <v>0</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3</v>
      </c>
      <c r="AG27" s="46">
        <v>3</v>
      </c>
      <c r="AH27" s="46">
        <f t="shared" si="8"/>
        <v>0</v>
      </c>
      <c r="AI27" s="44">
        <v>0</v>
      </c>
      <c r="AJ27" s="45">
        <v>0</v>
      </c>
      <c r="AK27" s="46">
        <v>0</v>
      </c>
      <c r="AL27" s="46">
        <f t="shared" si="9"/>
        <v>0</v>
      </c>
      <c r="AM27" s="44">
        <v>0</v>
      </c>
      <c r="AN27" s="45">
        <v>0</v>
      </c>
      <c r="AO27" s="46">
        <v>0</v>
      </c>
      <c r="AP27" s="46">
        <f t="shared" si="10"/>
        <v>0</v>
      </c>
      <c r="AQ27" s="44">
        <v>0</v>
      </c>
      <c r="AR27" s="45">
        <v>0</v>
      </c>
      <c r="AS27" s="46">
        <v>0</v>
      </c>
      <c r="AT27" s="46">
        <f t="shared" si="11"/>
        <v>0</v>
      </c>
      <c r="AU27" s="44">
        <v>0</v>
      </c>
      <c r="AV27" s="45">
        <v>1</v>
      </c>
      <c r="AW27" s="46">
        <v>0</v>
      </c>
      <c r="AX27" s="46">
        <f t="shared" si="12"/>
        <v>1</v>
      </c>
      <c r="AY27" s="44">
        <v>1</v>
      </c>
      <c r="AZ27" s="45">
        <v>1</v>
      </c>
      <c r="BA27" s="46">
        <v>1</v>
      </c>
      <c r="BB27" s="46">
        <f t="shared" si="13"/>
        <v>0</v>
      </c>
      <c r="BC27" s="44">
        <v>1</v>
      </c>
      <c r="BD27" s="45">
        <v>0</v>
      </c>
      <c r="BE27" s="46">
        <v>0</v>
      </c>
      <c r="BF27" s="46">
        <f t="shared" si="14"/>
        <v>0</v>
      </c>
      <c r="BG27" s="44">
        <v>0</v>
      </c>
      <c r="BH27" s="45">
        <v>0</v>
      </c>
      <c r="BI27" s="46">
        <v>0</v>
      </c>
      <c r="BJ27" s="46">
        <f t="shared" si="15"/>
        <v>0</v>
      </c>
      <c r="BK27" s="44">
        <v>0</v>
      </c>
      <c r="BL27" s="45">
        <v>1</v>
      </c>
      <c r="BM27" s="46">
        <v>0</v>
      </c>
      <c r="BN27" s="46">
        <f t="shared" si="16"/>
        <v>1</v>
      </c>
      <c r="BO27" s="44">
        <v>4</v>
      </c>
      <c r="BP27" s="45">
        <v>0</v>
      </c>
      <c r="BQ27" s="46">
        <v>0</v>
      </c>
      <c r="BR27" s="46">
        <f t="shared" si="17"/>
        <v>0</v>
      </c>
      <c r="BS27" s="44">
        <v>1</v>
      </c>
      <c r="BT27" s="45">
        <f t="shared" si="18"/>
        <v>15</v>
      </c>
      <c r="BU27" s="46">
        <f t="shared" si="19"/>
        <v>2</v>
      </c>
      <c r="BV27" s="46">
        <f t="shared" si="20"/>
        <v>7</v>
      </c>
      <c r="BW27" s="46">
        <f t="shared" si="21"/>
        <v>0.88235294117647056</v>
      </c>
      <c r="BX27" s="46">
        <f t="shared" si="22"/>
        <v>0.68181818181818177</v>
      </c>
      <c r="BY27" s="44">
        <f t="shared" si="23"/>
        <v>0.76923076923076927</v>
      </c>
    </row>
    <row r="28" spans="1:84" x14ac:dyDescent="0.35">
      <c r="A28" s="47" t="s">
        <v>10</v>
      </c>
      <c r="B28" s="108"/>
      <c r="C28" s="44" t="s">
        <v>36</v>
      </c>
      <c r="D28" s="45">
        <v>2</v>
      </c>
      <c r="E28" s="46">
        <v>2</v>
      </c>
      <c r="F28" s="46">
        <f t="shared" si="1"/>
        <v>0</v>
      </c>
      <c r="G28" s="44">
        <v>0</v>
      </c>
      <c r="H28" s="45">
        <v>2</v>
      </c>
      <c r="I28" s="46">
        <v>2</v>
      </c>
      <c r="J28" s="46">
        <f t="shared" si="2"/>
        <v>0</v>
      </c>
      <c r="K28" s="44">
        <v>0</v>
      </c>
      <c r="L28" s="45">
        <v>2</v>
      </c>
      <c r="M28" s="46">
        <v>2</v>
      </c>
      <c r="N28" s="46">
        <f t="shared" si="3"/>
        <v>0</v>
      </c>
      <c r="O28" s="44">
        <v>0</v>
      </c>
      <c r="P28" s="45">
        <v>2</v>
      </c>
      <c r="Q28" s="46">
        <v>2</v>
      </c>
      <c r="R28" s="46">
        <f t="shared" si="4"/>
        <v>0</v>
      </c>
      <c r="S28" s="44">
        <v>0</v>
      </c>
      <c r="T28" s="45">
        <v>2</v>
      </c>
      <c r="U28" s="46">
        <v>2</v>
      </c>
      <c r="V28" s="46">
        <f t="shared" si="5"/>
        <v>0</v>
      </c>
      <c r="W28" s="44">
        <v>0</v>
      </c>
      <c r="X28" s="45">
        <v>1</v>
      </c>
      <c r="Y28" s="46">
        <v>1</v>
      </c>
      <c r="Z28" s="46">
        <f t="shared" si="6"/>
        <v>0</v>
      </c>
      <c r="AA28" s="44">
        <v>1</v>
      </c>
      <c r="AB28" s="45">
        <v>0</v>
      </c>
      <c r="AC28" s="46">
        <v>0</v>
      </c>
      <c r="AD28" s="46">
        <f t="shared" si="7"/>
        <v>0</v>
      </c>
      <c r="AE28" s="44">
        <v>0</v>
      </c>
      <c r="AF28" s="45">
        <v>3</v>
      </c>
      <c r="AG28" s="46">
        <v>3</v>
      </c>
      <c r="AH28" s="46">
        <f t="shared" si="8"/>
        <v>0</v>
      </c>
      <c r="AI28" s="44">
        <v>1</v>
      </c>
      <c r="AJ28" s="45">
        <v>0</v>
      </c>
      <c r="AK28" s="46">
        <v>0</v>
      </c>
      <c r="AL28" s="46">
        <f t="shared" si="9"/>
        <v>0</v>
      </c>
      <c r="AM28" s="44">
        <v>0</v>
      </c>
      <c r="AN28" s="45">
        <v>0</v>
      </c>
      <c r="AO28" s="46">
        <v>0</v>
      </c>
      <c r="AP28" s="46">
        <f t="shared" si="10"/>
        <v>0</v>
      </c>
      <c r="AQ28" s="44">
        <v>0</v>
      </c>
      <c r="AR28" s="45">
        <v>0</v>
      </c>
      <c r="AS28" s="46">
        <v>0</v>
      </c>
      <c r="AT28" s="46">
        <f t="shared" si="11"/>
        <v>0</v>
      </c>
      <c r="AU28" s="44">
        <v>0</v>
      </c>
      <c r="AV28" s="45">
        <v>1</v>
      </c>
      <c r="AW28" s="46">
        <v>0</v>
      </c>
      <c r="AX28" s="46">
        <f t="shared" si="12"/>
        <v>1</v>
      </c>
      <c r="AY28" s="44">
        <v>1</v>
      </c>
      <c r="AZ28" s="45">
        <v>1</v>
      </c>
      <c r="BA28" s="46">
        <v>0</v>
      </c>
      <c r="BB28" s="46">
        <f t="shared" si="13"/>
        <v>1</v>
      </c>
      <c r="BC28" s="44">
        <v>1</v>
      </c>
      <c r="BD28" s="45">
        <v>0</v>
      </c>
      <c r="BE28" s="46">
        <v>0</v>
      </c>
      <c r="BF28" s="46">
        <f t="shared" si="14"/>
        <v>0</v>
      </c>
      <c r="BG28" s="44">
        <v>0</v>
      </c>
      <c r="BH28" s="45">
        <v>0</v>
      </c>
      <c r="BI28" s="46">
        <v>0</v>
      </c>
      <c r="BJ28" s="46">
        <f t="shared" si="15"/>
        <v>0</v>
      </c>
      <c r="BK28" s="44">
        <v>2</v>
      </c>
      <c r="BL28" s="45">
        <v>1</v>
      </c>
      <c r="BM28" s="46">
        <v>0</v>
      </c>
      <c r="BN28" s="46">
        <f t="shared" si="16"/>
        <v>1</v>
      </c>
      <c r="BO28" s="44">
        <v>2</v>
      </c>
      <c r="BP28" s="45">
        <v>0</v>
      </c>
      <c r="BQ28" s="46">
        <v>0</v>
      </c>
      <c r="BR28" s="46">
        <f t="shared" si="17"/>
        <v>0</v>
      </c>
      <c r="BS28" s="44">
        <v>0</v>
      </c>
      <c r="BT28" s="45">
        <f t="shared" si="18"/>
        <v>14</v>
      </c>
      <c r="BU28" s="46">
        <f t="shared" si="19"/>
        <v>3</v>
      </c>
      <c r="BV28" s="46">
        <f t="shared" si="20"/>
        <v>8</v>
      </c>
      <c r="BW28" s="46">
        <f t="shared" si="21"/>
        <v>0.82352941176470584</v>
      </c>
      <c r="BX28" s="46">
        <f t="shared" si="22"/>
        <v>0.63636363636363635</v>
      </c>
      <c r="BY28" s="44">
        <f t="shared" si="23"/>
        <v>0.71794871794871795</v>
      </c>
    </row>
    <row r="29" spans="1:84" x14ac:dyDescent="0.35">
      <c r="A29" s="64" t="s">
        <v>10</v>
      </c>
      <c r="B29" s="108"/>
      <c r="C29" s="48" t="s">
        <v>37</v>
      </c>
      <c r="D29" s="49">
        <v>1</v>
      </c>
      <c r="E29" s="50">
        <v>1</v>
      </c>
      <c r="F29" s="50">
        <f t="shared" si="1"/>
        <v>0</v>
      </c>
      <c r="G29" s="48">
        <v>0</v>
      </c>
      <c r="H29" s="49">
        <v>0</v>
      </c>
      <c r="I29" s="50">
        <v>0</v>
      </c>
      <c r="J29" s="50">
        <f t="shared" si="2"/>
        <v>0</v>
      </c>
      <c r="K29" s="48">
        <v>1</v>
      </c>
      <c r="L29" s="49">
        <v>0</v>
      </c>
      <c r="M29" s="50">
        <v>0</v>
      </c>
      <c r="N29" s="50">
        <f t="shared" si="3"/>
        <v>0</v>
      </c>
      <c r="O29" s="48">
        <v>0</v>
      </c>
      <c r="P29" s="49">
        <v>4</v>
      </c>
      <c r="Q29" s="50">
        <v>4</v>
      </c>
      <c r="R29" s="50">
        <f t="shared" si="4"/>
        <v>0</v>
      </c>
      <c r="S29" s="48">
        <v>0</v>
      </c>
      <c r="T29" s="49">
        <v>3</v>
      </c>
      <c r="U29" s="50">
        <v>3</v>
      </c>
      <c r="V29" s="50">
        <f t="shared" si="5"/>
        <v>0</v>
      </c>
      <c r="W29" s="48">
        <v>1</v>
      </c>
      <c r="X29" s="49">
        <v>1</v>
      </c>
      <c r="Y29" s="50">
        <v>1</v>
      </c>
      <c r="Z29" s="50">
        <f t="shared" si="6"/>
        <v>0</v>
      </c>
      <c r="AA29" s="48">
        <v>0</v>
      </c>
      <c r="AB29" s="49">
        <v>0</v>
      </c>
      <c r="AC29" s="50">
        <v>0</v>
      </c>
      <c r="AD29" s="50">
        <f t="shared" si="7"/>
        <v>0</v>
      </c>
      <c r="AE29" s="48">
        <v>0</v>
      </c>
      <c r="AF29" s="49">
        <v>1</v>
      </c>
      <c r="AG29" s="50">
        <v>1</v>
      </c>
      <c r="AH29" s="50">
        <f t="shared" si="8"/>
        <v>0</v>
      </c>
      <c r="AI29" s="48">
        <v>1</v>
      </c>
      <c r="AJ29" s="49">
        <v>0</v>
      </c>
      <c r="AK29" s="50">
        <v>0</v>
      </c>
      <c r="AL29" s="50">
        <f t="shared" si="9"/>
        <v>0</v>
      </c>
      <c r="AM29" s="48">
        <v>0</v>
      </c>
      <c r="AN29" s="49">
        <v>0</v>
      </c>
      <c r="AO29" s="50">
        <v>0</v>
      </c>
      <c r="AP29" s="50">
        <f t="shared" si="10"/>
        <v>0</v>
      </c>
      <c r="AQ29" s="48">
        <v>0</v>
      </c>
      <c r="AR29" s="49">
        <v>0</v>
      </c>
      <c r="AS29" s="50">
        <v>0</v>
      </c>
      <c r="AT29" s="50">
        <f t="shared" si="11"/>
        <v>0</v>
      </c>
      <c r="AU29" s="48">
        <v>0</v>
      </c>
      <c r="AV29" s="49">
        <v>0</v>
      </c>
      <c r="AW29" s="50">
        <v>0</v>
      </c>
      <c r="AX29" s="50">
        <f t="shared" si="12"/>
        <v>0</v>
      </c>
      <c r="AY29" s="48">
        <v>0</v>
      </c>
      <c r="AZ29" s="49">
        <v>0</v>
      </c>
      <c r="BA29" s="50">
        <v>0</v>
      </c>
      <c r="BB29" s="50">
        <f t="shared" si="13"/>
        <v>0</v>
      </c>
      <c r="BC29" s="48">
        <v>0</v>
      </c>
      <c r="BD29" s="49">
        <v>0</v>
      </c>
      <c r="BE29" s="50">
        <v>0</v>
      </c>
      <c r="BF29" s="50">
        <f t="shared" si="14"/>
        <v>0</v>
      </c>
      <c r="BG29" s="48">
        <v>0</v>
      </c>
      <c r="BH29" s="49">
        <v>0</v>
      </c>
      <c r="BI29" s="50">
        <v>0</v>
      </c>
      <c r="BJ29" s="50">
        <f t="shared" si="15"/>
        <v>0</v>
      </c>
      <c r="BK29" s="48">
        <v>0</v>
      </c>
      <c r="BL29" s="49">
        <v>0</v>
      </c>
      <c r="BM29" s="50">
        <v>0</v>
      </c>
      <c r="BN29" s="50">
        <f t="shared" si="16"/>
        <v>0</v>
      </c>
      <c r="BO29" s="48">
        <v>0</v>
      </c>
      <c r="BP29" s="49">
        <v>0</v>
      </c>
      <c r="BQ29" s="50">
        <v>0</v>
      </c>
      <c r="BR29" s="50">
        <f t="shared" si="17"/>
        <v>0</v>
      </c>
      <c r="BS29" s="48">
        <v>0</v>
      </c>
      <c r="BT29" s="49">
        <f t="shared" si="18"/>
        <v>10</v>
      </c>
      <c r="BU29" s="50">
        <f t="shared" si="19"/>
        <v>0</v>
      </c>
      <c r="BV29" s="50">
        <f t="shared" si="20"/>
        <v>3</v>
      </c>
      <c r="BW29" s="50">
        <f t="shared" si="21"/>
        <v>1</v>
      </c>
      <c r="BX29" s="50">
        <f t="shared" si="22"/>
        <v>0.76923076923076927</v>
      </c>
      <c r="BY29" s="48">
        <f t="shared" si="23"/>
        <v>0.86956521739130443</v>
      </c>
    </row>
    <row r="30" spans="1:84" ht="15" thickBot="1" x14ac:dyDescent="0.4">
      <c r="A30" s="50" t="s">
        <v>10</v>
      </c>
      <c r="B30" s="108"/>
      <c r="C30" s="72" t="s">
        <v>38</v>
      </c>
      <c r="D30" s="73">
        <v>1</v>
      </c>
      <c r="E30" s="74">
        <v>1</v>
      </c>
      <c r="F30" s="74">
        <f t="shared" si="1"/>
        <v>0</v>
      </c>
      <c r="G30" s="72">
        <v>0</v>
      </c>
      <c r="H30" s="73">
        <v>0</v>
      </c>
      <c r="I30" s="74">
        <v>0</v>
      </c>
      <c r="J30" s="74">
        <f t="shared" si="2"/>
        <v>0</v>
      </c>
      <c r="K30" s="72">
        <v>1</v>
      </c>
      <c r="L30" s="73">
        <v>0</v>
      </c>
      <c r="M30" s="74">
        <v>0</v>
      </c>
      <c r="N30" s="74">
        <f t="shared" si="3"/>
        <v>0</v>
      </c>
      <c r="O30" s="72">
        <v>0</v>
      </c>
      <c r="P30" s="73">
        <v>4</v>
      </c>
      <c r="Q30" s="74">
        <v>4</v>
      </c>
      <c r="R30" s="74">
        <f t="shared" si="4"/>
        <v>0</v>
      </c>
      <c r="S30" s="72">
        <v>0</v>
      </c>
      <c r="T30" s="73">
        <v>3</v>
      </c>
      <c r="U30" s="74">
        <v>3</v>
      </c>
      <c r="V30" s="74">
        <f t="shared" si="5"/>
        <v>0</v>
      </c>
      <c r="W30" s="72">
        <v>1</v>
      </c>
      <c r="X30" s="73">
        <v>1</v>
      </c>
      <c r="Y30" s="74">
        <v>1</v>
      </c>
      <c r="Z30" s="74">
        <f t="shared" si="6"/>
        <v>0</v>
      </c>
      <c r="AA30" s="72">
        <v>0</v>
      </c>
      <c r="AB30" s="73">
        <v>0</v>
      </c>
      <c r="AC30" s="74">
        <v>0</v>
      </c>
      <c r="AD30" s="74">
        <v>0</v>
      </c>
      <c r="AE30" s="72">
        <v>0</v>
      </c>
      <c r="AF30" s="73">
        <v>1</v>
      </c>
      <c r="AG30" s="74">
        <v>1</v>
      </c>
      <c r="AH30" s="74">
        <f t="shared" si="8"/>
        <v>0</v>
      </c>
      <c r="AI30" s="72">
        <v>1</v>
      </c>
      <c r="AJ30" s="73">
        <v>0</v>
      </c>
      <c r="AK30" s="74">
        <v>0</v>
      </c>
      <c r="AL30" s="74">
        <f t="shared" si="9"/>
        <v>0</v>
      </c>
      <c r="AM30" s="72">
        <v>0</v>
      </c>
      <c r="AN30" s="73">
        <v>0</v>
      </c>
      <c r="AO30" s="74">
        <v>0</v>
      </c>
      <c r="AP30" s="74">
        <f t="shared" si="10"/>
        <v>0</v>
      </c>
      <c r="AQ30" s="72">
        <v>0</v>
      </c>
      <c r="AR30" s="73">
        <v>0</v>
      </c>
      <c r="AS30" s="74">
        <v>0</v>
      </c>
      <c r="AT30" s="74">
        <f t="shared" si="11"/>
        <v>0</v>
      </c>
      <c r="AU30" s="72">
        <v>0</v>
      </c>
      <c r="AV30" s="73">
        <v>0</v>
      </c>
      <c r="AW30" s="74">
        <v>0</v>
      </c>
      <c r="AX30" s="74">
        <f t="shared" si="12"/>
        <v>0</v>
      </c>
      <c r="AY30" s="72">
        <v>0</v>
      </c>
      <c r="AZ30" s="73">
        <v>0</v>
      </c>
      <c r="BA30" s="74">
        <v>0</v>
      </c>
      <c r="BB30" s="74">
        <f t="shared" si="13"/>
        <v>0</v>
      </c>
      <c r="BC30" s="72">
        <v>0</v>
      </c>
      <c r="BD30" s="73">
        <v>0</v>
      </c>
      <c r="BE30" s="74">
        <v>0</v>
      </c>
      <c r="BF30" s="74">
        <f t="shared" si="14"/>
        <v>0</v>
      </c>
      <c r="BG30" s="72">
        <v>0</v>
      </c>
      <c r="BH30" s="73">
        <v>0</v>
      </c>
      <c r="BI30" s="74">
        <v>0</v>
      </c>
      <c r="BJ30" s="74">
        <f t="shared" si="15"/>
        <v>0</v>
      </c>
      <c r="BK30" s="72">
        <v>0</v>
      </c>
      <c r="BL30" s="73">
        <v>0</v>
      </c>
      <c r="BM30" s="74">
        <v>0</v>
      </c>
      <c r="BN30" s="74">
        <f t="shared" si="16"/>
        <v>0</v>
      </c>
      <c r="BO30" s="72">
        <v>0</v>
      </c>
      <c r="BP30" s="73">
        <v>0</v>
      </c>
      <c r="BQ30" s="74">
        <v>0</v>
      </c>
      <c r="BR30" s="74">
        <f t="shared" si="17"/>
        <v>0</v>
      </c>
      <c r="BS30" s="72">
        <v>0</v>
      </c>
      <c r="BT30" s="73">
        <f t="shared" si="18"/>
        <v>10</v>
      </c>
      <c r="BU30" s="74">
        <f t="shared" si="19"/>
        <v>0</v>
      </c>
      <c r="BV30" s="74">
        <f t="shared" si="20"/>
        <v>3</v>
      </c>
      <c r="BW30" s="74">
        <f t="shared" si="21"/>
        <v>1</v>
      </c>
      <c r="BX30" s="74">
        <f t="shared" si="22"/>
        <v>0.76923076923076927</v>
      </c>
      <c r="BY30" s="72">
        <f t="shared" si="23"/>
        <v>0.86956521739130443</v>
      </c>
    </row>
    <row r="31" spans="1:84" ht="15" thickTop="1" x14ac:dyDescent="0.35">
      <c r="C31" s="4" t="s">
        <v>88</v>
      </c>
      <c r="D31" s="51">
        <f>SUM(D3:D30)</f>
        <v>74</v>
      </c>
      <c r="E31" s="51">
        <f t="shared" ref="E31:BP31" si="38">SUM(E3:E30)</f>
        <v>73</v>
      </c>
      <c r="F31" s="51">
        <f t="shared" si="38"/>
        <v>1</v>
      </c>
      <c r="G31" s="51">
        <f t="shared" si="38"/>
        <v>0</v>
      </c>
      <c r="H31" s="51">
        <f t="shared" si="38"/>
        <v>8</v>
      </c>
      <c r="I31" s="51">
        <f t="shared" si="38"/>
        <v>8</v>
      </c>
      <c r="J31" s="51">
        <f t="shared" si="38"/>
        <v>0</v>
      </c>
      <c r="K31" s="51">
        <f t="shared" si="38"/>
        <v>17</v>
      </c>
      <c r="L31" s="51">
        <f t="shared" si="38"/>
        <v>20</v>
      </c>
      <c r="M31" s="51">
        <f t="shared" si="38"/>
        <v>20</v>
      </c>
      <c r="N31" s="51">
        <f t="shared" si="38"/>
        <v>0</v>
      </c>
      <c r="O31" s="51">
        <f t="shared" si="38"/>
        <v>1</v>
      </c>
      <c r="P31" s="51">
        <f t="shared" si="38"/>
        <v>100</v>
      </c>
      <c r="Q31" s="51">
        <f t="shared" si="38"/>
        <v>100</v>
      </c>
      <c r="R31" s="51">
        <f t="shared" si="38"/>
        <v>0</v>
      </c>
      <c r="S31" s="51">
        <f t="shared" si="38"/>
        <v>12</v>
      </c>
      <c r="T31" s="51">
        <f t="shared" si="38"/>
        <v>14</v>
      </c>
      <c r="U31" s="51">
        <f t="shared" si="38"/>
        <v>14</v>
      </c>
      <c r="V31" s="51">
        <f t="shared" si="38"/>
        <v>0</v>
      </c>
      <c r="W31" s="51">
        <f t="shared" si="38"/>
        <v>55</v>
      </c>
      <c r="X31" s="51">
        <f t="shared" si="38"/>
        <v>34</v>
      </c>
      <c r="Y31" s="51">
        <f t="shared" si="38"/>
        <v>33</v>
      </c>
      <c r="Z31" s="51">
        <f t="shared" si="38"/>
        <v>1</v>
      </c>
      <c r="AA31" s="51">
        <f t="shared" si="38"/>
        <v>2</v>
      </c>
      <c r="AB31" s="51">
        <f t="shared" si="38"/>
        <v>16</v>
      </c>
      <c r="AC31" s="51">
        <f t="shared" si="38"/>
        <v>15</v>
      </c>
      <c r="AD31" s="51">
        <f t="shared" si="38"/>
        <v>1</v>
      </c>
      <c r="AE31" s="51">
        <f t="shared" si="38"/>
        <v>0</v>
      </c>
      <c r="AF31" s="51">
        <f t="shared" si="38"/>
        <v>36</v>
      </c>
      <c r="AG31" s="51">
        <f t="shared" si="38"/>
        <v>35</v>
      </c>
      <c r="AH31" s="51">
        <f t="shared" si="38"/>
        <v>1</v>
      </c>
      <c r="AI31" s="51">
        <f t="shared" si="38"/>
        <v>22</v>
      </c>
      <c r="AJ31" s="51">
        <f t="shared" si="38"/>
        <v>22</v>
      </c>
      <c r="AK31" s="51">
        <f t="shared" si="38"/>
        <v>22</v>
      </c>
      <c r="AL31" s="51">
        <f t="shared" si="38"/>
        <v>0</v>
      </c>
      <c r="AM31" s="51">
        <f t="shared" si="38"/>
        <v>0</v>
      </c>
      <c r="AN31" s="51">
        <f t="shared" si="38"/>
        <v>2</v>
      </c>
      <c r="AO31" s="51">
        <f t="shared" si="38"/>
        <v>2</v>
      </c>
      <c r="AP31" s="51">
        <f t="shared" si="38"/>
        <v>0</v>
      </c>
      <c r="AQ31" s="51">
        <f t="shared" si="38"/>
        <v>4</v>
      </c>
      <c r="AR31" s="51">
        <f t="shared" si="38"/>
        <v>8</v>
      </c>
      <c r="AS31" s="51">
        <f t="shared" si="38"/>
        <v>2</v>
      </c>
      <c r="AT31" s="51">
        <f t="shared" si="38"/>
        <v>6</v>
      </c>
      <c r="AU31" s="51">
        <f t="shared" si="38"/>
        <v>4</v>
      </c>
      <c r="AV31" s="51">
        <f t="shared" si="38"/>
        <v>4</v>
      </c>
      <c r="AW31" s="51">
        <f t="shared" si="38"/>
        <v>1</v>
      </c>
      <c r="AX31" s="51">
        <f t="shared" si="38"/>
        <v>3</v>
      </c>
      <c r="AY31" s="51">
        <f t="shared" si="38"/>
        <v>10</v>
      </c>
      <c r="AZ31" s="51">
        <f t="shared" si="38"/>
        <v>46</v>
      </c>
      <c r="BA31" s="51">
        <f t="shared" si="38"/>
        <v>38</v>
      </c>
      <c r="BB31" s="51">
        <f t="shared" si="38"/>
        <v>8</v>
      </c>
      <c r="BC31" s="51">
        <f t="shared" si="38"/>
        <v>9</v>
      </c>
      <c r="BD31" s="51">
        <f t="shared" si="38"/>
        <v>6</v>
      </c>
      <c r="BE31" s="51">
        <f t="shared" si="38"/>
        <v>6</v>
      </c>
      <c r="BF31" s="51">
        <f t="shared" si="38"/>
        <v>0</v>
      </c>
      <c r="BG31" s="51">
        <f t="shared" si="38"/>
        <v>0</v>
      </c>
      <c r="BH31" s="51">
        <f t="shared" si="38"/>
        <v>4</v>
      </c>
      <c r="BI31" s="51">
        <f t="shared" si="38"/>
        <v>1</v>
      </c>
      <c r="BJ31" s="51">
        <f t="shared" si="38"/>
        <v>3</v>
      </c>
      <c r="BK31" s="51">
        <f t="shared" si="38"/>
        <v>15</v>
      </c>
      <c r="BL31" s="51">
        <f t="shared" si="38"/>
        <v>12</v>
      </c>
      <c r="BM31" s="51">
        <f t="shared" si="38"/>
        <v>3</v>
      </c>
      <c r="BN31" s="51">
        <f t="shared" si="38"/>
        <v>9</v>
      </c>
      <c r="BO31" s="51">
        <f t="shared" si="38"/>
        <v>89</v>
      </c>
      <c r="BP31" s="51">
        <f t="shared" si="38"/>
        <v>10</v>
      </c>
      <c r="BQ31" s="51">
        <f t="shared" ref="BQ31:BS31" si="39">SUM(BQ3:BQ30)</f>
        <v>3</v>
      </c>
      <c r="BR31" s="51">
        <f t="shared" si="39"/>
        <v>7</v>
      </c>
      <c r="BS31" s="51">
        <f t="shared" si="39"/>
        <v>1</v>
      </c>
    </row>
    <row r="33" spans="3:71" x14ac:dyDescent="0.35">
      <c r="C33" s="76" t="s">
        <v>7</v>
      </c>
      <c r="D33" s="112">
        <f>IFERROR(E31/(E31+F31),"")</f>
        <v>0.98648648648648651</v>
      </c>
      <c r="E33" s="113"/>
      <c r="F33" s="113"/>
      <c r="G33" s="114"/>
      <c r="H33" s="112">
        <f t="shared" ref="H33" si="40">IFERROR(I31/(I31+J31),"")</f>
        <v>1</v>
      </c>
      <c r="I33" s="113"/>
      <c r="J33" s="113"/>
      <c r="K33" s="114"/>
      <c r="L33" s="112">
        <f t="shared" ref="L33" si="41">IFERROR(M31/(M31+N31),"")</f>
        <v>1</v>
      </c>
      <c r="M33" s="113"/>
      <c r="N33" s="113"/>
      <c r="O33" s="114"/>
      <c r="P33" s="112">
        <f t="shared" ref="P33" si="42">IFERROR(Q31/(Q31+R31),"")</f>
        <v>1</v>
      </c>
      <c r="Q33" s="113"/>
      <c r="R33" s="113"/>
      <c r="S33" s="114"/>
      <c r="T33" s="112">
        <f t="shared" ref="T33" si="43">IFERROR(U31/(U31+V31),"")</f>
        <v>1</v>
      </c>
      <c r="U33" s="113"/>
      <c r="V33" s="113"/>
      <c r="W33" s="114"/>
      <c r="X33" s="112">
        <f t="shared" ref="X33" si="44">IFERROR(Y31/(Y31+Z31),"")</f>
        <v>0.97058823529411764</v>
      </c>
      <c r="Y33" s="113"/>
      <c r="Z33" s="113"/>
      <c r="AA33" s="114"/>
      <c r="AB33" s="112">
        <f t="shared" ref="AB33" si="45">IFERROR(AC31/(AC31+AD31),"")</f>
        <v>0.9375</v>
      </c>
      <c r="AC33" s="113"/>
      <c r="AD33" s="113"/>
      <c r="AE33" s="114"/>
      <c r="AF33" s="112">
        <f t="shared" ref="AF33" si="46">IFERROR(AG31/(AG31+AH31),"")</f>
        <v>0.97222222222222221</v>
      </c>
      <c r="AG33" s="113"/>
      <c r="AH33" s="113"/>
      <c r="AI33" s="114"/>
      <c r="AJ33" s="112">
        <f t="shared" ref="AJ33" si="47">IFERROR(AK31/(AK31+AL31),"")</f>
        <v>1</v>
      </c>
      <c r="AK33" s="113"/>
      <c r="AL33" s="113"/>
      <c r="AM33" s="114"/>
      <c r="AN33" s="112">
        <f t="shared" ref="AN33" si="48">IFERROR(AO31/(AO31+AP31),"")</f>
        <v>1</v>
      </c>
      <c r="AO33" s="113"/>
      <c r="AP33" s="113"/>
      <c r="AQ33" s="114"/>
      <c r="AR33" s="112">
        <f t="shared" ref="AR33" si="49">IFERROR(AS31/(AS31+AT31),"")</f>
        <v>0.25</v>
      </c>
      <c r="AS33" s="113"/>
      <c r="AT33" s="113"/>
      <c r="AU33" s="114"/>
      <c r="AV33" s="112">
        <f t="shared" ref="AV33" si="50">IFERROR(AW31/(AW31+AX31),"")</f>
        <v>0.25</v>
      </c>
      <c r="AW33" s="113"/>
      <c r="AX33" s="113"/>
      <c r="AY33" s="114"/>
      <c r="AZ33" s="112">
        <f t="shared" ref="AZ33" si="51">IFERROR(BA31/(BA31+BB31),"")</f>
        <v>0.82608695652173914</v>
      </c>
      <c r="BA33" s="113"/>
      <c r="BB33" s="113"/>
      <c r="BC33" s="114"/>
      <c r="BD33" s="112">
        <f t="shared" ref="BD33" si="52">IFERROR(BE31/(BE31+BF31),"")</f>
        <v>1</v>
      </c>
      <c r="BE33" s="113"/>
      <c r="BF33" s="113"/>
      <c r="BG33" s="114"/>
      <c r="BH33" s="112">
        <f t="shared" ref="BH33" si="53">IFERROR(BI31/(BI31+BJ31),"")</f>
        <v>0.25</v>
      </c>
      <c r="BI33" s="113"/>
      <c r="BJ33" s="113"/>
      <c r="BK33" s="114"/>
      <c r="BL33" s="112">
        <f t="shared" ref="BL33" si="54">IFERROR(BM31/(BM31+BN31),"")</f>
        <v>0.25</v>
      </c>
      <c r="BM33" s="113"/>
      <c r="BN33" s="113"/>
      <c r="BO33" s="114"/>
      <c r="BP33" s="112">
        <f t="shared" ref="BP33" si="55">IFERROR(BQ31/(BQ31+BR31),"")</f>
        <v>0.3</v>
      </c>
      <c r="BQ33" s="113"/>
      <c r="BR33" s="113"/>
      <c r="BS33" s="114"/>
    </row>
    <row r="34" spans="3:71" x14ac:dyDescent="0.35">
      <c r="C34" s="76" t="s">
        <v>117</v>
      </c>
      <c r="D34" s="112">
        <f>IFERROR(E31/(E31+G31),"")</f>
        <v>1</v>
      </c>
      <c r="E34" s="113"/>
      <c r="F34" s="113"/>
      <c r="G34" s="114"/>
      <c r="H34" s="112">
        <f t="shared" ref="H34" si="56">IFERROR(I31/(I31+K31),"")</f>
        <v>0.32</v>
      </c>
      <c r="I34" s="113"/>
      <c r="J34" s="113"/>
      <c r="K34" s="114"/>
      <c r="L34" s="112">
        <f t="shared" ref="L34" si="57">IFERROR(M31/(M31+O31),"")</f>
        <v>0.95238095238095233</v>
      </c>
      <c r="M34" s="113"/>
      <c r="N34" s="113"/>
      <c r="O34" s="114"/>
      <c r="P34" s="112">
        <f t="shared" ref="P34" si="58">IFERROR(Q31/(Q31+S31),"")</f>
        <v>0.8928571428571429</v>
      </c>
      <c r="Q34" s="113"/>
      <c r="R34" s="113"/>
      <c r="S34" s="114"/>
      <c r="T34" s="112">
        <f t="shared" ref="T34" si="59">IFERROR(U31/(U31+W31),"")</f>
        <v>0.20289855072463769</v>
      </c>
      <c r="U34" s="113"/>
      <c r="V34" s="113"/>
      <c r="W34" s="114"/>
      <c r="X34" s="112">
        <f t="shared" ref="X34" si="60">IFERROR(Y31/(Y31+AA31),"")</f>
        <v>0.94285714285714284</v>
      </c>
      <c r="Y34" s="113"/>
      <c r="Z34" s="113"/>
      <c r="AA34" s="114"/>
      <c r="AB34" s="112">
        <f t="shared" ref="AB34" si="61">IFERROR(AC31/(AC31+AE31),"")</f>
        <v>1</v>
      </c>
      <c r="AC34" s="113"/>
      <c r="AD34" s="113"/>
      <c r="AE34" s="114"/>
      <c r="AF34" s="112">
        <f t="shared" ref="AF34" si="62">IFERROR(AG31/(AG31+AI31),"")</f>
        <v>0.61403508771929827</v>
      </c>
      <c r="AG34" s="113"/>
      <c r="AH34" s="113"/>
      <c r="AI34" s="114"/>
      <c r="AJ34" s="112">
        <f t="shared" ref="AJ34" si="63">IFERROR(AK31/(AK31+AM31),"")</f>
        <v>1</v>
      </c>
      <c r="AK34" s="113"/>
      <c r="AL34" s="113"/>
      <c r="AM34" s="114"/>
      <c r="AN34" s="112">
        <f t="shared" ref="AN34" si="64">IFERROR(AO31/(AO31+AQ31),"")</f>
        <v>0.33333333333333331</v>
      </c>
      <c r="AO34" s="113"/>
      <c r="AP34" s="113"/>
      <c r="AQ34" s="114"/>
      <c r="AR34" s="112">
        <f t="shared" ref="AR34" si="65">IFERROR(AS31/(AS31+AU31),"")</f>
        <v>0.33333333333333331</v>
      </c>
      <c r="AS34" s="113"/>
      <c r="AT34" s="113"/>
      <c r="AU34" s="114"/>
      <c r="AV34" s="112">
        <f t="shared" ref="AV34" si="66">IFERROR(AW31/(AW31+AY31),"")</f>
        <v>9.0909090909090912E-2</v>
      </c>
      <c r="AW34" s="113"/>
      <c r="AX34" s="113"/>
      <c r="AY34" s="114"/>
      <c r="AZ34" s="112">
        <f t="shared" ref="AZ34" si="67">IFERROR(BA31/(BA31+BC31),"")</f>
        <v>0.80851063829787229</v>
      </c>
      <c r="BA34" s="113"/>
      <c r="BB34" s="113"/>
      <c r="BC34" s="114"/>
      <c r="BD34" s="112">
        <f t="shared" ref="BD34" si="68">IFERROR(BE31/(BE31+BG31),"")</f>
        <v>1</v>
      </c>
      <c r="BE34" s="113"/>
      <c r="BF34" s="113"/>
      <c r="BG34" s="114"/>
      <c r="BH34" s="112">
        <f t="shared" ref="BH34" si="69">IFERROR(BI31/(BI31+BK31),"")</f>
        <v>6.25E-2</v>
      </c>
      <c r="BI34" s="113"/>
      <c r="BJ34" s="113"/>
      <c r="BK34" s="114"/>
      <c r="BL34" s="112">
        <f t="shared" ref="BL34" si="70">IFERROR(BM31/(BM31+BO31),"")</f>
        <v>3.2608695652173912E-2</v>
      </c>
      <c r="BM34" s="113"/>
      <c r="BN34" s="113"/>
      <c r="BO34" s="114"/>
      <c r="BP34" s="112">
        <f t="shared" ref="BP34" si="71">IFERROR(BQ31/(BQ31+BS31),"")</f>
        <v>0.75</v>
      </c>
      <c r="BQ34" s="113"/>
      <c r="BR34" s="113"/>
      <c r="BS34" s="114"/>
    </row>
    <row r="35" spans="3:71" x14ac:dyDescent="0.35">
      <c r="C35" s="76" t="s">
        <v>8</v>
      </c>
      <c r="D35" s="112">
        <f>IFERROR(2*D33*D34/(D33+D34),IF(AND(D33=0,D34=0),0,""))</f>
        <v>0.99319727891156473</v>
      </c>
      <c r="E35" s="113"/>
      <c r="F35" s="113"/>
      <c r="G35" s="114"/>
      <c r="H35" s="112">
        <f t="shared" ref="H35" si="72">IFERROR(2*H33*H34/(H33+H34),IF(AND(H33=0,H34=0),0,""))</f>
        <v>0.48484848484848486</v>
      </c>
      <c r="I35" s="113"/>
      <c r="J35" s="113"/>
      <c r="K35" s="114"/>
      <c r="L35" s="112">
        <f t="shared" ref="L35" si="73">IFERROR(2*L33*L34/(L33+L34),IF(AND(L33=0,L34=0),0,""))</f>
        <v>0.97560975609756095</v>
      </c>
      <c r="M35" s="113"/>
      <c r="N35" s="113"/>
      <c r="O35" s="114"/>
      <c r="P35" s="112">
        <f t="shared" ref="P35" si="74">IFERROR(2*P33*P34/(P33+P34),IF(AND(P33=0,P34=0),0,""))</f>
        <v>0.94339622641509446</v>
      </c>
      <c r="Q35" s="113"/>
      <c r="R35" s="113"/>
      <c r="S35" s="114"/>
      <c r="T35" s="112">
        <f t="shared" ref="T35" si="75">IFERROR(2*T33*T34/(T33+T34),IF(AND(T33=0,T34=0),0,""))</f>
        <v>0.33734939759036148</v>
      </c>
      <c r="U35" s="113"/>
      <c r="V35" s="113"/>
      <c r="W35" s="114"/>
      <c r="X35" s="112">
        <f t="shared" ref="X35" si="76">IFERROR(2*X33*X34/(X33+X34),IF(AND(X33=0,X34=0),0,""))</f>
        <v>0.95652173913043481</v>
      </c>
      <c r="Y35" s="113"/>
      <c r="Z35" s="113"/>
      <c r="AA35" s="114"/>
      <c r="AB35" s="112">
        <f t="shared" ref="AB35" si="77">IFERROR(2*AB33*AB34/(AB33+AB34),IF(AND(AB33=0,AB34=0),0,""))</f>
        <v>0.967741935483871</v>
      </c>
      <c r="AC35" s="113"/>
      <c r="AD35" s="113"/>
      <c r="AE35" s="114"/>
      <c r="AF35" s="112">
        <f t="shared" ref="AF35" si="78">IFERROR(2*AF33*AF34/(AF33+AF34),IF(AND(AF33=0,AF34=0),0,""))</f>
        <v>0.75268817204301075</v>
      </c>
      <c r="AG35" s="113"/>
      <c r="AH35" s="113"/>
      <c r="AI35" s="114"/>
      <c r="AJ35" s="112">
        <f t="shared" ref="AJ35" si="79">IFERROR(2*AJ33*AJ34/(AJ33+AJ34),IF(AND(AJ33=0,AJ34=0),0,""))</f>
        <v>1</v>
      </c>
      <c r="AK35" s="113"/>
      <c r="AL35" s="113"/>
      <c r="AM35" s="114"/>
      <c r="AN35" s="112">
        <f t="shared" ref="AN35" si="80">IFERROR(2*AN33*AN34/(AN33+AN34),IF(AND(AN33=0,AN34=0),0,""))</f>
        <v>0.5</v>
      </c>
      <c r="AO35" s="113"/>
      <c r="AP35" s="113"/>
      <c r="AQ35" s="114"/>
      <c r="AR35" s="112">
        <f t="shared" ref="AR35" si="81">IFERROR(2*AR33*AR34/(AR33+AR34),IF(AND(AR33=0,AR34=0),0,""))</f>
        <v>0.28571428571428575</v>
      </c>
      <c r="AS35" s="113"/>
      <c r="AT35" s="113"/>
      <c r="AU35" s="114"/>
      <c r="AV35" s="112">
        <f t="shared" ref="AV35" si="82">IFERROR(2*AV33*AV34/(AV33+AV34),IF(AND(AV33=0,AV34=0),0,""))</f>
        <v>0.13333333333333333</v>
      </c>
      <c r="AW35" s="113"/>
      <c r="AX35" s="113"/>
      <c r="AY35" s="114"/>
      <c r="AZ35" s="112">
        <f t="shared" ref="AZ35" si="83">IFERROR(2*AZ33*AZ34/(AZ33+AZ34),IF(AND(AZ33=0,AZ34=0),0,""))</f>
        <v>0.81720430107526876</v>
      </c>
      <c r="BA35" s="113"/>
      <c r="BB35" s="113"/>
      <c r="BC35" s="114"/>
      <c r="BD35" s="112">
        <f t="shared" ref="BD35" si="84">IFERROR(2*BD33*BD34/(BD33+BD34),IF(AND(BD33=0,BD34=0),0,""))</f>
        <v>1</v>
      </c>
      <c r="BE35" s="113"/>
      <c r="BF35" s="113"/>
      <c r="BG35" s="114"/>
      <c r="BH35" s="112">
        <f t="shared" ref="BH35" si="85">IFERROR(2*BH33*BH34/(BH33+BH34),IF(AND(BH33=0,BH34=0),0,""))</f>
        <v>0.1</v>
      </c>
      <c r="BI35" s="113"/>
      <c r="BJ35" s="113"/>
      <c r="BK35" s="114"/>
      <c r="BL35" s="112">
        <f t="shared" ref="BL35" si="86">IFERROR(2*BL33*BL34/(BL33+BL34),IF(AND(BL33=0,BL34=0),0,""))</f>
        <v>5.7692307692307696E-2</v>
      </c>
      <c r="BM35" s="113"/>
      <c r="BN35" s="113"/>
      <c r="BO35" s="114"/>
      <c r="BP35" s="112">
        <f t="shared" ref="BP35" si="87">IFERROR(2*BP33*BP34/(BP33+BP34),IF(AND(BP33=0,BP34=0),0,""))</f>
        <v>0.42857142857142849</v>
      </c>
      <c r="BQ35" s="113"/>
      <c r="BR35" s="113"/>
      <c r="BS35" s="114"/>
    </row>
  </sheetData>
  <mergeCells count="82">
    <mergeCell ref="BL35:BO35"/>
    <mergeCell ref="BP35:BS35"/>
    <mergeCell ref="BH34:BK34"/>
    <mergeCell ref="BL34:BO34"/>
    <mergeCell ref="BP34:BS34"/>
    <mergeCell ref="D35:G35"/>
    <mergeCell ref="H35:K35"/>
    <mergeCell ref="L35:O35"/>
    <mergeCell ref="P35:S35"/>
    <mergeCell ref="T35:W35"/>
    <mergeCell ref="X35:AA35"/>
    <mergeCell ref="AB35:AE35"/>
    <mergeCell ref="AF35:AI35"/>
    <mergeCell ref="AJ35:AM35"/>
    <mergeCell ref="AN35:AQ35"/>
    <mergeCell ref="AR35:AU35"/>
    <mergeCell ref="AV35:AY35"/>
    <mergeCell ref="AZ35:BC35"/>
    <mergeCell ref="BL33:BO33"/>
    <mergeCell ref="BP33:BS33"/>
    <mergeCell ref="AR34:AU34"/>
    <mergeCell ref="AV34:AY34"/>
    <mergeCell ref="AZ34:BC34"/>
    <mergeCell ref="BD34:BG34"/>
    <mergeCell ref="AR33:AU33"/>
    <mergeCell ref="AV33:AY33"/>
    <mergeCell ref="AZ33:BC33"/>
    <mergeCell ref="BD33:BG33"/>
    <mergeCell ref="BH33:BK33"/>
    <mergeCell ref="BD35:BG35"/>
    <mergeCell ref="BH35:BK35"/>
    <mergeCell ref="D34:G34"/>
    <mergeCell ref="H34:K34"/>
    <mergeCell ref="L34:O34"/>
    <mergeCell ref="P34:S34"/>
    <mergeCell ref="T34:W34"/>
    <mergeCell ref="X34:AA34"/>
    <mergeCell ref="AB34:AE34"/>
    <mergeCell ref="AF34:AI34"/>
    <mergeCell ref="AJ34:AM34"/>
    <mergeCell ref="AN34:AQ34"/>
    <mergeCell ref="X33:AA33"/>
    <mergeCell ref="AB33:AE33"/>
    <mergeCell ref="AF33:AI33"/>
    <mergeCell ref="AJ33:AM33"/>
    <mergeCell ref="AN33:AQ33"/>
    <mergeCell ref="D33:G33"/>
    <mergeCell ref="H33:K33"/>
    <mergeCell ref="L33:O33"/>
    <mergeCell ref="P33:S33"/>
    <mergeCell ref="T33:W33"/>
    <mergeCell ref="A1:A2"/>
    <mergeCell ref="B1:B2"/>
    <mergeCell ref="C1:C2"/>
    <mergeCell ref="D1:G1"/>
    <mergeCell ref="H1:K1"/>
    <mergeCell ref="BX1:BX2"/>
    <mergeCell ref="AZ1:BC1"/>
    <mergeCell ref="BD1:BG1"/>
    <mergeCell ref="BH1:BK1"/>
    <mergeCell ref="BL1:BO1"/>
    <mergeCell ref="BP1:BS1"/>
    <mergeCell ref="B3:B30"/>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CC1:CC2"/>
    <mergeCell ref="CD1:CD2"/>
    <mergeCell ref="CE1:CE2"/>
    <mergeCell ref="CF1:CF2"/>
    <mergeCell ref="BY1:BY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66FB-AEA0-4EDC-8A65-D8358819A152}">
  <dimension ref="A1:CF35"/>
  <sheetViews>
    <sheetView zoomScale="71" zoomScaleNormal="35" workbookViewId="0">
      <pane ySplit="2" topLeftCell="A3" activePane="bottomLeft" state="frozen"/>
      <selection activeCell="AW40" sqref="AW40"/>
      <selection pane="bottomLeft" activeCell="C34" sqref="C34"/>
    </sheetView>
  </sheetViews>
  <sheetFormatPr defaultRowHeight="14.5" x14ac:dyDescent="0.35"/>
  <cols>
    <col min="1" max="1" width="11.1796875" customWidth="1"/>
    <col min="2" max="2" width="35.26953125" customWidth="1"/>
    <col min="3" max="3" width="13.7265625"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7.7265625" customWidth="1"/>
    <col min="72" max="72" width="9" customWidth="1"/>
    <col min="76" max="76" width="12.36328125" customWidth="1"/>
    <col min="81" max="81" width="12.90625" bestFit="1" customWidth="1"/>
    <col min="83" max="83" width="12.7265625" bestFit="1" customWidth="1"/>
  </cols>
  <sheetData>
    <row r="1" spans="1:84" ht="15.5" thickTop="1" thickBot="1" x14ac:dyDescent="0.4">
      <c r="A1" s="92" t="s">
        <v>0</v>
      </c>
      <c r="B1" s="94" t="s">
        <v>1</v>
      </c>
      <c r="C1" s="96" t="s">
        <v>2</v>
      </c>
      <c r="D1" s="98" t="s">
        <v>3</v>
      </c>
      <c r="E1" s="99"/>
      <c r="F1" s="99"/>
      <c r="G1" s="100"/>
      <c r="H1" s="101" t="s">
        <v>71</v>
      </c>
      <c r="I1" s="101"/>
      <c r="J1" s="101"/>
      <c r="K1" s="102"/>
      <c r="L1" s="92" t="s">
        <v>72</v>
      </c>
      <c r="M1" s="103"/>
      <c r="N1" s="103"/>
      <c r="O1" s="96"/>
      <c r="P1" s="92" t="s">
        <v>73</v>
      </c>
      <c r="Q1" s="103"/>
      <c r="R1" s="103"/>
      <c r="S1" s="96"/>
      <c r="T1" s="92" t="s">
        <v>74</v>
      </c>
      <c r="U1" s="103"/>
      <c r="V1" s="103"/>
      <c r="W1" s="96"/>
      <c r="X1" s="92" t="s">
        <v>75</v>
      </c>
      <c r="Y1" s="103"/>
      <c r="Z1" s="103"/>
      <c r="AA1" s="96"/>
      <c r="AB1" s="92" t="s">
        <v>76</v>
      </c>
      <c r="AC1" s="103"/>
      <c r="AD1" s="103"/>
      <c r="AE1" s="96"/>
      <c r="AF1" s="92" t="s">
        <v>77</v>
      </c>
      <c r="AG1" s="103"/>
      <c r="AH1" s="103"/>
      <c r="AI1" s="96"/>
      <c r="AJ1" s="92" t="s">
        <v>78</v>
      </c>
      <c r="AK1" s="103"/>
      <c r="AL1" s="103"/>
      <c r="AM1" s="96"/>
      <c r="AN1" s="92" t="s">
        <v>79</v>
      </c>
      <c r="AO1" s="103"/>
      <c r="AP1" s="103"/>
      <c r="AQ1" s="96"/>
      <c r="AR1" s="92" t="s">
        <v>80</v>
      </c>
      <c r="AS1" s="103"/>
      <c r="AT1" s="103"/>
      <c r="AU1" s="96"/>
      <c r="AV1" s="92" t="s">
        <v>81</v>
      </c>
      <c r="AW1" s="103"/>
      <c r="AX1" s="103"/>
      <c r="AY1" s="111"/>
      <c r="AZ1" s="104" t="s">
        <v>82</v>
      </c>
      <c r="BA1" s="101"/>
      <c r="BB1" s="101"/>
      <c r="BC1" s="102"/>
      <c r="BD1" s="92" t="s">
        <v>83</v>
      </c>
      <c r="BE1" s="103"/>
      <c r="BF1" s="103"/>
      <c r="BG1" s="96"/>
      <c r="BH1" s="92" t="s">
        <v>84</v>
      </c>
      <c r="BI1" s="103"/>
      <c r="BJ1" s="103"/>
      <c r="BK1" s="96"/>
      <c r="BL1" s="92" t="s">
        <v>85</v>
      </c>
      <c r="BM1" s="103"/>
      <c r="BN1" s="103"/>
      <c r="BO1" s="96"/>
      <c r="BP1" s="92" t="s">
        <v>86</v>
      </c>
      <c r="BQ1" s="103"/>
      <c r="BR1" s="103"/>
      <c r="BS1" s="96"/>
      <c r="BT1" s="109" t="s">
        <v>4</v>
      </c>
      <c r="BU1" s="103" t="s">
        <v>5</v>
      </c>
      <c r="BV1" s="103" t="s">
        <v>6</v>
      </c>
      <c r="BW1" s="103" t="s">
        <v>7</v>
      </c>
      <c r="BX1" s="103" t="s">
        <v>117</v>
      </c>
      <c r="BY1" s="96" t="s">
        <v>8</v>
      </c>
      <c r="CC1" s="91" t="s">
        <v>2</v>
      </c>
      <c r="CD1" s="91" t="str">
        <f>BW1</f>
        <v>Recall</v>
      </c>
      <c r="CE1" s="91" t="str">
        <f>BX1</f>
        <v>Precision</v>
      </c>
      <c r="CF1" s="91" t="str">
        <f>BY1</f>
        <v>F1</v>
      </c>
    </row>
    <row r="2" spans="1:84" ht="15.5" thickTop="1" thickBot="1" x14ac:dyDescent="0.4">
      <c r="A2" s="93"/>
      <c r="B2" s="95"/>
      <c r="C2" s="97"/>
      <c r="D2" s="5" t="s">
        <v>9</v>
      </c>
      <c r="E2" s="1" t="s">
        <v>4</v>
      </c>
      <c r="F2" s="1" t="s">
        <v>5</v>
      </c>
      <c r="G2" s="2" t="s">
        <v>6</v>
      </c>
      <c r="H2" s="1" t="s">
        <v>9</v>
      </c>
      <c r="I2" s="3" t="s">
        <v>4</v>
      </c>
      <c r="J2" s="3" t="s">
        <v>5</v>
      </c>
      <c r="K2" s="2" t="s">
        <v>6</v>
      </c>
      <c r="L2" s="1" t="s">
        <v>9</v>
      </c>
      <c r="M2" s="3" t="s">
        <v>4</v>
      </c>
      <c r="N2" s="3" t="s">
        <v>5</v>
      </c>
      <c r="O2" s="2" t="s">
        <v>6</v>
      </c>
      <c r="P2" s="1" t="s">
        <v>9</v>
      </c>
      <c r="Q2" s="3" t="s">
        <v>4</v>
      </c>
      <c r="R2" s="3" t="s">
        <v>5</v>
      </c>
      <c r="S2" s="2" t="s">
        <v>6</v>
      </c>
      <c r="T2" s="1" t="s">
        <v>9</v>
      </c>
      <c r="U2" s="3" t="s">
        <v>4</v>
      </c>
      <c r="V2" s="3" t="s">
        <v>5</v>
      </c>
      <c r="W2" s="2" t="s">
        <v>6</v>
      </c>
      <c r="X2" s="1" t="s">
        <v>9</v>
      </c>
      <c r="Y2" s="3" t="s">
        <v>4</v>
      </c>
      <c r="Z2" s="3" t="s">
        <v>5</v>
      </c>
      <c r="AA2" s="2" t="s">
        <v>6</v>
      </c>
      <c r="AB2" s="1" t="s">
        <v>9</v>
      </c>
      <c r="AC2" s="3" t="s">
        <v>4</v>
      </c>
      <c r="AD2" s="3" t="s">
        <v>5</v>
      </c>
      <c r="AE2" s="2" t="s">
        <v>6</v>
      </c>
      <c r="AF2" s="1" t="s">
        <v>9</v>
      </c>
      <c r="AG2" s="3" t="s">
        <v>4</v>
      </c>
      <c r="AH2" s="3" t="s">
        <v>5</v>
      </c>
      <c r="AI2" s="2" t="s">
        <v>6</v>
      </c>
      <c r="AJ2" s="1" t="s">
        <v>9</v>
      </c>
      <c r="AK2" s="3" t="s">
        <v>4</v>
      </c>
      <c r="AL2" s="3" t="s">
        <v>5</v>
      </c>
      <c r="AM2" s="2" t="s">
        <v>6</v>
      </c>
      <c r="AN2" s="1" t="s">
        <v>9</v>
      </c>
      <c r="AO2" s="3" t="s">
        <v>4</v>
      </c>
      <c r="AP2" s="3" t="s">
        <v>5</v>
      </c>
      <c r="AQ2" s="2" t="s">
        <v>6</v>
      </c>
      <c r="AR2" s="1" t="s">
        <v>9</v>
      </c>
      <c r="AS2" s="3" t="s">
        <v>4</v>
      </c>
      <c r="AT2" s="3" t="s">
        <v>5</v>
      </c>
      <c r="AU2" s="2" t="s">
        <v>6</v>
      </c>
      <c r="AV2" s="1" t="s">
        <v>9</v>
      </c>
      <c r="AW2" s="3" t="s">
        <v>4</v>
      </c>
      <c r="AX2" s="3" t="s">
        <v>5</v>
      </c>
      <c r="AY2" s="68" t="s">
        <v>6</v>
      </c>
      <c r="AZ2" s="66" t="s">
        <v>9</v>
      </c>
      <c r="BA2" s="67" t="s">
        <v>4</v>
      </c>
      <c r="BB2" s="67" t="s">
        <v>5</v>
      </c>
      <c r="BC2" s="68" t="s">
        <v>6</v>
      </c>
      <c r="BD2" s="5" t="s">
        <v>9</v>
      </c>
      <c r="BE2" s="3" t="s">
        <v>4</v>
      </c>
      <c r="BF2" s="3" t="s">
        <v>5</v>
      </c>
      <c r="BG2" s="2" t="s">
        <v>6</v>
      </c>
      <c r="BH2" s="1" t="s">
        <v>9</v>
      </c>
      <c r="BI2" s="3" t="s">
        <v>4</v>
      </c>
      <c r="BJ2" s="3" t="s">
        <v>5</v>
      </c>
      <c r="BK2" s="2" t="s">
        <v>6</v>
      </c>
      <c r="BL2" s="1" t="s">
        <v>9</v>
      </c>
      <c r="BM2" s="3" t="s">
        <v>4</v>
      </c>
      <c r="BN2" s="3" t="s">
        <v>5</v>
      </c>
      <c r="BO2" s="2" t="s">
        <v>6</v>
      </c>
      <c r="BP2" s="1" t="s">
        <v>9</v>
      </c>
      <c r="BQ2" s="3" t="s">
        <v>4</v>
      </c>
      <c r="BR2" s="3" t="s">
        <v>5</v>
      </c>
      <c r="BS2" s="2" t="s">
        <v>6</v>
      </c>
      <c r="BT2" s="110"/>
      <c r="BU2" s="105"/>
      <c r="BV2" s="105"/>
      <c r="BW2" s="105"/>
      <c r="BX2" s="105"/>
      <c r="BY2" s="106"/>
      <c r="CC2" s="91"/>
      <c r="CD2" s="91"/>
      <c r="CE2" s="91"/>
      <c r="CF2" s="91"/>
    </row>
    <row r="3" spans="1:84" ht="15" customHeight="1" thickTop="1" x14ac:dyDescent="0.35">
      <c r="A3" s="52" t="s">
        <v>10</v>
      </c>
      <c r="B3" s="107" t="s">
        <v>46</v>
      </c>
      <c r="C3" s="6" t="s">
        <v>11</v>
      </c>
      <c r="D3" s="7">
        <v>2</v>
      </c>
      <c r="E3" s="8">
        <v>2</v>
      </c>
      <c r="F3" s="8">
        <f>D3-E3</f>
        <v>0</v>
      </c>
      <c r="G3" s="6">
        <v>0</v>
      </c>
      <c r="H3" s="9">
        <v>0</v>
      </c>
      <c r="I3" s="8">
        <v>0</v>
      </c>
      <c r="J3" s="8">
        <f>H3-I3</f>
        <v>0</v>
      </c>
      <c r="K3" s="6">
        <v>0</v>
      </c>
      <c r="L3" s="9">
        <v>0</v>
      </c>
      <c r="M3" s="8">
        <v>0</v>
      </c>
      <c r="N3" s="8">
        <f>L3-M3</f>
        <v>0</v>
      </c>
      <c r="O3" s="6">
        <v>0</v>
      </c>
      <c r="P3" s="9">
        <v>2</v>
      </c>
      <c r="Q3" s="8">
        <v>2</v>
      </c>
      <c r="R3" s="8">
        <f>P3-Q3</f>
        <v>0</v>
      </c>
      <c r="S3" s="6">
        <v>0</v>
      </c>
      <c r="T3" s="9">
        <v>2</v>
      </c>
      <c r="U3" s="8">
        <v>2</v>
      </c>
      <c r="V3" s="8">
        <f>T3-U3</f>
        <v>0</v>
      </c>
      <c r="W3" s="6">
        <v>0</v>
      </c>
      <c r="X3" s="9">
        <v>3</v>
      </c>
      <c r="Y3" s="8">
        <v>3</v>
      </c>
      <c r="Z3" s="8">
        <f>X3-Y3</f>
        <v>0</v>
      </c>
      <c r="AA3" s="6">
        <v>0</v>
      </c>
      <c r="AB3" s="9">
        <v>2</v>
      </c>
      <c r="AC3" s="8">
        <v>2</v>
      </c>
      <c r="AD3" s="8">
        <f>AB3-AC3</f>
        <v>0</v>
      </c>
      <c r="AE3" s="6">
        <v>2</v>
      </c>
      <c r="AF3" s="9">
        <v>3</v>
      </c>
      <c r="AG3" s="8">
        <v>3</v>
      </c>
      <c r="AH3" s="8">
        <f>AF3-AG3</f>
        <v>0</v>
      </c>
      <c r="AI3" s="6">
        <v>0</v>
      </c>
      <c r="AJ3" s="9">
        <v>1</v>
      </c>
      <c r="AK3" s="8">
        <v>1</v>
      </c>
      <c r="AL3" s="8">
        <f>AJ3-AK3</f>
        <v>0</v>
      </c>
      <c r="AM3" s="6">
        <v>0</v>
      </c>
      <c r="AN3" s="9">
        <v>0</v>
      </c>
      <c r="AO3" s="8">
        <v>0</v>
      </c>
      <c r="AP3" s="8">
        <f>AN3-AO3</f>
        <v>0</v>
      </c>
      <c r="AQ3" s="6">
        <v>0</v>
      </c>
      <c r="AR3" s="9">
        <v>0</v>
      </c>
      <c r="AS3" s="8">
        <v>0</v>
      </c>
      <c r="AT3" s="8">
        <f>AR3-AS3</f>
        <v>0</v>
      </c>
      <c r="AU3" s="6">
        <v>0</v>
      </c>
      <c r="AV3" s="9">
        <v>0</v>
      </c>
      <c r="AW3" s="8">
        <v>0</v>
      </c>
      <c r="AX3" s="8">
        <f>AV3-AW3</f>
        <v>0</v>
      </c>
      <c r="AY3" s="6">
        <v>0</v>
      </c>
      <c r="AZ3" s="7">
        <v>1</v>
      </c>
      <c r="BA3" s="10">
        <v>1</v>
      </c>
      <c r="BB3" s="10">
        <f>AZ3-BA3</f>
        <v>0</v>
      </c>
      <c r="BC3" s="70">
        <v>0</v>
      </c>
      <c r="BD3" s="7">
        <v>1</v>
      </c>
      <c r="BE3" s="8">
        <v>1</v>
      </c>
      <c r="BF3" s="8">
        <f>BD3-BE3</f>
        <v>0</v>
      </c>
      <c r="BG3" s="6">
        <v>0</v>
      </c>
      <c r="BH3" s="9">
        <v>0</v>
      </c>
      <c r="BI3" s="8">
        <v>0</v>
      </c>
      <c r="BJ3" s="8">
        <f>BH3-BI3</f>
        <v>0</v>
      </c>
      <c r="BK3" s="6">
        <v>0</v>
      </c>
      <c r="BL3" s="9">
        <v>0</v>
      </c>
      <c r="BM3" s="8">
        <v>0</v>
      </c>
      <c r="BN3" s="8">
        <f>BL3-BM3</f>
        <v>0</v>
      </c>
      <c r="BO3" s="6">
        <v>0</v>
      </c>
      <c r="BP3" s="9">
        <v>0</v>
      </c>
      <c r="BQ3" s="8">
        <v>0</v>
      </c>
      <c r="BR3" s="8">
        <f>BP3-BQ3</f>
        <v>0</v>
      </c>
      <c r="BS3" s="6">
        <v>0</v>
      </c>
      <c r="BT3" s="9">
        <f>SUM(E3,I3,M3,Q3,U3,Y3,AC3,AG3,AK3,AO3,AS3,AW3,BE3,BI3,BM3,BQ3,BA3)</f>
        <v>17</v>
      </c>
      <c r="BU3" s="8">
        <f>SUM(BR3,BN3,BJ3,BF3,AX3,AT3,AP3,AL3,AH3,AD3,Z3,V3,R3,N3,J3,F3,BB3)</f>
        <v>0</v>
      </c>
      <c r="BV3" s="10">
        <f>SUM(BS3,BO3,BK3,BG3,AY3,AU3,AQ3,AM3,AI3,AE3,AA3,W3,S3,O3,K3,G3, BC3)</f>
        <v>2</v>
      </c>
      <c r="BW3" s="8">
        <f>BT3/(BT3+BU3)</f>
        <v>1</v>
      </c>
      <c r="BX3" s="8">
        <f>BT3/(BT3+BV3)</f>
        <v>0.89473684210526316</v>
      </c>
      <c r="BY3" s="6">
        <f>2*(BX3*BW3)/(BX3+BW3)</f>
        <v>0.94444444444444442</v>
      </c>
      <c r="CC3" s="75" t="s">
        <v>54</v>
      </c>
      <c r="CD3">
        <f>AVERAGE(BW3:BW4)</f>
        <v>1</v>
      </c>
      <c r="CE3">
        <f>AVERAGE(BX3:BX4)</f>
        <v>0.80153508771929827</v>
      </c>
      <c r="CF3">
        <f t="shared" ref="CF3" si="0">AVERAGE(BY3:BY4)</f>
        <v>0.88685636856368566</v>
      </c>
    </row>
    <row r="4" spans="1:84" x14ac:dyDescent="0.35">
      <c r="A4" s="52" t="s">
        <v>10</v>
      </c>
      <c r="B4" s="108"/>
      <c r="C4" s="70" t="s">
        <v>12</v>
      </c>
      <c r="D4" s="7">
        <v>2</v>
      </c>
      <c r="E4" s="10">
        <v>2</v>
      </c>
      <c r="F4" s="10">
        <f t="shared" ref="F4:F30" si="1">D4-E4</f>
        <v>0</v>
      </c>
      <c r="G4" s="70">
        <v>0</v>
      </c>
      <c r="H4" s="7">
        <v>0</v>
      </c>
      <c r="I4" s="10">
        <v>0</v>
      </c>
      <c r="J4" s="10">
        <f t="shared" ref="J4:J30" si="2">H4-I4</f>
        <v>0</v>
      </c>
      <c r="K4" s="70">
        <v>0</v>
      </c>
      <c r="L4" s="7">
        <v>0</v>
      </c>
      <c r="M4" s="10">
        <v>0</v>
      </c>
      <c r="N4" s="10">
        <f t="shared" ref="N4:N30" si="3">L4-M4</f>
        <v>0</v>
      </c>
      <c r="O4" s="70">
        <v>0</v>
      </c>
      <c r="P4" s="7">
        <v>2</v>
      </c>
      <c r="Q4" s="10">
        <v>2</v>
      </c>
      <c r="R4" s="10">
        <f t="shared" ref="R4:R30" si="4">P4-Q4</f>
        <v>0</v>
      </c>
      <c r="S4" s="70">
        <v>0</v>
      </c>
      <c r="T4" s="7">
        <v>2</v>
      </c>
      <c r="U4" s="10">
        <v>2</v>
      </c>
      <c r="V4" s="10">
        <f t="shared" ref="V4:V30" si="5">T4-U4</f>
        <v>0</v>
      </c>
      <c r="W4" s="70">
        <v>0</v>
      </c>
      <c r="X4" s="7">
        <v>3</v>
      </c>
      <c r="Y4" s="10">
        <v>3</v>
      </c>
      <c r="Z4" s="10">
        <f t="shared" ref="Z4:Z30" si="6">X4-Y4</f>
        <v>0</v>
      </c>
      <c r="AA4" s="70">
        <v>0</v>
      </c>
      <c r="AB4" s="7">
        <v>2</v>
      </c>
      <c r="AC4" s="10">
        <v>2</v>
      </c>
      <c r="AD4" s="10">
        <f t="shared" ref="AD4:AD29" si="7">AB4-AC4</f>
        <v>0</v>
      </c>
      <c r="AE4" s="70">
        <v>0</v>
      </c>
      <c r="AF4" s="7">
        <v>3</v>
      </c>
      <c r="AG4" s="10">
        <v>3</v>
      </c>
      <c r="AH4" s="10">
        <f t="shared" ref="AH4:AH30" si="8">AF4-AG4</f>
        <v>0</v>
      </c>
      <c r="AI4" s="70">
        <v>0</v>
      </c>
      <c r="AJ4" s="7">
        <v>1</v>
      </c>
      <c r="AK4" s="10">
        <v>1</v>
      </c>
      <c r="AL4" s="10">
        <f t="shared" ref="AL4:AL30" si="9">AJ4-AK4</f>
        <v>0</v>
      </c>
      <c r="AM4" s="70">
        <v>0</v>
      </c>
      <c r="AN4" s="7">
        <v>0</v>
      </c>
      <c r="AO4" s="10">
        <v>0</v>
      </c>
      <c r="AP4" s="10">
        <f t="shared" ref="AP4:AP30" si="10">AN4-AO4</f>
        <v>0</v>
      </c>
      <c r="AQ4" s="70">
        <v>0</v>
      </c>
      <c r="AR4" s="7">
        <v>0</v>
      </c>
      <c r="AS4" s="10">
        <v>0</v>
      </c>
      <c r="AT4" s="10">
        <f t="shared" ref="AT4:AT30" si="11">AR4-AS4</f>
        <v>0</v>
      </c>
      <c r="AU4" s="70">
        <v>0</v>
      </c>
      <c r="AV4" s="7">
        <v>0</v>
      </c>
      <c r="AW4" s="10">
        <v>0</v>
      </c>
      <c r="AX4" s="10">
        <f t="shared" ref="AX4:AX30" si="12">AV4-AW4</f>
        <v>0</v>
      </c>
      <c r="AY4" s="70">
        <v>2</v>
      </c>
      <c r="AZ4" s="7">
        <v>1</v>
      </c>
      <c r="BA4" s="10">
        <v>1</v>
      </c>
      <c r="BB4" s="10">
        <f t="shared" ref="BB4:BB30" si="13">AZ4-BA4</f>
        <v>0</v>
      </c>
      <c r="BC4" s="70">
        <v>2</v>
      </c>
      <c r="BD4" s="7">
        <v>1</v>
      </c>
      <c r="BE4" s="10">
        <v>1</v>
      </c>
      <c r="BF4" s="10">
        <f t="shared" ref="BF4:BF30" si="14">BD4-BE4</f>
        <v>0</v>
      </c>
      <c r="BG4" s="70">
        <v>0</v>
      </c>
      <c r="BH4" s="7">
        <v>0</v>
      </c>
      <c r="BI4" s="10">
        <v>0</v>
      </c>
      <c r="BJ4" s="10">
        <f t="shared" ref="BJ4:BJ30" si="15">BH4-BI4</f>
        <v>0</v>
      </c>
      <c r="BK4" s="70">
        <v>0</v>
      </c>
      <c r="BL4" s="7">
        <v>0</v>
      </c>
      <c r="BM4" s="10">
        <v>0</v>
      </c>
      <c r="BN4" s="10">
        <f t="shared" ref="BN4:BN30" si="16">BL4-BM4</f>
        <v>0</v>
      </c>
      <c r="BO4" s="70">
        <v>3</v>
      </c>
      <c r="BP4" s="7">
        <v>0</v>
      </c>
      <c r="BQ4" s="10">
        <v>0</v>
      </c>
      <c r="BR4" s="10">
        <f t="shared" ref="BR4:BR30" si="17">BP4-BQ4</f>
        <v>0</v>
      </c>
      <c r="BS4" s="70">
        <v>0</v>
      </c>
      <c r="BT4" s="7">
        <f t="shared" ref="BT4:BT30" si="18">SUM(E4,I4,M4,Q4,U4,Y4,AC4,AG4,AK4,AO4,AS4,AW4,BE4,BI4,BM4,BQ4,BA4)</f>
        <v>17</v>
      </c>
      <c r="BU4" s="10">
        <f t="shared" ref="BU4:BU30" si="19">SUM(BR4,BN4,BJ4,BF4,AX4,AT4,AP4,AL4,AH4,AD4,Z4,V4,R4,N4,J4,F4,BB4)</f>
        <v>0</v>
      </c>
      <c r="BV4" s="10">
        <f t="shared" ref="BV4:BV30" si="20">SUM(BS4,BO4,BK4,BG4,AY4,AU4,AQ4,AM4,AI4,AE4,AA4,W4,S4,O4,K4,G4, BC4)</f>
        <v>7</v>
      </c>
      <c r="BW4" s="10">
        <f t="shared" ref="BW4:BW30" si="21">BT4/(BT4+BU4)</f>
        <v>1</v>
      </c>
      <c r="BX4" s="10">
        <f t="shared" ref="BX4:BX30" si="22">BT4/(BT4+BV4)</f>
        <v>0.70833333333333337</v>
      </c>
      <c r="BY4" s="70">
        <f t="shared" ref="BY4:BY30" si="23">2*(BX4*BW4)/(BX4+BW4)</f>
        <v>0.82926829268292679</v>
      </c>
      <c r="CC4" s="75" t="s">
        <v>55</v>
      </c>
      <c r="CD4">
        <f>AVERAGE(BW5:BW6)</f>
        <v>1</v>
      </c>
      <c r="CE4">
        <f t="shared" ref="CE4" si="24">AVERAGE(BX5:BX6)</f>
        <v>0.79483695652173914</v>
      </c>
      <c r="CF4">
        <f>AVERAGE(BY5:BY6)</f>
        <v>0.87860780984719866</v>
      </c>
    </row>
    <row r="5" spans="1:84" x14ac:dyDescent="0.35">
      <c r="A5" s="53" t="s">
        <v>10</v>
      </c>
      <c r="B5" s="108"/>
      <c r="C5" s="11" t="s">
        <v>13</v>
      </c>
      <c r="D5" s="12">
        <v>4</v>
      </c>
      <c r="E5" s="13">
        <v>4</v>
      </c>
      <c r="F5" s="13">
        <f t="shared" si="1"/>
        <v>0</v>
      </c>
      <c r="G5" s="11">
        <v>0</v>
      </c>
      <c r="H5" s="12">
        <v>0</v>
      </c>
      <c r="I5" s="13">
        <v>0</v>
      </c>
      <c r="J5" s="13">
        <f t="shared" si="2"/>
        <v>0</v>
      </c>
      <c r="K5" s="11">
        <v>0</v>
      </c>
      <c r="L5" s="12">
        <v>0</v>
      </c>
      <c r="M5" s="13">
        <v>0</v>
      </c>
      <c r="N5" s="13">
        <f t="shared" si="3"/>
        <v>0</v>
      </c>
      <c r="O5" s="11">
        <v>0</v>
      </c>
      <c r="P5" s="12">
        <v>4</v>
      </c>
      <c r="Q5" s="13">
        <v>4</v>
      </c>
      <c r="R5" s="13">
        <f t="shared" si="4"/>
        <v>0</v>
      </c>
      <c r="S5" s="11">
        <v>0</v>
      </c>
      <c r="T5" s="12">
        <v>0</v>
      </c>
      <c r="U5" s="13">
        <v>0</v>
      </c>
      <c r="V5" s="13">
        <f t="shared" si="5"/>
        <v>0</v>
      </c>
      <c r="W5" s="11">
        <v>0</v>
      </c>
      <c r="X5" s="12">
        <v>1</v>
      </c>
      <c r="Y5" s="13">
        <v>1</v>
      </c>
      <c r="Z5" s="13">
        <f t="shared" si="6"/>
        <v>0</v>
      </c>
      <c r="AA5" s="11">
        <v>0</v>
      </c>
      <c r="AB5" s="12">
        <v>0</v>
      </c>
      <c r="AC5" s="13">
        <v>0</v>
      </c>
      <c r="AD5" s="13">
        <f t="shared" si="7"/>
        <v>0</v>
      </c>
      <c r="AE5" s="11">
        <v>0</v>
      </c>
      <c r="AF5" s="12">
        <v>0</v>
      </c>
      <c r="AG5" s="13">
        <v>0</v>
      </c>
      <c r="AH5" s="13">
        <f t="shared" si="8"/>
        <v>0</v>
      </c>
      <c r="AI5" s="11">
        <v>1</v>
      </c>
      <c r="AJ5" s="12">
        <v>3</v>
      </c>
      <c r="AK5" s="13">
        <v>3</v>
      </c>
      <c r="AL5" s="13">
        <f t="shared" si="9"/>
        <v>0</v>
      </c>
      <c r="AM5" s="11">
        <v>0</v>
      </c>
      <c r="AN5" s="12">
        <v>0</v>
      </c>
      <c r="AO5" s="13">
        <v>0</v>
      </c>
      <c r="AP5" s="13">
        <f t="shared" si="10"/>
        <v>0</v>
      </c>
      <c r="AQ5" s="11">
        <v>0</v>
      </c>
      <c r="AR5" s="12">
        <v>0</v>
      </c>
      <c r="AS5" s="13">
        <v>0</v>
      </c>
      <c r="AT5" s="13">
        <f t="shared" si="11"/>
        <v>0</v>
      </c>
      <c r="AU5" s="11">
        <v>0</v>
      </c>
      <c r="AV5" s="12">
        <v>0</v>
      </c>
      <c r="AW5" s="13">
        <v>0</v>
      </c>
      <c r="AX5" s="13">
        <f t="shared" si="12"/>
        <v>0</v>
      </c>
      <c r="AY5" s="11">
        <v>0</v>
      </c>
      <c r="AZ5" s="12">
        <v>3</v>
      </c>
      <c r="BA5" s="13">
        <v>3</v>
      </c>
      <c r="BB5" s="13">
        <f t="shared" si="13"/>
        <v>0</v>
      </c>
      <c r="BC5" s="11">
        <v>0</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0</v>
      </c>
      <c r="BT5" s="12">
        <f t="shared" si="18"/>
        <v>15</v>
      </c>
      <c r="BU5" s="13">
        <f t="shared" si="19"/>
        <v>0</v>
      </c>
      <c r="BV5" s="13">
        <f t="shared" si="20"/>
        <v>1</v>
      </c>
      <c r="BW5" s="13">
        <f t="shared" si="21"/>
        <v>1</v>
      </c>
      <c r="BX5" s="13">
        <f t="shared" si="22"/>
        <v>0.9375</v>
      </c>
      <c r="BY5" s="11">
        <f t="shared" si="23"/>
        <v>0.967741935483871</v>
      </c>
      <c r="CC5" s="75" t="s">
        <v>56</v>
      </c>
      <c r="CD5">
        <f>AVERAGE(BW7:BW8)</f>
        <v>1</v>
      </c>
      <c r="CE5">
        <f t="shared" ref="CE5:CF5" si="25">AVERAGE(BX7:BX8)</f>
        <v>0.73529411764705888</v>
      </c>
      <c r="CF5">
        <f t="shared" si="25"/>
        <v>0.84745762711864414</v>
      </c>
    </row>
    <row r="6" spans="1:84" x14ac:dyDescent="0.35">
      <c r="A6" s="53" t="s">
        <v>10</v>
      </c>
      <c r="B6" s="108"/>
      <c r="C6" s="11" t="s">
        <v>14</v>
      </c>
      <c r="D6" s="12">
        <v>4</v>
      </c>
      <c r="E6" s="13">
        <v>4</v>
      </c>
      <c r="F6" s="13">
        <f t="shared" si="1"/>
        <v>0</v>
      </c>
      <c r="G6" s="11">
        <v>0</v>
      </c>
      <c r="H6" s="12">
        <v>0</v>
      </c>
      <c r="I6" s="13">
        <v>0</v>
      </c>
      <c r="J6" s="13">
        <f t="shared" si="2"/>
        <v>0</v>
      </c>
      <c r="K6" s="11">
        <v>0</v>
      </c>
      <c r="L6" s="12">
        <v>0</v>
      </c>
      <c r="M6" s="13">
        <v>0</v>
      </c>
      <c r="N6" s="13">
        <f t="shared" si="3"/>
        <v>0</v>
      </c>
      <c r="O6" s="11">
        <v>0</v>
      </c>
      <c r="P6" s="12">
        <v>4</v>
      </c>
      <c r="Q6" s="13">
        <v>4</v>
      </c>
      <c r="R6" s="13">
        <f t="shared" si="4"/>
        <v>0</v>
      </c>
      <c r="S6" s="11">
        <v>0</v>
      </c>
      <c r="T6" s="12">
        <v>0</v>
      </c>
      <c r="U6" s="13">
        <v>0</v>
      </c>
      <c r="V6" s="13">
        <f t="shared" si="5"/>
        <v>0</v>
      </c>
      <c r="W6" s="11">
        <v>4</v>
      </c>
      <c r="X6" s="12">
        <v>1</v>
      </c>
      <c r="Y6" s="13">
        <v>1</v>
      </c>
      <c r="Z6" s="13">
        <f t="shared" si="6"/>
        <v>0</v>
      </c>
      <c r="AA6" s="11">
        <v>0</v>
      </c>
      <c r="AB6" s="12">
        <v>0</v>
      </c>
      <c r="AC6" s="13">
        <v>0</v>
      </c>
      <c r="AD6" s="13">
        <f t="shared" si="7"/>
        <v>0</v>
      </c>
      <c r="AE6" s="11">
        <v>0</v>
      </c>
      <c r="AF6" s="12">
        <v>0</v>
      </c>
      <c r="AG6" s="13">
        <v>0</v>
      </c>
      <c r="AH6" s="13">
        <f t="shared" si="8"/>
        <v>0</v>
      </c>
      <c r="AI6" s="11">
        <v>1</v>
      </c>
      <c r="AJ6" s="12">
        <v>3</v>
      </c>
      <c r="AK6" s="13">
        <v>3</v>
      </c>
      <c r="AL6" s="13">
        <f t="shared" si="9"/>
        <v>0</v>
      </c>
      <c r="AM6" s="11">
        <v>0</v>
      </c>
      <c r="AN6" s="12">
        <v>0</v>
      </c>
      <c r="AO6" s="13">
        <v>0</v>
      </c>
      <c r="AP6" s="13">
        <f t="shared" si="10"/>
        <v>0</v>
      </c>
      <c r="AQ6" s="11">
        <v>0</v>
      </c>
      <c r="AR6" s="12">
        <v>0</v>
      </c>
      <c r="AS6" s="13">
        <v>0</v>
      </c>
      <c r="AT6" s="13">
        <f t="shared" si="11"/>
        <v>0</v>
      </c>
      <c r="AU6" s="11">
        <v>0</v>
      </c>
      <c r="AV6" s="12">
        <v>0</v>
      </c>
      <c r="AW6" s="13">
        <v>0</v>
      </c>
      <c r="AX6" s="13">
        <f t="shared" si="12"/>
        <v>0</v>
      </c>
      <c r="AY6" s="11">
        <v>0</v>
      </c>
      <c r="AZ6" s="12">
        <v>3</v>
      </c>
      <c r="BA6" s="13">
        <v>3</v>
      </c>
      <c r="BB6" s="13">
        <f t="shared" si="13"/>
        <v>0</v>
      </c>
      <c r="BC6" s="11">
        <v>3</v>
      </c>
      <c r="BD6" s="12">
        <v>0</v>
      </c>
      <c r="BE6" s="13">
        <v>0</v>
      </c>
      <c r="BF6" s="13">
        <f t="shared" si="14"/>
        <v>0</v>
      </c>
      <c r="BG6" s="11">
        <v>0</v>
      </c>
      <c r="BH6" s="12">
        <v>0</v>
      </c>
      <c r="BI6" s="13">
        <v>0</v>
      </c>
      <c r="BJ6" s="13">
        <f t="shared" si="15"/>
        <v>0</v>
      </c>
      <c r="BK6" s="11">
        <v>0</v>
      </c>
      <c r="BL6" s="12">
        <v>0</v>
      </c>
      <c r="BM6" s="13">
        <v>0</v>
      </c>
      <c r="BN6" s="13">
        <f t="shared" si="16"/>
        <v>0</v>
      </c>
      <c r="BO6" s="11">
        <v>0</v>
      </c>
      <c r="BP6" s="12">
        <v>0</v>
      </c>
      <c r="BQ6" s="13">
        <v>0</v>
      </c>
      <c r="BR6" s="13">
        <f t="shared" si="17"/>
        <v>0</v>
      </c>
      <c r="BS6" s="11">
        <v>0</v>
      </c>
      <c r="BT6" s="12">
        <f t="shared" si="18"/>
        <v>15</v>
      </c>
      <c r="BU6" s="13">
        <f t="shared" si="19"/>
        <v>0</v>
      </c>
      <c r="BV6" s="13">
        <f t="shared" si="20"/>
        <v>8</v>
      </c>
      <c r="BW6" s="13">
        <f t="shared" si="21"/>
        <v>1</v>
      </c>
      <c r="BX6" s="13">
        <f t="shared" si="22"/>
        <v>0.65217391304347827</v>
      </c>
      <c r="BY6" s="11">
        <f t="shared" si="23"/>
        <v>0.78947368421052633</v>
      </c>
      <c r="CC6" s="75" t="s">
        <v>57</v>
      </c>
      <c r="CD6">
        <f>AVERAGE(BW9:BW10)</f>
        <v>0.84615384615384615</v>
      </c>
      <c r="CE6">
        <f t="shared" ref="CE6:CF6" si="26">AVERAGE(BX9:BX10)</f>
        <v>0.73333333333333339</v>
      </c>
      <c r="CF6">
        <f t="shared" si="26"/>
        <v>0.77333333333333332</v>
      </c>
    </row>
    <row r="7" spans="1:84" x14ac:dyDescent="0.35">
      <c r="A7" s="54" t="s">
        <v>10</v>
      </c>
      <c r="B7" s="108"/>
      <c r="C7" s="14" t="s">
        <v>15</v>
      </c>
      <c r="D7" s="15">
        <v>6</v>
      </c>
      <c r="E7" s="16">
        <v>6</v>
      </c>
      <c r="F7" s="16">
        <f t="shared" si="1"/>
        <v>0</v>
      </c>
      <c r="G7" s="14">
        <v>0</v>
      </c>
      <c r="H7" s="15">
        <v>0</v>
      </c>
      <c r="I7" s="16">
        <v>0</v>
      </c>
      <c r="J7" s="16">
        <f t="shared" si="2"/>
        <v>0</v>
      </c>
      <c r="K7" s="14">
        <v>0</v>
      </c>
      <c r="L7" s="15">
        <v>0</v>
      </c>
      <c r="M7" s="16">
        <v>0</v>
      </c>
      <c r="N7" s="16">
        <f t="shared" si="3"/>
        <v>0</v>
      </c>
      <c r="O7" s="14">
        <v>0</v>
      </c>
      <c r="P7" s="15">
        <v>9</v>
      </c>
      <c r="Q7" s="16">
        <v>9</v>
      </c>
      <c r="R7" s="16">
        <f t="shared" si="4"/>
        <v>0</v>
      </c>
      <c r="S7" s="14">
        <v>0</v>
      </c>
      <c r="T7" s="15">
        <v>0</v>
      </c>
      <c r="U7" s="16">
        <v>0</v>
      </c>
      <c r="V7" s="16">
        <f t="shared" si="5"/>
        <v>0</v>
      </c>
      <c r="W7" s="14">
        <v>9</v>
      </c>
      <c r="X7" s="15">
        <v>0</v>
      </c>
      <c r="Y7" s="16">
        <v>0</v>
      </c>
      <c r="Z7" s="16">
        <f t="shared" si="6"/>
        <v>0</v>
      </c>
      <c r="AA7" s="14">
        <v>0</v>
      </c>
      <c r="AB7" s="15">
        <v>0</v>
      </c>
      <c r="AC7" s="16">
        <v>0</v>
      </c>
      <c r="AD7" s="16">
        <f t="shared" si="7"/>
        <v>0</v>
      </c>
      <c r="AE7" s="14">
        <v>0</v>
      </c>
      <c r="AF7" s="15">
        <v>0</v>
      </c>
      <c r="AG7" s="16">
        <v>0</v>
      </c>
      <c r="AH7" s="16">
        <f t="shared" si="8"/>
        <v>0</v>
      </c>
      <c r="AI7" s="14">
        <v>0</v>
      </c>
      <c r="AJ7" s="15">
        <v>5</v>
      </c>
      <c r="AK7" s="16">
        <v>5</v>
      </c>
      <c r="AL7" s="16">
        <f t="shared" si="9"/>
        <v>0</v>
      </c>
      <c r="AM7" s="14">
        <v>0</v>
      </c>
      <c r="AN7" s="15">
        <v>0</v>
      </c>
      <c r="AO7" s="16">
        <v>0</v>
      </c>
      <c r="AP7" s="16">
        <f t="shared" si="10"/>
        <v>0</v>
      </c>
      <c r="AQ7" s="14">
        <v>0</v>
      </c>
      <c r="AR7" s="15">
        <v>0</v>
      </c>
      <c r="AS7" s="16">
        <v>0</v>
      </c>
      <c r="AT7" s="16">
        <f t="shared" si="11"/>
        <v>0</v>
      </c>
      <c r="AU7" s="14">
        <v>0</v>
      </c>
      <c r="AV7" s="15">
        <v>0</v>
      </c>
      <c r="AW7" s="16">
        <v>0</v>
      </c>
      <c r="AX7" s="16">
        <f t="shared" si="12"/>
        <v>0</v>
      </c>
      <c r="AY7" s="14">
        <v>0</v>
      </c>
      <c r="AZ7" s="15">
        <v>5</v>
      </c>
      <c r="BA7" s="16">
        <v>5</v>
      </c>
      <c r="BB7" s="16">
        <f t="shared" si="13"/>
        <v>0</v>
      </c>
      <c r="BC7" s="14">
        <v>0</v>
      </c>
      <c r="BD7" s="15">
        <v>0</v>
      </c>
      <c r="BE7" s="16">
        <v>0</v>
      </c>
      <c r="BF7" s="16">
        <f t="shared" si="14"/>
        <v>0</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25</v>
      </c>
      <c r="BU7" s="16">
        <f t="shared" si="19"/>
        <v>0</v>
      </c>
      <c r="BV7" s="16">
        <f t="shared" si="20"/>
        <v>9</v>
      </c>
      <c r="BW7" s="16">
        <f t="shared" si="21"/>
        <v>1</v>
      </c>
      <c r="BX7" s="16">
        <f t="shared" si="22"/>
        <v>0.73529411764705888</v>
      </c>
      <c r="BY7" s="14">
        <f t="shared" si="23"/>
        <v>0.84745762711864414</v>
      </c>
      <c r="CC7" s="75" t="s">
        <v>58</v>
      </c>
      <c r="CD7">
        <f>AVERAGE(BW11:BW12)</f>
        <v>1</v>
      </c>
      <c r="CE7">
        <f t="shared" ref="CE7" si="27">AVERAGE(BX11:BX12)</f>
        <v>0.65853658536585369</v>
      </c>
      <c r="CF7">
        <f>AVERAGE(BY11:BY12)</f>
        <v>0.79411764705882348</v>
      </c>
    </row>
    <row r="8" spans="1:84" x14ac:dyDescent="0.35">
      <c r="A8" s="54" t="s">
        <v>10</v>
      </c>
      <c r="B8" s="108"/>
      <c r="C8" s="14" t="s">
        <v>16</v>
      </c>
      <c r="D8" s="15">
        <v>6</v>
      </c>
      <c r="E8" s="16">
        <v>6</v>
      </c>
      <c r="F8" s="16">
        <f t="shared" si="1"/>
        <v>0</v>
      </c>
      <c r="G8" s="14">
        <v>0</v>
      </c>
      <c r="H8" s="15">
        <v>0</v>
      </c>
      <c r="I8" s="16">
        <v>0</v>
      </c>
      <c r="J8" s="16">
        <f t="shared" si="2"/>
        <v>0</v>
      </c>
      <c r="K8" s="14">
        <v>0</v>
      </c>
      <c r="L8" s="15">
        <v>0</v>
      </c>
      <c r="M8" s="16">
        <v>0</v>
      </c>
      <c r="N8" s="16">
        <f t="shared" si="3"/>
        <v>0</v>
      </c>
      <c r="O8" s="14">
        <v>0</v>
      </c>
      <c r="P8" s="15">
        <v>9</v>
      </c>
      <c r="Q8" s="16">
        <v>9</v>
      </c>
      <c r="R8" s="16">
        <f t="shared" si="4"/>
        <v>0</v>
      </c>
      <c r="S8" s="14">
        <v>0</v>
      </c>
      <c r="T8" s="15">
        <v>0</v>
      </c>
      <c r="U8" s="16">
        <v>0</v>
      </c>
      <c r="V8" s="16">
        <f t="shared" si="5"/>
        <v>0</v>
      </c>
      <c r="W8" s="14">
        <v>9</v>
      </c>
      <c r="X8" s="15">
        <v>0</v>
      </c>
      <c r="Y8" s="16">
        <v>0</v>
      </c>
      <c r="Z8" s="16">
        <f t="shared" si="6"/>
        <v>0</v>
      </c>
      <c r="AA8" s="14">
        <v>0</v>
      </c>
      <c r="AB8" s="15">
        <v>0</v>
      </c>
      <c r="AC8" s="16">
        <v>0</v>
      </c>
      <c r="AD8" s="16">
        <f t="shared" si="7"/>
        <v>0</v>
      </c>
      <c r="AE8" s="14">
        <v>0</v>
      </c>
      <c r="AF8" s="15">
        <v>0</v>
      </c>
      <c r="AG8" s="16">
        <v>0</v>
      </c>
      <c r="AH8" s="16">
        <f t="shared" si="8"/>
        <v>0</v>
      </c>
      <c r="AI8" s="14">
        <v>0</v>
      </c>
      <c r="AJ8" s="15">
        <v>5</v>
      </c>
      <c r="AK8" s="16">
        <v>5</v>
      </c>
      <c r="AL8" s="16">
        <f t="shared" si="9"/>
        <v>0</v>
      </c>
      <c r="AM8" s="14">
        <v>0</v>
      </c>
      <c r="AN8" s="15">
        <v>0</v>
      </c>
      <c r="AO8" s="16">
        <v>0</v>
      </c>
      <c r="AP8" s="16">
        <f t="shared" si="10"/>
        <v>0</v>
      </c>
      <c r="AQ8" s="14">
        <v>0</v>
      </c>
      <c r="AR8" s="15">
        <v>0</v>
      </c>
      <c r="AS8" s="16">
        <v>0</v>
      </c>
      <c r="AT8" s="16">
        <f t="shared" si="11"/>
        <v>0</v>
      </c>
      <c r="AU8" s="14">
        <v>0</v>
      </c>
      <c r="AV8" s="15">
        <v>0</v>
      </c>
      <c r="AW8" s="16">
        <v>0</v>
      </c>
      <c r="AX8" s="16">
        <f t="shared" si="12"/>
        <v>0</v>
      </c>
      <c r="AY8" s="14">
        <v>0</v>
      </c>
      <c r="AZ8" s="15">
        <v>5</v>
      </c>
      <c r="BA8" s="16">
        <v>5</v>
      </c>
      <c r="BB8" s="16">
        <f t="shared" si="13"/>
        <v>0</v>
      </c>
      <c r="BC8" s="14">
        <v>0</v>
      </c>
      <c r="BD8" s="15">
        <v>0</v>
      </c>
      <c r="BE8" s="16">
        <v>0</v>
      </c>
      <c r="BF8" s="16">
        <f t="shared" si="14"/>
        <v>0</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25</v>
      </c>
      <c r="BU8" s="16">
        <f t="shared" si="19"/>
        <v>0</v>
      </c>
      <c r="BV8" s="16">
        <f t="shared" si="20"/>
        <v>9</v>
      </c>
      <c r="BW8" s="16">
        <f t="shared" si="21"/>
        <v>1</v>
      </c>
      <c r="BX8" s="16">
        <f t="shared" si="22"/>
        <v>0.73529411764705888</v>
      </c>
      <c r="BY8" s="14">
        <f t="shared" si="23"/>
        <v>0.84745762711864414</v>
      </c>
      <c r="CC8" s="75" t="s">
        <v>59</v>
      </c>
      <c r="CD8">
        <f>AVERAGE(BW13:BW14)</f>
        <v>0.75</v>
      </c>
      <c r="CE8">
        <f t="shared" ref="CE8:CF8" si="28">AVERAGE(BX13:BX14)</f>
        <v>0.48809523809523808</v>
      </c>
      <c r="CF8">
        <f t="shared" si="28"/>
        <v>0.59126984126984128</v>
      </c>
    </row>
    <row r="9" spans="1:84" x14ac:dyDescent="0.35">
      <c r="A9" s="55" t="s">
        <v>10</v>
      </c>
      <c r="B9" s="108"/>
      <c r="C9" s="17" t="s">
        <v>17</v>
      </c>
      <c r="D9" s="18">
        <v>3</v>
      </c>
      <c r="E9" s="19">
        <v>3</v>
      </c>
      <c r="F9" s="19">
        <f t="shared" si="1"/>
        <v>0</v>
      </c>
      <c r="G9" s="17">
        <v>0</v>
      </c>
      <c r="H9" s="18">
        <v>0</v>
      </c>
      <c r="I9" s="19">
        <v>0</v>
      </c>
      <c r="J9" s="19">
        <f t="shared" si="2"/>
        <v>0</v>
      </c>
      <c r="K9" s="17">
        <v>0</v>
      </c>
      <c r="L9" s="18">
        <v>0</v>
      </c>
      <c r="M9" s="19">
        <v>0</v>
      </c>
      <c r="N9" s="19">
        <f t="shared" si="3"/>
        <v>0</v>
      </c>
      <c r="O9" s="17">
        <v>0</v>
      </c>
      <c r="P9" s="18">
        <v>5</v>
      </c>
      <c r="Q9" s="19">
        <v>5</v>
      </c>
      <c r="R9" s="19">
        <f t="shared" si="4"/>
        <v>0</v>
      </c>
      <c r="S9" s="17">
        <v>0</v>
      </c>
      <c r="T9" s="18">
        <v>0</v>
      </c>
      <c r="U9" s="19">
        <v>0</v>
      </c>
      <c r="V9" s="19">
        <f t="shared" si="5"/>
        <v>0</v>
      </c>
      <c r="W9" s="17">
        <v>0</v>
      </c>
      <c r="X9" s="18">
        <v>0</v>
      </c>
      <c r="Y9" s="19">
        <v>0</v>
      </c>
      <c r="Z9" s="19">
        <f t="shared" si="6"/>
        <v>0</v>
      </c>
      <c r="AA9" s="17">
        <v>0</v>
      </c>
      <c r="AB9" s="18">
        <v>0</v>
      </c>
      <c r="AC9" s="19">
        <v>0</v>
      </c>
      <c r="AD9" s="19">
        <f t="shared" si="7"/>
        <v>0</v>
      </c>
      <c r="AE9" s="17">
        <v>0</v>
      </c>
      <c r="AF9" s="18">
        <v>0</v>
      </c>
      <c r="AG9" s="19">
        <v>0</v>
      </c>
      <c r="AH9" s="19">
        <f t="shared" si="8"/>
        <v>0</v>
      </c>
      <c r="AI9" s="17">
        <v>0</v>
      </c>
      <c r="AJ9" s="18">
        <v>1</v>
      </c>
      <c r="AK9" s="19">
        <v>1</v>
      </c>
      <c r="AL9" s="19">
        <f t="shared" si="9"/>
        <v>0</v>
      </c>
      <c r="AM9" s="17">
        <v>0</v>
      </c>
      <c r="AN9" s="18">
        <v>0</v>
      </c>
      <c r="AO9" s="19">
        <v>0</v>
      </c>
      <c r="AP9" s="19">
        <f t="shared" si="10"/>
        <v>0</v>
      </c>
      <c r="AQ9" s="17">
        <v>0</v>
      </c>
      <c r="AR9" s="18">
        <v>1</v>
      </c>
      <c r="AS9" s="19">
        <v>0</v>
      </c>
      <c r="AT9" s="19">
        <f t="shared" si="11"/>
        <v>1</v>
      </c>
      <c r="AU9" s="17">
        <v>0</v>
      </c>
      <c r="AV9" s="18">
        <v>0</v>
      </c>
      <c r="AW9" s="19">
        <v>0</v>
      </c>
      <c r="AX9" s="19">
        <f t="shared" si="12"/>
        <v>0</v>
      </c>
      <c r="AY9" s="17">
        <v>1</v>
      </c>
      <c r="AZ9" s="18">
        <v>2</v>
      </c>
      <c r="BA9" s="19">
        <v>2</v>
      </c>
      <c r="BB9" s="19">
        <f t="shared" si="13"/>
        <v>0</v>
      </c>
      <c r="BC9" s="17">
        <v>0</v>
      </c>
      <c r="BD9" s="18">
        <v>0</v>
      </c>
      <c r="BE9" s="19">
        <v>0</v>
      </c>
      <c r="BF9" s="19">
        <f t="shared" si="14"/>
        <v>0</v>
      </c>
      <c r="BG9" s="17">
        <v>0</v>
      </c>
      <c r="BH9" s="18">
        <v>0</v>
      </c>
      <c r="BI9" s="19">
        <v>0</v>
      </c>
      <c r="BJ9" s="19">
        <f t="shared" si="15"/>
        <v>0</v>
      </c>
      <c r="BK9" s="17">
        <v>0</v>
      </c>
      <c r="BL9" s="18">
        <v>1</v>
      </c>
      <c r="BM9" s="19">
        <v>0</v>
      </c>
      <c r="BN9" s="19">
        <f t="shared" si="16"/>
        <v>1</v>
      </c>
      <c r="BO9" s="17">
        <v>0</v>
      </c>
      <c r="BP9" s="18">
        <v>0</v>
      </c>
      <c r="BQ9" s="19">
        <v>0</v>
      </c>
      <c r="BR9" s="19">
        <f t="shared" si="17"/>
        <v>0</v>
      </c>
      <c r="BS9" s="17">
        <v>0</v>
      </c>
      <c r="BT9" s="18">
        <f t="shared" si="18"/>
        <v>11</v>
      </c>
      <c r="BU9" s="19">
        <f t="shared" si="19"/>
        <v>2</v>
      </c>
      <c r="BV9" s="19">
        <f t="shared" si="20"/>
        <v>1</v>
      </c>
      <c r="BW9" s="19">
        <f t="shared" si="21"/>
        <v>0.84615384615384615</v>
      </c>
      <c r="BX9" s="19">
        <f t="shared" si="22"/>
        <v>0.91666666666666663</v>
      </c>
      <c r="BY9" s="17">
        <f t="shared" si="23"/>
        <v>0.87999999999999989</v>
      </c>
      <c r="CC9" s="75" t="s">
        <v>60</v>
      </c>
      <c r="CD9">
        <f>AVERAGE(BW15:BW16)</f>
        <v>0.875</v>
      </c>
      <c r="CE9">
        <f t="shared" ref="CE9:CF9" si="29">AVERAGE(BX15:BX16)</f>
        <v>0.68055555555555558</v>
      </c>
      <c r="CF9">
        <f t="shared" si="29"/>
        <v>0.76176470588235301</v>
      </c>
    </row>
    <row r="10" spans="1:84" x14ac:dyDescent="0.35">
      <c r="A10" s="55" t="s">
        <v>10</v>
      </c>
      <c r="B10" s="108"/>
      <c r="C10" s="17" t="s">
        <v>18</v>
      </c>
      <c r="D10" s="18">
        <v>3</v>
      </c>
      <c r="E10" s="19">
        <v>3</v>
      </c>
      <c r="F10" s="19">
        <f t="shared" si="1"/>
        <v>0</v>
      </c>
      <c r="G10" s="17">
        <v>0</v>
      </c>
      <c r="H10" s="18">
        <v>0</v>
      </c>
      <c r="I10" s="19">
        <v>0</v>
      </c>
      <c r="J10" s="19">
        <f t="shared" si="2"/>
        <v>0</v>
      </c>
      <c r="K10" s="17">
        <v>0</v>
      </c>
      <c r="L10" s="18">
        <v>0</v>
      </c>
      <c r="M10" s="19">
        <v>0</v>
      </c>
      <c r="N10" s="19">
        <f t="shared" si="3"/>
        <v>0</v>
      </c>
      <c r="O10" s="17">
        <v>0</v>
      </c>
      <c r="P10" s="18">
        <v>5</v>
      </c>
      <c r="Q10" s="19">
        <v>5</v>
      </c>
      <c r="R10" s="19">
        <f t="shared" si="4"/>
        <v>0</v>
      </c>
      <c r="S10" s="17">
        <v>0</v>
      </c>
      <c r="T10" s="18">
        <v>0</v>
      </c>
      <c r="U10" s="19">
        <v>0</v>
      </c>
      <c r="V10" s="19">
        <f t="shared" si="5"/>
        <v>0</v>
      </c>
      <c r="W10" s="17">
        <v>6</v>
      </c>
      <c r="X10" s="18">
        <v>0</v>
      </c>
      <c r="Y10" s="19">
        <v>0</v>
      </c>
      <c r="Z10" s="19">
        <f t="shared" si="6"/>
        <v>0</v>
      </c>
      <c r="AA10" s="17">
        <v>0</v>
      </c>
      <c r="AB10" s="18">
        <v>0</v>
      </c>
      <c r="AC10" s="19">
        <v>0</v>
      </c>
      <c r="AD10" s="19">
        <f t="shared" si="7"/>
        <v>0</v>
      </c>
      <c r="AE10" s="17">
        <v>0</v>
      </c>
      <c r="AF10" s="18">
        <v>0</v>
      </c>
      <c r="AG10" s="19">
        <v>0</v>
      </c>
      <c r="AH10" s="19">
        <f t="shared" si="8"/>
        <v>0</v>
      </c>
      <c r="AI10" s="17">
        <v>0</v>
      </c>
      <c r="AJ10" s="18">
        <v>1</v>
      </c>
      <c r="AK10" s="19">
        <v>1</v>
      </c>
      <c r="AL10" s="19">
        <f t="shared" si="9"/>
        <v>0</v>
      </c>
      <c r="AM10" s="17">
        <v>0</v>
      </c>
      <c r="AN10" s="18">
        <v>0</v>
      </c>
      <c r="AO10" s="19">
        <v>0</v>
      </c>
      <c r="AP10" s="19">
        <f t="shared" si="10"/>
        <v>0</v>
      </c>
      <c r="AQ10" s="17">
        <v>0</v>
      </c>
      <c r="AR10" s="18">
        <v>1</v>
      </c>
      <c r="AS10" s="19">
        <v>0</v>
      </c>
      <c r="AT10" s="19">
        <f t="shared" si="11"/>
        <v>1</v>
      </c>
      <c r="AU10" s="17">
        <v>0</v>
      </c>
      <c r="AV10" s="18">
        <v>0</v>
      </c>
      <c r="AW10" s="19">
        <v>0</v>
      </c>
      <c r="AX10" s="19">
        <f t="shared" si="12"/>
        <v>0</v>
      </c>
      <c r="AY10" s="17">
        <v>1</v>
      </c>
      <c r="AZ10" s="18">
        <v>2</v>
      </c>
      <c r="BA10" s="19">
        <v>2</v>
      </c>
      <c r="BB10" s="19">
        <f t="shared" si="13"/>
        <v>0</v>
      </c>
      <c r="BC10" s="17">
        <v>1</v>
      </c>
      <c r="BD10" s="18">
        <v>0</v>
      </c>
      <c r="BE10" s="19">
        <v>0</v>
      </c>
      <c r="BF10" s="19">
        <f t="shared" si="14"/>
        <v>0</v>
      </c>
      <c r="BG10" s="17">
        <v>0</v>
      </c>
      <c r="BH10" s="18">
        <v>0</v>
      </c>
      <c r="BI10" s="19">
        <v>0</v>
      </c>
      <c r="BJ10" s="19">
        <f t="shared" si="15"/>
        <v>0</v>
      </c>
      <c r="BK10" s="17">
        <v>0</v>
      </c>
      <c r="BL10" s="18">
        <v>1</v>
      </c>
      <c r="BM10" s="19">
        <v>0</v>
      </c>
      <c r="BN10" s="19">
        <f t="shared" si="16"/>
        <v>1</v>
      </c>
      <c r="BO10" s="17">
        <v>1</v>
      </c>
      <c r="BP10" s="18">
        <v>0</v>
      </c>
      <c r="BQ10" s="19">
        <v>0</v>
      </c>
      <c r="BR10" s="19">
        <f t="shared" si="17"/>
        <v>0</v>
      </c>
      <c r="BS10" s="17">
        <v>0</v>
      </c>
      <c r="BT10" s="18">
        <f t="shared" si="18"/>
        <v>11</v>
      </c>
      <c r="BU10" s="19">
        <f t="shared" si="19"/>
        <v>2</v>
      </c>
      <c r="BV10" s="19">
        <f t="shared" si="20"/>
        <v>9</v>
      </c>
      <c r="BW10" s="19">
        <f t="shared" si="21"/>
        <v>0.84615384615384615</v>
      </c>
      <c r="BX10" s="19">
        <f t="shared" si="22"/>
        <v>0.55000000000000004</v>
      </c>
      <c r="BY10" s="17">
        <f t="shared" si="23"/>
        <v>0.66666666666666674</v>
      </c>
      <c r="CC10" s="75" t="s">
        <v>61</v>
      </c>
      <c r="CD10">
        <f>AVERAGE(BW17:BW18)</f>
        <v>0.9</v>
      </c>
      <c r="CE10">
        <f t="shared" ref="CE10:CF10" si="30">AVERAGE(BX17:BX18)</f>
        <v>0.66758241758241765</v>
      </c>
      <c r="CF10">
        <f t="shared" si="30"/>
        <v>0.76630434782608692</v>
      </c>
    </row>
    <row r="11" spans="1:84" x14ac:dyDescent="0.35">
      <c r="A11" s="56" t="s">
        <v>10</v>
      </c>
      <c r="B11" s="108"/>
      <c r="C11" s="20" t="s">
        <v>19</v>
      </c>
      <c r="D11" s="21">
        <v>2</v>
      </c>
      <c r="E11" s="22">
        <v>2</v>
      </c>
      <c r="F11" s="22">
        <f t="shared" si="1"/>
        <v>0</v>
      </c>
      <c r="G11" s="20">
        <v>0</v>
      </c>
      <c r="H11" s="21">
        <v>2</v>
      </c>
      <c r="I11" s="22">
        <v>2</v>
      </c>
      <c r="J11" s="22">
        <f t="shared" si="2"/>
        <v>0</v>
      </c>
      <c r="K11" s="20">
        <v>0</v>
      </c>
      <c r="L11" s="21">
        <v>8</v>
      </c>
      <c r="M11" s="22">
        <v>8</v>
      </c>
      <c r="N11" s="22">
        <f t="shared" si="3"/>
        <v>0</v>
      </c>
      <c r="O11" s="20">
        <v>0</v>
      </c>
      <c r="P11" s="21">
        <v>7</v>
      </c>
      <c r="Q11" s="22">
        <v>7</v>
      </c>
      <c r="R11" s="22">
        <f t="shared" si="4"/>
        <v>0</v>
      </c>
      <c r="S11" s="20">
        <v>2</v>
      </c>
      <c r="T11" s="21">
        <v>0</v>
      </c>
      <c r="U11" s="22">
        <v>0</v>
      </c>
      <c r="V11" s="22">
        <f t="shared" si="5"/>
        <v>0</v>
      </c>
      <c r="W11" s="20">
        <v>9</v>
      </c>
      <c r="X11" s="21">
        <v>1</v>
      </c>
      <c r="Y11" s="22">
        <v>1</v>
      </c>
      <c r="Z11" s="22">
        <f t="shared" si="6"/>
        <v>0</v>
      </c>
      <c r="AA11" s="20">
        <v>0</v>
      </c>
      <c r="AB11" s="21">
        <v>1</v>
      </c>
      <c r="AC11" s="22">
        <v>1</v>
      </c>
      <c r="AD11" s="22">
        <f t="shared" si="7"/>
        <v>0</v>
      </c>
      <c r="AE11" s="20">
        <v>0</v>
      </c>
      <c r="AF11" s="21">
        <v>3</v>
      </c>
      <c r="AG11" s="22">
        <v>3</v>
      </c>
      <c r="AH11" s="22">
        <f t="shared" si="8"/>
        <v>0</v>
      </c>
      <c r="AI11" s="20">
        <v>0</v>
      </c>
      <c r="AJ11" s="21">
        <v>0</v>
      </c>
      <c r="AK11" s="22">
        <v>0</v>
      </c>
      <c r="AL11" s="22">
        <f t="shared" si="9"/>
        <v>0</v>
      </c>
      <c r="AM11" s="20">
        <v>0</v>
      </c>
      <c r="AN11" s="21">
        <v>0</v>
      </c>
      <c r="AO11" s="22">
        <v>0</v>
      </c>
      <c r="AP11" s="22">
        <f t="shared" si="10"/>
        <v>0</v>
      </c>
      <c r="AQ11" s="20">
        <v>0</v>
      </c>
      <c r="AR11" s="21">
        <v>0</v>
      </c>
      <c r="AS11" s="22">
        <v>0</v>
      </c>
      <c r="AT11" s="22">
        <f t="shared" si="11"/>
        <v>0</v>
      </c>
      <c r="AU11" s="20">
        <v>1</v>
      </c>
      <c r="AV11" s="21">
        <v>1</v>
      </c>
      <c r="AW11" s="22">
        <v>1</v>
      </c>
      <c r="AX11" s="22">
        <f t="shared" si="12"/>
        <v>0</v>
      </c>
      <c r="AY11" s="20">
        <v>0</v>
      </c>
      <c r="AZ11" s="21">
        <v>1</v>
      </c>
      <c r="BA11" s="22">
        <v>1</v>
      </c>
      <c r="BB11" s="22">
        <f t="shared" si="13"/>
        <v>0</v>
      </c>
      <c r="BC11" s="20">
        <v>1</v>
      </c>
      <c r="BD11" s="21">
        <v>0</v>
      </c>
      <c r="BE11" s="22">
        <v>0</v>
      </c>
      <c r="BF11" s="22">
        <f t="shared" si="14"/>
        <v>0</v>
      </c>
      <c r="BG11" s="20">
        <v>0</v>
      </c>
      <c r="BH11" s="21">
        <v>0</v>
      </c>
      <c r="BI11" s="22">
        <v>0</v>
      </c>
      <c r="BJ11" s="22">
        <f t="shared" si="15"/>
        <v>0</v>
      </c>
      <c r="BK11" s="20">
        <v>0</v>
      </c>
      <c r="BL11" s="21">
        <v>1</v>
      </c>
      <c r="BM11" s="22">
        <v>1</v>
      </c>
      <c r="BN11" s="22">
        <f t="shared" si="16"/>
        <v>0</v>
      </c>
      <c r="BO11" s="20">
        <v>1</v>
      </c>
      <c r="BP11" s="21">
        <v>0</v>
      </c>
      <c r="BQ11" s="22">
        <v>0</v>
      </c>
      <c r="BR11" s="22">
        <f t="shared" si="17"/>
        <v>0</v>
      </c>
      <c r="BS11" s="20">
        <v>0</v>
      </c>
      <c r="BT11" s="21">
        <f t="shared" si="18"/>
        <v>27</v>
      </c>
      <c r="BU11" s="22">
        <f t="shared" si="19"/>
        <v>0</v>
      </c>
      <c r="BV11" s="22">
        <f t="shared" si="20"/>
        <v>14</v>
      </c>
      <c r="BW11" s="22">
        <f t="shared" si="21"/>
        <v>1</v>
      </c>
      <c r="BX11" s="22">
        <f t="shared" si="22"/>
        <v>0.65853658536585369</v>
      </c>
      <c r="BY11" s="20">
        <f t="shared" si="23"/>
        <v>0.79411764705882348</v>
      </c>
      <c r="CC11" s="75" t="s">
        <v>62</v>
      </c>
      <c r="CD11">
        <f>AVERAGE(BW19:BW20)</f>
        <v>0.91176470588235292</v>
      </c>
      <c r="CE11">
        <f t="shared" ref="CE11:CF11" si="31">AVERAGE(BX19:BX20)</f>
        <v>0.91319444444444442</v>
      </c>
      <c r="CF11">
        <f t="shared" si="31"/>
        <v>0.91168831168831166</v>
      </c>
    </row>
    <row r="12" spans="1:84" x14ac:dyDescent="0.35">
      <c r="A12" s="56" t="s">
        <v>10</v>
      </c>
      <c r="B12" s="108"/>
      <c r="C12" s="20" t="s">
        <v>20</v>
      </c>
      <c r="D12" s="21">
        <v>2</v>
      </c>
      <c r="E12" s="22">
        <v>2</v>
      </c>
      <c r="F12" s="22">
        <f t="shared" si="1"/>
        <v>0</v>
      </c>
      <c r="G12" s="20">
        <v>0</v>
      </c>
      <c r="H12" s="21">
        <v>2</v>
      </c>
      <c r="I12" s="22">
        <v>2</v>
      </c>
      <c r="J12" s="22">
        <f>H12-I12</f>
        <v>0</v>
      </c>
      <c r="K12" s="20">
        <v>0</v>
      </c>
      <c r="L12" s="21">
        <v>8</v>
      </c>
      <c r="M12" s="22">
        <v>8</v>
      </c>
      <c r="N12" s="22">
        <f t="shared" si="3"/>
        <v>0</v>
      </c>
      <c r="O12" s="20">
        <v>0</v>
      </c>
      <c r="P12" s="21">
        <v>7</v>
      </c>
      <c r="Q12" s="22">
        <v>7</v>
      </c>
      <c r="R12" s="22">
        <f t="shared" si="4"/>
        <v>0</v>
      </c>
      <c r="S12" s="20">
        <v>2</v>
      </c>
      <c r="T12" s="21">
        <v>0</v>
      </c>
      <c r="U12" s="22">
        <v>0</v>
      </c>
      <c r="V12" s="22">
        <f t="shared" si="5"/>
        <v>0</v>
      </c>
      <c r="W12" s="20">
        <v>9</v>
      </c>
      <c r="X12" s="21">
        <v>1</v>
      </c>
      <c r="Y12" s="22">
        <v>1</v>
      </c>
      <c r="Z12" s="22">
        <f t="shared" si="6"/>
        <v>0</v>
      </c>
      <c r="AA12" s="20">
        <v>0</v>
      </c>
      <c r="AB12" s="21">
        <v>1</v>
      </c>
      <c r="AC12" s="22">
        <v>1</v>
      </c>
      <c r="AD12" s="22">
        <f t="shared" si="7"/>
        <v>0</v>
      </c>
      <c r="AE12" s="20">
        <v>0</v>
      </c>
      <c r="AF12" s="21">
        <v>3</v>
      </c>
      <c r="AG12" s="22">
        <v>3</v>
      </c>
      <c r="AH12" s="22">
        <f t="shared" si="8"/>
        <v>0</v>
      </c>
      <c r="AI12" s="20">
        <v>0</v>
      </c>
      <c r="AJ12" s="21">
        <v>0</v>
      </c>
      <c r="AK12" s="22">
        <v>0</v>
      </c>
      <c r="AL12" s="22">
        <f t="shared" si="9"/>
        <v>0</v>
      </c>
      <c r="AM12" s="20">
        <v>0</v>
      </c>
      <c r="AN12" s="21">
        <v>0</v>
      </c>
      <c r="AO12" s="22">
        <v>0</v>
      </c>
      <c r="AP12" s="22">
        <f t="shared" si="10"/>
        <v>0</v>
      </c>
      <c r="AQ12" s="20">
        <v>0</v>
      </c>
      <c r="AR12" s="21">
        <v>0</v>
      </c>
      <c r="AS12" s="22">
        <v>0</v>
      </c>
      <c r="AT12" s="22">
        <f t="shared" si="11"/>
        <v>0</v>
      </c>
      <c r="AU12" s="20">
        <v>1</v>
      </c>
      <c r="AV12" s="21">
        <v>1</v>
      </c>
      <c r="AW12" s="22">
        <v>1</v>
      </c>
      <c r="AX12" s="22">
        <f>AV12-AW12</f>
        <v>0</v>
      </c>
      <c r="AY12" s="20">
        <v>0</v>
      </c>
      <c r="AZ12" s="21">
        <v>1</v>
      </c>
      <c r="BA12" s="22">
        <v>1</v>
      </c>
      <c r="BB12" s="22">
        <f t="shared" si="13"/>
        <v>0</v>
      </c>
      <c r="BC12" s="20">
        <v>1</v>
      </c>
      <c r="BD12" s="21">
        <v>0</v>
      </c>
      <c r="BE12" s="22">
        <v>0</v>
      </c>
      <c r="BF12" s="22">
        <f t="shared" si="14"/>
        <v>0</v>
      </c>
      <c r="BG12" s="20">
        <v>0</v>
      </c>
      <c r="BH12" s="21">
        <v>0</v>
      </c>
      <c r="BI12" s="22">
        <v>0</v>
      </c>
      <c r="BJ12" s="22">
        <f t="shared" si="15"/>
        <v>0</v>
      </c>
      <c r="BK12" s="20">
        <v>0</v>
      </c>
      <c r="BL12" s="21">
        <v>1</v>
      </c>
      <c r="BM12" s="22">
        <v>1</v>
      </c>
      <c r="BN12" s="22">
        <f t="shared" si="16"/>
        <v>0</v>
      </c>
      <c r="BO12" s="20">
        <v>1</v>
      </c>
      <c r="BP12" s="21">
        <v>0</v>
      </c>
      <c r="BQ12" s="22">
        <v>0</v>
      </c>
      <c r="BR12" s="22">
        <f t="shared" si="17"/>
        <v>0</v>
      </c>
      <c r="BS12" s="20">
        <v>0</v>
      </c>
      <c r="BT12" s="21">
        <f t="shared" si="18"/>
        <v>27</v>
      </c>
      <c r="BU12" s="22">
        <f t="shared" si="19"/>
        <v>0</v>
      </c>
      <c r="BV12" s="22">
        <f t="shared" si="20"/>
        <v>14</v>
      </c>
      <c r="BW12" s="22">
        <f t="shared" si="21"/>
        <v>1</v>
      </c>
      <c r="BX12" s="22">
        <f t="shared" si="22"/>
        <v>0.65853658536585369</v>
      </c>
      <c r="BY12" s="20">
        <f t="shared" si="23"/>
        <v>0.79411764705882348</v>
      </c>
      <c r="CC12" s="75" t="s">
        <v>63</v>
      </c>
      <c r="CD12">
        <f>AVERAGE(BW21:BW22)</f>
        <v>0.9</v>
      </c>
      <c r="CE12">
        <f t="shared" ref="CE12:CF12" si="32">AVERAGE(BX21:BX22)</f>
        <v>0.66758241758241765</v>
      </c>
      <c r="CF12">
        <f t="shared" si="32"/>
        <v>0.76630434782608692</v>
      </c>
    </row>
    <row r="13" spans="1:84" ht="13.5" customHeight="1" x14ac:dyDescent="0.35">
      <c r="A13" s="57" t="s">
        <v>10</v>
      </c>
      <c r="B13" s="108"/>
      <c r="C13" s="23" t="s">
        <v>21</v>
      </c>
      <c r="D13" s="24">
        <v>3</v>
      </c>
      <c r="E13" s="25">
        <v>3</v>
      </c>
      <c r="F13" s="25">
        <f t="shared" si="1"/>
        <v>0</v>
      </c>
      <c r="G13" s="23">
        <v>0</v>
      </c>
      <c r="H13" s="24">
        <v>0</v>
      </c>
      <c r="I13" s="25">
        <v>0</v>
      </c>
      <c r="J13" s="25">
        <f t="shared" si="2"/>
        <v>0</v>
      </c>
      <c r="K13" s="23">
        <v>0</v>
      </c>
      <c r="L13" s="24">
        <v>0</v>
      </c>
      <c r="M13" s="25">
        <v>0</v>
      </c>
      <c r="N13" s="25">
        <f t="shared" si="3"/>
        <v>0</v>
      </c>
      <c r="O13" s="23">
        <v>0</v>
      </c>
      <c r="P13" s="24">
        <v>5</v>
      </c>
      <c r="Q13" s="25">
        <v>5</v>
      </c>
      <c r="R13" s="25">
        <f t="shared" si="4"/>
        <v>0</v>
      </c>
      <c r="S13" s="23">
        <v>1</v>
      </c>
      <c r="T13" s="24">
        <v>0</v>
      </c>
      <c r="U13" s="25">
        <v>0</v>
      </c>
      <c r="V13" s="25">
        <f t="shared" si="5"/>
        <v>0</v>
      </c>
      <c r="W13" s="23">
        <v>7</v>
      </c>
      <c r="X13" s="24">
        <v>0</v>
      </c>
      <c r="Y13" s="25">
        <v>0</v>
      </c>
      <c r="Z13" s="25">
        <f t="shared" si="6"/>
        <v>0</v>
      </c>
      <c r="AA13" s="23">
        <v>0</v>
      </c>
      <c r="AB13" s="24">
        <v>0</v>
      </c>
      <c r="AC13" s="25">
        <v>0</v>
      </c>
      <c r="AD13" s="25">
        <f t="shared" si="7"/>
        <v>0</v>
      </c>
      <c r="AE13" s="23">
        <v>0</v>
      </c>
      <c r="AF13" s="24">
        <v>0</v>
      </c>
      <c r="AG13" s="25">
        <v>0</v>
      </c>
      <c r="AH13" s="25">
        <f t="shared" si="8"/>
        <v>0</v>
      </c>
      <c r="AI13" s="23">
        <v>0</v>
      </c>
      <c r="AJ13" s="24">
        <v>0</v>
      </c>
      <c r="AK13" s="25">
        <v>0</v>
      </c>
      <c r="AL13" s="25">
        <f t="shared" si="9"/>
        <v>0</v>
      </c>
      <c r="AM13" s="23">
        <v>0</v>
      </c>
      <c r="AN13" s="24">
        <v>0</v>
      </c>
      <c r="AO13" s="25">
        <v>0</v>
      </c>
      <c r="AP13" s="25">
        <f t="shared" si="10"/>
        <v>0</v>
      </c>
      <c r="AQ13" s="23">
        <v>0</v>
      </c>
      <c r="AR13" s="24">
        <v>2</v>
      </c>
      <c r="AS13" s="25">
        <v>1</v>
      </c>
      <c r="AT13" s="25">
        <f t="shared" si="11"/>
        <v>1</v>
      </c>
      <c r="AU13" s="23">
        <v>0</v>
      </c>
      <c r="AV13" s="24">
        <v>0</v>
      </c>
      <c r="AW13" s="25">
        <v>0</v>
      </c>
      <c r="AX13" s="25">
        <f t="shared" si="12"/>
        <v>0</v>
      </c>
      <c r="AY13" s="23">
        <v>1</v>
      </c>
      <c r="AZ13" s="24">
        <v>2</v>
      </c>
      <c r="BA13" s="25">
        <v>2</v>
      </c>
      <c r="BB13" s="25">
        <f t="shared" si="13"/>
        <v>0</v>
      </c>
      <c r="BC13" s="23">
        <v>0</v>
      </c>
      <c r="BD13" s="24">
        <v>0</v>
      </c>
      <c r="BE13" s="25">
        <v>0</v>
      </c>
      <c r="BF13" s="25">
        <f t="shared" si="14"/>
        <v>0</v>
      </c>
      <c r="BG13" s="23">
        <v>0</v>
      </c>
      <c r="BH13" s="24">
        <v>0</v>
      </c>
      <c r="BI13" s="25">
        <v>0</v>
      </c>
      <c r="BJ13" s="25">
        <f t="shared" si="15"/>
        <v>0</v>
      </c>
      <c r="BK13" s="23">
        <v>0</v>
      </c>
      <c r="BL13" s="24">
        <v>2</v>
      </c>
      <c r="BM13" s="25">
        <v>0</v>
      </c>
      <c r="BN13" s="25">
        <f t="shared" si="16"/>
        <v>2</v>
      </c>
      <c r="BO13" s="23">
        <v>2</v>
      </c>
      <c r="BP13" s="24">
        <v>0</v>
      </c>
      <c r="BQ13" s="25">
        <v>0</v>
      </c>
      <c r="BR13" s="25">
        <f t="shared" si="17"/>
        <v>0</v>
      </c>
      <c r="BS13" s="23">
        <v>0</v>
      </c>
      <c r="BT13" s="24">
        <f t="shared" si="18"/>
        <v>11</v>
      </c>
      <c r="BU13" s="25">
        <f t="shared" si="19"/>
        <v>3</v>
      </c>
      <c r="BV13" s="25">
        <f t="shared" si="20"/>
        <v>11</v>
      </c>
      <c r="BW13" s="25">
        <f t="shared" si="21"/>
        <v>0.7857142857142857</v>
      </c>
      <c r="BX13" s="25">
        <f t="shared" si="22"/>
        <v>0.5</v>
      </c>
      <c r="BY13" s="23">
        <f t="shared" si="23"/>
        <v>0.61111111111111116</v>
      </c>
      <c r="CC13" s="75" t="s">
        <v>64</v>
      </c>
      <c r="CD13">
        <f>AVERAGE(BW23:BW24)</f>
        <v>0.88888888888888884</v>
      </c>
      <c r="CE13">
        <f t="shared" ref="CE13:CF13" si="33">AVERAGE(BX23:BX24)</f>
        <v>0.88854489164086692</v>
      </c>
      <c r="CF13">
        <f t="shared" si="33"/>
        <v>0.88803088803088803</v>
      </c>
    </row>
    <row r="14" spans="1:84" x14ac:dyDescent="0.35">
      <c r="A14" s="57" t="s">
        <v>10</v>
      </c>
      <c r="B14" s="108"/>
      <c r="C14" s="23" t="s">
        <v>22</v>
      </c>
      <c r="D14" s="24">
        <v>3</v>
      </c>
      <c r="E14" s="25">
        <v>3</v>
      </c>
      <c r="F14" s="25">
        <f t="shared" si="1"/>
        <v>0</v>
      </c>
      <c r="G14" s="23">
        <v>0</v>
      </c>
      <c r="H14" s="24">
        <v>0</v>
      </c>
      <c r="I14" s="24">
        <v>0</v>
      </c>
      <c r="J14" s="24">
        <v>0</v>
      </c>
      <c r="K14" s="23">
        <v>0</v>
      </c>
      <c r="L14" s="24">
        <v>0</v>
      </c>
      <c r="M14" s="24">
        <v>0</v>
      </c>
      <c r="N14" s="24">
        <v>0</v>
      </c>
      <c r="O14" s="23">
        <v>0</v>
      </c>
      <c r="P14" s="24">
        <v>5</v>
      </c>
      <c r="Q14" s="25">
        <v>5</v>
      </c>
      <c r="R14" s="25">
        <f t="shared" si="4"/>
        <v>0</v>
      </c>
      <c r="S14" s="23">
        <v>0</v>
      </c>
      <c r="T14" s="24">
        <v>0</v>
      </c>
      <c r="U14" s="25">
        <v>0</v>
      </c>
      <c r="V14" s="25">
        <v>0</v>
      </c>
      <c r="W14" s="23">
        <v>7</v>
      </c>
      <c r="X14" s="24">
        <v>0</v>
      </c>
      <c r="Y14" s="24">
        <v>0</v>
      </c>
      <c r="Z14" s="24">
        <f>X14-Y14</f>
        <v>0</v>
      </c>
      <c r="AA14" s="23">
        <v>0</v>
      </c>
      <c r="AB14" s="24">
        <v>0</v>
      </c>
      <c r="AC14" s="24">
        <v>0</v>
      </c>
      <c r="AD14" s="24">
        <f>AB14-AC14</f>
        <v>0</v>
      </c>
      <c r="AE14" s="23">
        <v>0</v>
      </c>
      <c r="AF14" s="24">
        <v>0</v>
      </c>
      <c r="AG14" s="24">
        <v>0</v>
      </c>
      <c r="AH14" s="24">
        <f>AF14-AG14</f>
        <v>0</v>
      </c>
      <c r="AI14" s="23">
        <v>0</v>
      </c>
      <c r="AJ14" s="24">
        <v>0</v>
      </c>
      <c r="AK14" s="24">
        <v>0</v>
      </c>
      <c r="AL14" s="24">
        <f>AJ14-AK14</f>
        <v>0</v>
      </c>
      <c r="AM14" s="23">
        <v>0</v>
      </c>
      <c r="AN14" s="24">
        <v>0</v>
      </c>
      <c r="AO14" s="24">
        <v>0</v>
      </c>
      <c r="AP14" s="24">
        <f>AN14-AO14</f>
        <v>0</v>
      </c>
      <c r="AQ14" s="23">
        <v>0</v>
      </c>
      <c r="AR14" s="24">
        <v>2</v>
      </c>
      <c r="AS14" s="25">
        <v>0</v>
      </c>
      <c r="AT14" s="25">
        <f t="shared" si="11"/>
        <v>2</v>
      </c>
      <c r="AU14" s="23">
        <v>0</v>
      </c>
      <c r="AV14" s="24">
        <v>0</v>
      </c>
      <c r="AW14" s="25">
        <v>0</v>
      </c>
      <c r="AX14" s="25">
        <f t="shared" si="12"/>
        <v>0</v>
      </c>
      <c r="AY14" s="23">
        <v>2</v>
      </c>
      <c r="AZ14" s="24">
        <v>2</v>
      </c>
      <c r="BA14" s="25">
        <v>2</v>
      </c>
      <c r="BB14" s="25">
        <f t="shared" si="13"/>
        <v>0</v>
      </c>
      <c r="BC14" s="23">
        <v>0</v>
      </c>
      <c r="BD14" s="24">
        <v>0</v>
      </c>
      <c r="BE14" s="25">
        <v>0</v>
      </c>
      <c r="BF14" s="25">
        <f t="shared" si="14"/>
        <v>0</v>
      </c>
      <c r="BG14" s="23">
        <v>0</v>
      </c>
      <c r="BH14" s="24">
        <v>0</v>
      </c>
      <c r="BI14" s="25">
        <v>0</v>
      </c>
      <c r="BJ14" s="25">
        <f t="shared" si="15"/>
        <v>0</v>
      </c>
      <c r="BK14" s="23">
        <v>0</v>
      </c>
      <c r="BL14" s="24">
        <v>2</v>
      </c>
      <c r="BM14" s="25">
        <v>0</v>
      </c>
      <c r="BN14" s="25">
        <f t="shared" si="16"/>
        <v>2</v>
      </c>
      <c r="BO14" s="23">
        <v>2</v>
      </c>
      <c r="BP14" s="24">
        <v>0</v>
      </c>
      <c r="BQ14" s="25">
        <v>0</v>
      </c>
      <c r="BR14" s="25">
        <f t="shared" si="17"/>
        <v>0</v>
      </c>
      <c r="BS14" s="23">
        <v>0</v>
      </c>
      <c r="BT14" s="24">
        <f t="shared" si="18"/>
        <v>10</v>
      </c>
      <c r="BU14" s="25">
        <f t="shared" si="19"/>
        <v>4</v>
      </c>
      <c r="BV14" s="25">
        <f t="shared" si="20"/>
        <v>11</v>
      </c>
      <c r="BW14" s="25">
        <f t="shared" si="21"/>
        <v>0.7142857142857143</v>
      </c>
      <c r="BX14" s="25">
        <f t="shared" si="22"/>
        <v>0.47619047619047616</v>
      </c>
      <c r="BY14" s="23">
        <f t="shared" si="23"/>
        <v>0.5714285714285714</v>
      </c>
      <c r="CC14" s="75" t="s">
        <v>65</v>
      </c>
      <c r="CD14">
        <f>AVERAGE(BW25:BW26)</f>
        <v>0.8571428571428571</v>
      </c>
      <c r="CE14">
        <f t="shared" ref="CE14:CF14" si="34">AVERAGE(BX25:BX26)</f>
        <v>1</v>
      </c>
      <c r="CF14">
        <f t="shared" si="34"/>
        <v>0.92307692307692302</v>
      </c>
    </row>
    <row r="15" spans="1:84" x14ac:dyDescent="0.35">
      <c r="A15" s="58" t="s">
        <v>10</v>
      </c>
      <c r="B15" s="108"/>
      <c r="C15" s="26" t="s">
        <v>23</v>
      </c>
      <c r="D15" s="27">
        <v>2</v>
      </c>
      <c r="E15" s="28">
        <v>2</v>
      </c>
      <c r="F15" s="28">
        <f t="shared" si="1"/>
        <v>0</v>
      </c>
      <c r="G15" s="26">
        <v>0</v>
      </c>
      <c r="H15" s="27">
        <v>0</v>
      </c>
      <c r="I15" s="27">
        <v>0</v>
      </c>
      <c r="J15" s="27">
        <f t="shared" si="2"/>
        <v>0</v>
      </c>
      <c r="K15" s="26">
        <v>0</v>
      </c>
      <c r="L15" s="27">
        <v>0</v>
      </c>
      <c r="M15" s="27">
        <v>0</v>
      </c>
      <c r="N15" s="27">
        <f t="shared" si="3"/>
        <v>0</v>
      </c>
      <c r="O15" s="26">
        <v>0</v>
      </c>
      <c r="P15" s="27">
        <v>3</v>
      </c>
      <c r="Q15" s="28">
        <v>3</v>
      </c>
      <c r="R15" s="28">
        <f t="shared" si="4"/>
        <v>0</v>
      </c>
      <c r="S15" s="26">
        <v>1</v>
      </c>
      <c r="T15" s="27">
        <v>0</v>
      </c>
      <c r="U15" s="28">
        <v>0</v>
      </c>
      <c r="V15" s="28">
        <f t="shared" si="5"/>
        <v>0</v>
      </c>
      <c r="W15" s="26">
        <v>0</v>
      </c>
      <c r="X15" s="27">
        <v>0</v>
      </c>
      <c r="Y15" s="27">
        <v>0</v>
      </c>
      <c r="Z15" s="27">
        <f t="shared" si="6"/>
        <v>0</v>
      </c>
      <c r="AA15" s="26">
        <v>0</v>
      </c>
      <c r="AB15" s="27">
        <v>0</v>
      </c>
      <c r="AC15" s="27">
        <v>0</v>
      </c>
      <c r="AD15" s="27">
        <f t="shared" si="7"/>
        <v>0</v>
      </c>
      <c r="AE15" s="26">
        <v>0</v>
      </c>
      <c r="AF15" s="27">
        <v>0</v>
      </c>
      <c r="AG15" s="27">
        <v>0</v>
      </c>
      <c r="AH15" s="27">
        <f t="shared" si="8"/>
        <v>0</v>
      </c>
      <c r="AI15" s="26">
        <v>0</v>
      </c>
      <c r="AJ15" s="27">
        <v>0</v>
      </c>
      <c r="AK15" s="27">
        <v>0</v>
      </c>
      <c r="AL15" s="27">
        <f t="shared" si="9"/>
        <v>0</v>
      </c>
      <c r="AM15" s="26">
        <v>0</v>
      </c>
      <c r="AN15" s="27">
        <v>0</v>
      </c>
      <c r="AO15" s="27">
        <v>0</v>
      </c>
      <c r="AP15" s="27">
        <f t="shared" si="10"/>
        <v>0</v>
      </c>
      <c r="AQ15" s="26">
        <v>0</v>
      </c>
      <c r="AR15" s="27">
        <v>1</v>
      </c>
      <c r="AS15" s="28">
        <v>0</v>
      </c>
      <c r="AT15" s="28">
        <f t="shared" si="11"/>
        <v>1</v>
      </c>
      <c r="AU15" s="26">
        <v>0</v>
      </c>
      <c r="AV15" s="27">
        <v>0</v>
      </c>
      <c r="AW15" s="28">
        <v>0</v>
      </c>
      <c r="AX15" s="28">
        <f t="shared" si="12"/>
        <v>0</v>
      </c>
      <c r="AY15" s="26">
        <v>1</v>
      </c>
      <c r="AZ15" s="27">
        <v>1</v>
      </c>
      <c r="BA15" s="28">
        <v>1</v>
      </c>
      <c r="BB15" s="28">
        <f t="shared" si="13"/>
        <v>0</v>
      </c>
      <c r="BC15" s="26">
        <v>0</v>
      </c>
      <c r="BD15" s="27">
        <v>0</v>
      </c>
      <c r="BE15" s="28">
        <v>0</v>
      </c>
      <c r="BF15" s="28">
        <f t="shared" si="14"/>
        <v>0</v>
      </c>
      <c r="BG15" s="26">
        <v>0</v>
      </c>
      <c r="BH15" s="27">
        <v>0</v>
      </c>
      <c r="BI15" s="28">
        <v>0</v>
      </c>
      <c r="BJ15" s="28">
        <f t="shared" si="15"/>
        <v>0</v>
      </c>
      <c r="BK15" s="26">
        <v>0</v>
      </c>
      <c r="BL15" s="27">
        <v>1</v>
      </c>
      <c r="BM15" s="28">
        <v>1</v>
      </c>
      <c r="BN15" s="28">
        <f t="shared" si="16"/>
        <v>0</v>
      </c>
      <c r="BO15" s="26">
        <v>0</v>
      </c>
      <c r="BP15" s="27">
        <v>0</v>
      </c>
      <c r="BQ15" s="28">
        <v>0</v>
      </c>
      <c r="BR15" s="28">
        <f t="shared" si="17"/>
        <v>0</v>
      </c>
      <c r="BS15" s="26">
        <v>0</v>
      </c>
      <c r="BT15" s="27">
        <f t="shared" si="18"/>
        <v>7</v>
      </c>
      <c r="BU15" s="28">
        <f t="shared" si="19"/>
        <v>1</v>
      </c>
      <c r="BV15" s="28">
        <f t="shared" si="20"/>
        <v>2</v>
      </c>
      <c r="BW15" s="28">
        <f t="shared" si="21"/>
        <v>0.875</v>
      </c>
      <c r="BX15" s="28">
        <f t="shared" si="22"/>
        <v>0.77777777777777779</v>
      </c>
      <c r="BY15" s="26">
        <f t="shared" si="23"/>
        <v>0.82352941176470595</v>
      </c>
      <c r="CC15" s="75" t="s">
        <v>66</v>
      </c>
      <c r="CD15">
        <f>AVERAGE(BW27:BW28)</f>
        <v>0.8529411764705882</v>
      </c>
      <c r="CE15">
        <f t="shared" ref="CE15:CF15" si="35">AVERAGE(BX27:BX28)</f>
        <v>0.82843137254901955</v>
      </c>
      <c r="CF15">
        <f t="shared" si="35"/>
        <v>0.84033613445378141</v>
      </c>
    </row>
    <row r="16" spans="1:84" x14ac:dyDescent="0.35">
      <c r="A16" s="58" t="s">
        <v>10</v>
      </c>
      <c r="B16" s="108"/>
      <c r="C16" s="26" t="s">
        <v>24</v>
      </c>
      <c r="D16" s="27">
        <v>2</v>
      </c>
      <c r="E16" s="28">
        <v>2</v>
      </c>
      <c r="F16" s="28">
        <f t="shared" si="1"/>
        <v>0</v>
      </c>
      <c r="G16" s="26">
        <v>0</v>
      </c>
      <c r="H16" s="27">
        <v>0</v>
      </c>
      <c r="I16" s="27">
        <v>0</v>
      </c>
      <c r="J16" s="27">
        <f t="shared" si="2"/>
        <v>0</v>
      </c>
      <c r="K16" s="26">
        <v>0</v>
      </c>
      <c r="L16" s="27">
        <v>0</v>
      </c>
      <c r="M16" s="27">
        <v>0</v>
      </c>
      <c r="N16" s="27">
        <f t="shared" si="3"/>
        <v>0</v>
      </c>
      <c r="O16" s="26">
        <v>0</v>
      </c>
      <c r="P16" s="27">
        <v>3</v>
      </c>
      <c r="Q16" s="28">
        <v>3</v>
      </c>
      <c r="R16" s="28">
        <f t="shared" si="4"/>
        <v>0</v>
      </c>
      <c r="S16" s="26">
        <v>1</v>
      </c>
      <c r="T16" s="27">
        <v>0</v>
      </c>
      <c r="U16" s="28">
        <v>0</v>
      </c>
      <c r="V16" s="28">
        <f t="shared" si="5"/>
        <v>0</v>
      </c>
      <c r="W16" s="26">
        <v>3</v>
      </c>
      <c r="X16" s="27">
        <v>0</v>
      </c>
      <c r="Y16" s="27">
        <v>0</v>
      </c>
      <c r="Z16" s="27">
        <v>0</v>
      </c>
      <c r="AA16" s="26">
        <v>0</v>
      </c>
      <c r="AB16" s="27">
        <v>0</v>
      </c>
      <c r="AC16" s="27">
        <v>0</v>
      </c>
      <c r="AD16" s="27">
        <f t="shared" si="7"/>
        <v>0</v>
      </c>
      <c r="AE16" s="26">
        <v>0</v>
      </c>
      <c r="AF16" s="27">
        <v>0</v>
      </c>
      <c r="AG16" s="27">
        <v>0</v>
      </c>
      <c r="AH16" s="27">
        <f t="shared" si="8"/>
        <v>0</v>
      </c>
      <c r="AI16" s="26">
        <v>0</v>
      </c>
      <c r="AJ16" s="27">
        <v>0</v>
      </c>
      <c r="AK16" s="27">
        <v>0</v>
      </c>
      <c r="AL16" s="27">
        <f t="shared" si="9"/>
        <v>0</v>
      </c>
      <c r="AM16" s="26">
        <v>0</v>
      </c>
      <c r="AN16" s="27">
        <v>0</v>
      </c>
      <c r="AO16" s="27">
        <v>0</v>
      </c>
      <c r="AP16" s="27">
        <f t="shared" si="10"/>
        <v>0</v>
      </c>
      <c r="AQ16" s="26">
        <v>0</v>
      </c>
      <c r="AR16" s="27">
        <v>1</v>
      </c>
      <c r="AS16" s="28">
        <v>0</v>
      </c>
      <c r="AT16" s="28">
        <f t="shared" si="11"/>
        <v>1</v>
      </c>
      <c r="AU16" s="26">
        <v>0</v>
      </c>
      <c r="AV16" s="27">
        <v>0</v>
      </c>
      <c r="AW16" s="28">
        <v>0</v>
      </c>
      <c r="AX16" s="28">
        <f t="shared" si="12"/>
        <v>0</v>
      </c>
      <c r="AY16" s="26">
        <v>1</v>
      </c>
      <c r="AZ16" s="27">
        <v>1</v>
      </c>
      <c r="BA16" s="28">
        <v>1</v>
      </c>
      <c r="BB16" s="28">
        <f t="shared" si="13"/>
        <v>0</v>
      </c>
      <c r="BC16" s="26">
        <v>0</v>
      </c>
      <c r="BD16" s="27">
        <v>0</v>
      </c>
      <c r="BE16" s="28">
        <v>0</v>
      </c>
      <c r="BF16" s="28">
        <f t="shared" si="14"/>
        <v>0</v>
      </c>
      <c r="BG16" s="26">
        <v>0</v>
      </c>
      <c r="BH16" s="27">
        <v>0</v>
      </c>
      <c r="BI16" s="28">
        <v>0</v>
      </c>
      <c r="BJ16" s="28">
        <f t="shared" si="15"/>
        <v>0</v>
      </c>
      <c r="BK16" s="26">
        <v>0</v>
      </c>
      <c r="BL16" s="27">
        <v>1</v>
      </c>
      <c r="BM16" s="28">
        <v>1</v>
      </c>
      <c r="BN16" s="28">
        <f t="shared" si="16"/>
        <v>0</v>
      </c>
      <c r="BO16" s="26">
        <v>0</v>
      </c>
      <c r="BP16" s="27">
        <v>0</v>
      </c>
      <c r="BQ16" s="28">
        <v>0</v>
      </c>
      <c r="BR16" s="28">
        <f t="shared" si="17"/>
        <v>0</v>
      </c>
      <c r="BS16" s="26">
        <v>0</v>
      </c>
      <c r="BT16" s="27">
        <f t="shared" si="18"/>
        <v>7</v>
      </c>
      <c r="BU16" s="28">
        <f t="shared" si="19"/>
        <v>1</v>
      </c>
      <c r="BV16" s="28">
        <f t="shared" si="20"/>
        <v>5</v>
      </c>
      <c r="BW16" s="28">
        <f t="shared" si="21"/>
        <v>0.875</v>
      </c>
      <c r="BX16" s="28">
        <f t="shared" si="22"/>
        <v>0.58333333333333337</v>
      </c>
      <c r="BY16" s="26">
        <f t="shared" si="23"/>
        <v>0.70000000000000007</v>
      </c>
      <c r="CC16" s="75" t="s">
        <v>67</v>
      </c>
      <c r="CD16">
        <f>AVERAGE(BW29:BW30)</f>
        <v>1</v>
      </c>
      <c r="CE16">
        <f t="shared" ref="CE16:CF16" si="36">AVERAGE(BX29:BX30)</f>
        <v>0.91666666666666674</v>
      </c>
      <c r="CF16">
        <f t="shared" si="36"/>
        <v>0.95454545454545459</v>
      </c>
    </row>
    <row r="17" spans="1:84" x14ac:dyDescent="0.35">
      <c r="A17" s="59" t="s">
        <v>10</v>
      </c>
      <c r="B17" s="108"/>
      <c r="C17" s="29" t="s">
        <v>25</v>
      </c>
      <c r="D17" s="30">
        <v>2</v>
      </c>
      <c r="E17" s="31">
        <v>2</v>
      </c>
      <c r="F17" s="31">
        <f t="shared" si="1"/>
        <v>0</v>
      </c>
      <c r="G17" s="29">
        <v>0</v>
      </c>
      <c r="H17" s="30">
        <v>0</v>
      </c>
      <c r="I17" s="31">
        <v>0</v>
      </c>
      <c r="J17" s="31">
        <f t="shared" si="2"/>
        <v>0</v>
      </c>
      <c r="K17" s="29">
        <v>0</v>
      </c>
      <c r="L17" s="30">
        <v>0</v>
      </c>
      <c r="M17" s="31">
        <v>0</v>
      </c>
      <c r="N17" s="31">
        <f t="shared" si="3"/>
        <v>0</v>
      </c>
      <c r="O17" s="29">
        <v>0</v>
      </c>
      <c r="P17" s="30">
        <v>3</v>
      </c>
      <c r="Q17" s="31">
        <v>3</v>
      </c>
      <c r="R17" s="31">
        <f t="shared" si="4"/>
        <v>0</v>
      </c>
      <c r="S17" s="29">
        <v>0</v>
      </c>
      <c r="T17" s="30">
        <v>0</v>
      </c>
      <c r="U17" s="31">
        <v>0</v>
      </c>
      <c r="V17" s="31">
        <f t="shared" si="5"/>
        <v>0</v>
      </c>
      <c r="W17" s="29">
        <v>3</v>
      </c>
      <c r="X17" s="30">
        <v>1</v>
      </c>
      <c r="Y17" s="31">
        <v>1</v>
      </c>
      <c r="Z17" s="31">
        <f t="shared" si="6"/>
        <v>0</v>
      </c>
      <c r="AA17" s="29">
        <v>0</v>
      </c>
      <c r="AB17" s="30">
        <v>1</v>
      </c>
      <c r="AC17" s="31">
        <v>1</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1</v>
      </c>
      <c r="AV17" s="30">
        <v>0</v>
      </c>
      <c r="AW17" s="31">
        <v>0</v>
      </c>
      <c r="AX17" s="31">
        <f t="shared" si="12"/>
        <v>0</v>
      </c>
      <c r="AY17" s="29">
        <v>0</v>
      </c>
      <c r="AZ17" s="30">
        <v>1</v>
      </c>
      <c r="BA17" s="31">
        <v>1</v>
      </c>
      <c r="BB17" s="31">
        <f t="shared" si="13"/>
        <v>0</v>
      </c>
      <c r="BC17" s="29">
        <v>0</v>
      </c>
      <c r="BD17" s="30">
        <v>0</v>
      </c>
      <c r="BE17" s="31">
        <v>0</v>
      </c>
      <c r="BF17" s="31">
        <f t="shared" si="14"/>
        <v>0</v>
      </c>
      <c r="BG17" s="29">
        <v>0</v>
      </c>
      <c r="BH17" s="30">
        <v>0</v>
      </c>
      <c r="BI17" s="31">
        <v>0</v>
      </c>
      <c r="BJ17" s="31">
        <f t="shared" si="15"/>
        <v>0</v>
      </c>
      <c r="BK17" s="29">
        <v>0</v>
      </c>
      <c r="BL17" s="30">
        <v>0</v>
      </c>
      <c r="BM17" s="31">
        <v>0</v>
      </c>
      <c r="BN17" s="31">
        <f t="shared" si="16"/>
        <v>0</v>
      </c>
      <c r="BO17" s="29">
        <v>1</v>
      </c>
      <c r="BP17" s="30">
        <v>1</v>
      </c>
      <c r="BQ17" s="31">
        <v>0</v>
      </c>
      <c r="BR17" s="31">
        <f t="shared" si="17"/>
        <v>1</v>
      </c>
      <c r="BS17" s="29">
        <v>0</v>
      </c>
      <c r="BT17" s="30">
        <f t="shared" si="18"/>
        <v>9</v>
      </c>
      <c r="BU17" s="31">
        <f t="shared" si="19"/>
        <v>1</v>
      </c>
      <c r="BV17" s="31">
        <f t="shared" si="20"/>
        <v>5</v>
      </c>
      <c r="BW17" s="31">
        <f t="shared" si="21"/>
        <v>0.9</v>
      </c>
      <c r="BX17" s="31">
        <f t="shared" si="22"/>
        <v>0.6428571428571429</v>
      </c>
      <c r="BY17" s="29">
        <f t="shared" si="23"/>
        <v>0.75</v>
      </c>
      <c r="CC17" s="75" t="s">
        <v>42</v>
      </c>
      <c r="CD17">
        <f>AVERAGE(CD3:CD16)</f>
        <v>0.91299224818132407</v>
      </c>
      <c r="CE17">
        <f t="shared" ref="CE17:CF17" si="37">AVERAGE(CE3:CE16)</f>
        <v>0.76958493462170785</v>
      </c>
      <c r="CF17">
        <f t="shared" si="37"/>
        <v>0.82740669575152948</v>
      </c>
    </row>
    <row r="18" spans="1:84" x14ac:dyDescent="0.35">
      <c r="A18" s="59" t="s">
        <v>10</v>
      </c>
      <c r="B18" s="108"/>
      <c r="C18" s="29" t="s">
        <v>26</v>
      </c>
      <c r="D18" s="30">
        <v>2</v>
      </c>
      <c r="E18" s="31">
        <v>2</v>
      </c>
      <c r="F18" s="31">
        <f t="shared" si="1"/>
        <v>0</v>
      </c>
      <c r="G18" s="29">
        <v>0</v>
      </c>
      <c r="H18" s="30">
        <v>0</v>
      </c>
      <c r="I18" s="31">
        <v>0</v>
      </c>
      <c r="J18" s="31">
        <f t="shared" si="2"/>
        <v>0</v>
      </c>
      <c r="K18" s="29">
        <v>0</v>
      </c>
      <c r="L18" s="30">
        <v>0</v>
      </c>
      <c r="M18" s="31">
        <v>0</v>
      </c>
      <c r="N18" s="31">
        <f t="shared" si="3"/>
        <v>0</v>
      </c>
      <c r="O18" s="29">
        <v>0</v>
      </c>
      <c r="P18" s="30">
        <v>3</v>
      </c>
      <c r="Q18" s="31">
        <v>3</v>
      </c>
      <c r="R18" s="31">
        <f t="shared" si="4"/>
        <v>0</v>
      </c>
      <c r="S18" s="29">
        <v>0</v>
      </c>
      <c r="T18" s="30">
        <v>0</v>
      </c>
      <c r="U18" s="31">
        <v>0</v>
      </c>
      <c r="V18" s="31">
        <f t="shared" si="5"/>
        <v>0</v>
      </c>
      <c r="W18" s="29">
        <v>3</v>
      </c>
      <c r="X18" s="30">
        <v>1</v>
      </c>
      <c r="Y18" s="31">
        <v>1</v>
      </c>
      <c r="Z18" s="31">
        <f t="shared" si="6"/>
        <v>0</v>
      </c>
      <c r="AA18" s="29">
        <v>0</v>
      </c>
      <c r="AB18" s="30">
        <v>1</v>
      </c>
      <c r="AC18" s="31">
        <v>1</v>
      </c>
      <c r="AD18" s="31">
        <f t="shared" si="7"/>
        <v>0</v>
      </c>
      <c r="AE18" s="29">
        <v>0</v>
      </c>
      <c r="AF18" s="30">
        <v>1</v>
      </c>
      <c r="AG18" s="31">
        <v>0</v>
      </c>
      <c r="AH18" s="31">
        <f t="shared" si="8"/>
        <v>1</v>
      </c>
      <c r="AI18" s="29">
        <v>0</v>
      </c>
      <c r="AJ18" s="30">
        <v>0</v>
      </c>
      <c r="AK18" s="31">
        <v>0</v>
      </c>
      <c r="AL18" s="31">
        <f t="shared" si="9"/>
        <v>0</v>
      </c>
      <c r="AM18" s="29">
        <v>0</v>
      </c>
      <c r="AN18" s="30">
        <v>0</v>
      </c>
      <c r="AO18" s="31">
        <v>0</v>
      </c>
      <c r="AP18" s="31">
        <f t="shared" si="10"/>
        <v>0</v>
      </c>
      <c r="AQ18" s="29">
        <v>1</v>
      </c>
      <c r="AR18" s="30">
        <v>0</v>
      </c>
      <c r="AS18" s="31">
        <v>0</v>
      </c>
      <c r="AT18" s="31">
        <f t="shared" si="11"/>
        <v>0</v>
      </c>
      <c r="AU18" s="29">
        <v>0</v>
      </c>
      <c r="AV18" s="30">
        <v>0</v>
      </c>
      <c r="AW18" s="31">
        <v>0</v>
      </c>
      <c r="AX18" s="31">
        <f t="shared" si="12"/>
        <v>0</v>
      </c>
      <c r="AY18" s="29">
        <v>0</v>
      </c>
      <c r="AZ18" s="30">
        <v>1</v>
      </c>
      <c r="BA18" s="31">
        <v>1</v>
      </c>
      <c r="BB18" s="31">
        <f t="shared" si="13"/>
        <v>0</v>
      </c>
      <c r="BC18" s="29">
        <v>0</v>
      </c>
      <c r="BD18" s="30">
        <v>0</v>
      </c>
      <c r="BE18" s="31">
        <v>0</v>
      </c>
      <c r="BF18" s="31">
        <f t="shared" si="14"/>
        <v>0</v>
      </c>
      <c r="BG18" s="29">
        <v>0</v>
      </c>
      <c r="BH18" s="30">
        <v>0</v>
      </c>
      <c r="BI18" s="31">
        <v>0</v>
      </c>
      <c r="BJ18" s="31">
        <f t="shared" si="15"/>
        <v>0</v>
      </c>
      <c r="BK18" s="29">
        <v>0</v>
      </c>
      <c r="BL18" s="30">
        <v>0</v>
      </c>
      <c r="BM18" s="31">
        <v>0</v>
      </c>
      <c r="BN18" s="31">
        <f>BL18-BM18</f>
        <v>0</v>
      </c>
      <c r="BO18" s="29">
        <v>0</v>
      </c>
      <c r="BP18" s="30">
        <v>1</v>
      </c>
      <c r="BQ18" s="31">
        <v>1</v>
      </c>
      <c r="BR18" s="31">
        <f t="shared" si="17"/>
        <v>0</v>
      </c>
      <c r="BS18" s="29">
        <v>0</v>
      </c>
      <c r="BT18" s="30">
        <f t="shared" si="18"/>
        <v>9</v>
      </c>
      <c r="BU18" s="31">
        <f t="shared" si="19"/>
        <v>1</v>
      </c>
      <c r="BV18" s="31">
        <f t="shared" si="20"/>
        <v>4</v>
      </c>
      <c r="BW18" s="31">
        <f t="shared" si="21"/>
        <v>0.9</v>
      </c>
      <c r="BX18" s="31">
        <f t="shared" si="22"/>
        <v>0.69230769230769229</v>
      </c>
      <c r="BY18" s="29">
        <f t="shared" si="23"/>
        <v>0.78260869565217384</v>
      </c>
    </row>
    <row r="19" spans="1:84" x14ac:dyDescent="0.35">
      <c r="A19" s="60" t="s">
        <v>10</v>
      </c>
      <c r="B19" s="108"/>
      <c r="C19" s="32" t="s">
        <v>27</v>
      </c>
      <c r="D19" s="33">
        <v>3</v>
      </c>
      <c r="E19" s="34">
        <v>3</v>
      </c>
      <c r="F19" s="34">
        <f t="shared" si="1"/>
        <v>0</v>
      </c>
      <c r="G19" s="32">
        <v>0</v>
      </c>
      <c r="H19" s="33">
        <v>0</v>
      </c>
      <c r="I19" s="34">
        <v>0</v>
      </c>
      <c r="J19" s="34">
        <f t="shared" si="2"/>
        <v>0</v>
      </c>
      <c r="K19" s="32">
        <v>0</v>
      </c>
      <c r="L19" s="33">
        <v>0</v>
      </c>
      <c r="M19" s="34">
        <v>0</v>
      </c>
      <c r="N19" s="34">
        <f t="shared" si="3"/>
        <v>0</v>
      </c>
      <c r="O19" s="32">
        <v>0</v>
      </c>
      <c r="P19" s="33">
        <v>3</v>
      </c>
      <c r="Q19" s="34">
        <v>3</v>
      </c>
      <c r="R19" s="34">
        <f t="shared" si="4"/>
        <v>0</v>
      </c>
      <c r="S19" s="32">
        <v>0</v>
      </c>
      <c r="T19" s="33">
        <v>0</v>
      </c>
      <c r="U19" s="34">
        <v>0</v>
      </c>
      <c r="V19" s="34">
        <f t="shared" si="5"/>
        <v>0</v>
      </c>
      <c r="W19" s="32">
        <v>0</v>
      </c>
      <c r="X19" s="33">
        <v>2</v>
      </c>
      <c r="Y19" s="34">
        <v>2</v>
      </c>
      <c r="Z19" s="34">
        <f t="shared" si="6"/>
        <v>0</v>
      </c>
      <c r="AA19" s="32">
        <v>0</v>
      </c>
      <c r="AB19" s="33">
        <v>2</v>
      </c>
      <c r="AC19" s="34">
        <v>2</v>
      </c>
      <c r="AD19" s="34">
        <f t="shared" si="7"/>
        <v>0</v>
      </c>
      <c r="AE19" s="32">
        <v>0</v>
      </c>
      <c r="AF19" s="33">
        <v>2</v>
      </c>
      <c r="AG19" s="34">
        <v>2</v>
      </c>
      <c r="AH19" s="34">
        <f t="shared" si="8"/>
        <v>0</v>
      </c>
      <c r="AI19" s="32">
        <v>0</v>
      </c>
      <c r="AJ19" s="33">
        <v>0</v>
      </c>
      <c r="AK19" s="34">
        <v>0</v>
      </c>
      <c r="AL19" s="34">
        <f t="shared" si="9"/>
        <v>0</v>
      </c>
      <c r="AM19" s="32">
        <v>0</v>
      </c>
      <c r="AN19" s="33">
        <v>0</v>
      </c>
      <c r="AO19" s="34">
        <v>0</v>
      </c>
      <c r="AP19" s="34">
        <f t="shared" si="10"/>
        <v>0</v>
      </c>
      <c r="AQ19" s="32">
        <v>1</v>
      </c>
      <c r="AR19" s="33">
        <v>0</v>
      </c>
      <c r="AS19" s="34">
        <v>0</v>
      </c>
      <c r="AT19" s="34">
        <f t="shared" si="11"/>
        <v>0</v>
      </c>
      <c r="AU19" s="32">
        <v>0</v>
      </c>
      <c r="AV19" s="33">
        <v>0</v>
      </c>
      <c r="AW19" s="34">
        <v>0</v>
      </c>
      <c r="AX19" s="34">
        <f t="shared" si="12"/>
        <v>0</v>
      </c>
      <c r="AY19" s="32">
        <v>0</v>
      </c>
      <c r="AZ19" s="33">
        <v>2</v>
      </c>
      <c r="BA19" s="34">
        <v>2</v>
      </c>
      <c r="BB19" s="34">
        <f t="shared" si="13"/>
        <v>0</v>
      </c>
      <c r="BC19" s="32">
        <v>0</v>
      </c>
      <c r="BD19" s="33">
        <v>0</v>
      </c>
      <c r="BE19" s="34">
        <v>0</v>
      </c>
      <c r="BF19" s="34">
        <f t="shared" si="14"/>
        <v>0</v>
      </c>
      <c r="BG19" s="32">
        <v>0</v>
      </c>
      <c r="BH19" s="33">
        <v>1</v>
      </c>
      <c r="BI19" s="34">
        <v>0</v>
      </c>
      <c r="BJ19" s="34">
        <f t="shared" si="15"/>
        <v>1</v>
      </c>
      <c r="BK19" s="32">
        <v>0</v>
      </c>
      <c r="BL19" s="33">
        <v>0</v>
      </c>
      <c r="BM19" s="34">
        <v>0</v>
      </c>
      <c r="BN19" s="34">
        <f t="shared" si="16"/>
        <v>0</v>
      </c>
      <c r="BO19" s="32">
        <v>0</v>
      </c>
      <c r="BP19" s="33">
        <v>2</v>
      </c>
      <c r="BQ19" s="34">
        <v>1</v>
      </c>
      <c r="BR19" s="34">
        <f t="shared" si="17"/>
        <v>1</v>
      </c>
      <c r="BS19" s="32">
        <v>0</v>
      </c>
      <c r="BT19" s="33">
        <f t="shared" si="18"/>
        <v>15</v>
      </c>
      <c r="BU19" s="34">
        <f t="shared" si="19"/>
        <v>2</v>
      </c>
      <c r="BV19" s="34">
        <f t="shared" si="20"/>
        <v>1</v>
      </c>
      <c r="BW19" s="34">
        <f t="shared" si="21"/>
        <v>0.88235294117647056</v>
      </c>
      <c r="BX19" s="34">
        <f t="shared" si="22"/>
        <v>0.9375</v>
      </c>
      <c r="BY19" s="32">
        <f t="shared" si="23"/>
        <v>0.90909090909090906</v>
      </c>
    </row>
    <row r="20" spans="1:84" x14ac:dyDescent="0.35">
      <c r="A20" s="60" t="s">
        <v>10</v>
      </c>
      <c r="B20" s="108"/>
      <c r="C20" s="32" t="s">
        <v>28</v>
      </c>
      <c r="D20" s="33">
        <v>3</v>
      </c>
      <c r="E20" s="34">
        <v>3</v>
      </c>
      <c r="F20" s="34">
        <f t="shared" si="1"/>
        <v>0</v>
      </c>
      <c r="G20" s="32">
        <v>0</v>
      </c>
      <c r="H20" s="33">
        <v>0</v>
      </c>
      <c r="I20" s="34">
        <v>0</v>
      </c>
      <c r="J20" s="34">
        <f t="shared" si="2"/>
        <v>0</v>
      </c>
      <c r="K20" s="32">
        <v>0</v>
      </c>
      <c r="L20" s="33">
        <v>0</v>
      </c>
      <c r="M20" s="34">
        <v>0</v>
      </c>
      <c r="N20" s="34">
        <f t="shared" si="3"/>
        <v>0</v>
      </c>
      <c r="O20" s="32">
        <v>0</v>
      </c>
      <c r="P20" s="33">
        <v>3</v>
      </c>
      <c r="Q20" s="34">
        <v>3</v>
      </c>
      <c r="R20" s="34">
        <f t="shared" si="4"/>
        <v>0</v>
      </c>
      <c r="S20" s="32">
        <v>0</v>
      </c>
      <c r="T20" s="33">
        <v>0</v>
      </c>
      <c r="U20" s="34">
        <v>0</v>
      </c>
      <c r="V20" s="34">
        <f t="shared" si="5"/>
        <v>0</v>
      </c>
      <c r="W20" s="32">
        <v>0</v>
      </c>
      <c r="X20" s="33">
        <v>2</v>
      </c>
      <c r="Y20" s="34">
        <v>2</v>
      </c>
      <c r="Z20" s="34">
        <f t="shared" si="6"/>
        <v>0</v>
      </c>
      <c r="AA20" s="32">
        <v>0</v>
      </c>
      <c r="AB20" s="33">
        <v>2</v>
      </c>
      <c r="AC20" s="34">
        <v>2</v>
      </c>
      <c r="AD20" s="34">
        <f t="shared" si="7"/>
        <v>0</v>
      </c>
      <c r="AE20" s="32">
        <v>0</v>
      </c>
      <c r="AF20" s="33">
        <v>2</v>
      </c>
      <c r="AG20" s="34">
        <v>2</v>
      </c>
      <c r="AH20" s="34">
        <f t="shared" si="8"/>
        <v>0</v>
      </c>
      <c r="AI20" s="32">
        <v>0</v>
      </c>
      <c r="AJ20" s="33">
        <v>0</v>
      </c>
      <c r="AK20" s="34">
        <v>0</v>
      </c>
      <c r="AL20" s="34">
        <f t="shared" si="9"/>
        <v>0</v>
      </c>
      <c r="AM20" s="32">
        <v>0</v>
      </c>
      <c r="AN20" s="33">
        <v>0</v>
      </c>
      <c r="AO20" s="34">
        <v>0</v>
      </c>
      <c r="AP20" s="34">
        <f t="shared" si="10"/>
        <v>0</v>
      </c>
      <c r="AQ20" s="32">
        <v>1</v>
      </c>
      <c r="AR20" s="33">
        <v>0</v>
      </c>
      <c r="AS20" s="34">
        <v>0</v>
      </c>
      <c r="AT20" s="34">
        <f t="shared" si="11"/>
        <v>0</v>
      </c>
      <c r="AU20" s="32">
        <v>1</v>
      </c>
      <c r="AV20" s="33">
        <v>0</v>
      </c>
      <c r="AW20" s="34">
        <v>0</v>
      </c>
      <c r="AX20" s="34">
        <f t="shared" si="12"/>
        <v>0</v>
      </c>
      <c r="AY20" s="32">
        <v>0</v>
      </c>
      <c r="AZ20" s="33">
        <v>2</v>
      </c>
      <c r="BA20" s="34">
        <v>2</v>
      </c>
      <c r="BB20" s="34">
        <f t="shared" si="13"/>
        <v>0</v>
      </c>
      <c r="BC20" s="32">
        <v>0</v>
      </c>
      <c r="BD20" s="33">
        <v>0</v>
      </c>
      <c r="BE20" s="34">
        <v>0</v>
      </c>
      <c r="BF20" s="34">
        <f t="shared" si="14"/>
        <v>0</v>
      </c>
      <c r="BG20" s="32">
        <v>0</v>
      </c>
      <c r="BH20" s="33">
        <v>1</v>
      </c>
      <c r="BI20" s="34">
        <v>1</v>
      </c>
      <c r="BJ20" s="34">
        <f t="shared" si="15"/>
        <v>0</v>
      </c>
      <c r="BK20" s="32">
        <v>0</v>
      </c>
      <c r="BL20" s="33">
        <v>0</v>
      </c>
      <c r="BM20" s="34">
        <v>0</v>
      </c>
      <c r="BN20" s="34">
        <f t="shared" si="16"/>
        <v>0</v>
      </c>
      <c r="BO20" s="32">
        <v>0</v>
      </c>
      <c r="BP20" s="33">
        <v>2</v>
      </c>
      <c r="BQ20" s="34">
        <v>1</v>
      </c>
      <c r="BR20" s="34">
        <f t="shared" si="17"/>
        <v>1</v>
      </c>
      <c r="BS20" s="32">
        <v>0</v>
      </c>
      <c r="BT20" s="33">
        <f t="shared" si="18"/>
        <v>16</v>
      </c>
      <c r="BU20" s="34">
        <f t="shared" si="19"/>
        <v>1</v>
      </c>
      <c r="BV20" s="34">
        <f t="shared" si="20"/>
        <v>2</v>
      </c>
      <c r="BW20" s="34">
        <f t="shared" si="21"/>
        <v>0.94117647058823528</v>
      </c>
      <c r="BX20" s="34">
        <f t="shared" si="22"/>
        <v>0.88888888888888884</v>
      </c>
      <c r="BY20" s="32">
        <f t="shared" si="23"/>
        <v>0.91428571428571426</v>
      </c>
    </row>
    <row r="21" spans="1:84" x14ac:dyDescent="0.35">
      <c r="A21" s="61" t="s">
        <v>10</v>
      </c>
      <c r="B21" s="108"/>
      <c r="C21" s="35" t="s">
        <v>29</v>
      </c>
      <c r="D21" s="36">
        <v>2</v>
      </c>
      <c r="E21" s="37">
        <v>2</v>
      </c>
      <c r="F21" s="37">
        <f t="shared" si="1"/>
        <v>0</v>
      </c>
      <c r="G21" s="35">
        <v>0</v>
      </c>
      <c r="H21" s="36">
        <v>0</v>
      </c>
      <c r="I21" s="37">
        <v>0</v>
      </c>
      <c r="J21" s="37">
        <f t="shared" si="2"/>
        <v>0</v>
      </c>
      <c r="K21" s="35">
        <v>0</v>
      </c>
      <c r="L21" s="36">
        <v>0</v>
      </c>
      <c r="M21" s="37">
        <v>0</v>
      </c>
      <c r="N21" s="37">
        <f t="shared" si="3"/>
        <v>0</v>
      </c>
      <c r="O21" s="35">
        <v>0</v>
      </c>
      <c r="P21" s="36">
        <v>3</v>
      </c>
      <c r="Q21" s="37">
        <v>3</v>
      </c>
      <c r="R21" s="37">
        <f t="shared" si="4"/>
        <v>0</v>
      </c>
      <c r="S21" s="35">
        <v>0</v>
      </c>
      <c r="T21" s="36">
        <v>0</v>
      </c>
      <c r="U21" s="37">
        <v>0</v>
      </c>
      <c r="V21" s="37">
        <f t="shared" si="5"/>
        <v>0</v>
      </c>
      <c r="W21" s="35">
        <v>3</v>
      </c>
      <c r="X21" s="36">
        <v>1</v>
      </c>
      <c r="Y21" s="37">
        <v>1</v>
      </c>
      <c r="Z21" s="37">
        <f t="shared" si="6"/>
        <v>0</v>
      </c>
      <c r="AA21" s="35">
        <v>0</v>
      </c>
      <c r="AB21" s="36">
        <v>1</v>
      </c>
      <c r="AC21" s="37">
        <v>1</v>
      </c>
      <c r="AD21" s="37">
        <f t="shared" si="7"/>
        <v>0</v>
      </c>
      <c r="AE21" s="35">
        <v>0</v>
      </c>
      <c r="AF21" s="36">
        <v>1</v>
      </c>
      <c r="AG21" s="37">
        <v>1</v>
      </c>
      <c r="AH21" s="37">
        <f t="shared" si="8"/>
        <v>0</v>
      </c>
      <c r="AI21" s="35">
        <v>0</v>
      </c>
      <c r="AJ21" s="36">
        <v>0</v>
      </c>
      <c r="AK21" s="37">
        <v>0</v>
      </c>
      <c r="AL21" s="37">
        <f t="shared" si="9"/>
        <v>0</v>
      </c>
      <c r="AM21" s="35">
        <v>0</v>
      </c>
      <c r="AN21" s="36">
        <v>0</v>
      </c>
      <c r="AO21" s="37">
        <v>0</v>
      </c>
      <c r="AP21" s="37">
        <f t="shared" si="10"/>
        <v>0</v>
      </c>
      <c r="AQ21" s="35">
        <v>1</v>
      </c>
      <c r="AR21" s="36">
        <v>0</v>
      </c>
      <c r="AS21" s="37">
        <v>0</v>
      </c>
      <c r="AT21" s="37">
        <f t="shared" si="11"/>
        <v>0</v>
      </c>
      <c r="AU21" s="35">
        <v>1</v>
      </c>
      <c r="AV21" s="36">
        <v>0</v>
      </c>
      <c r="AW21" s="37">
        <v>0</v>
      </c>
      <c r="AX21" s="37">
        <f t="shared" si="12"/>
        <v>0</v>
      </c>
      <c r="AY21" s="35">
        <v>0</v>
      </c>
      <c r="AZ21" s="36">
        <v>1</v>
      </c>
      <c r="BA21" s="37">
        <v>1</v>
      </c>
      <c r="BB21" s="37">
        <f t="shared" si="13"/>
        <v>0</v>
      </c>
      <c r="BC21" s="35">
        <v>0</v>
      </c>
      <c r="BD21" s="36">
        <v>0</v>
      </c>
      <c r="BE21" s="37">
        <v>0</v>
      </c>
      <c r="BF21" s="37">
        <f t="shared" si="14"/>
        <v>0</v>
      </c>
      <c r="BG21" s="35">
        <v>0</v>
      </c>
      <c r="BH21" s="36">
        <v>0</v>
      </c>
      <c r="BI21" s="37">
        <v>0</v>
      </c>
      <c r="BJ21" s="37">
        <f t="shared" si="15"/>
        <v>0</v>
      </c>
      <c r="BK21" s="35">
        <v>0</v>
      </c>
      <c r="BL21" s="36">
        <v>0</v>
      </c>
      <c r="BM21" s="37">
        <v>0</v>
      </c>
      <c r="BN21" s="37">
        <f t="shared" si="16"/>
        <v>0</v>
      </c>
      <c r="BO21" s="35">
        <v>0</v>
      </c>
      <c r="BP21" s="36">
        <v>1</v>
      </c>
      <c r="BQ21" s="37">
        <v>0</v>
      </c>
      <c r="BR21" s="37">
        <f t="shared" si="17"/>
        <v>1</v>
      </c>
      <c r="BS21" s="35">
        <v>0</v>
      </c>
      <c r="BT21" s="36">
        <f t="shared" si="18"/>
        <v>9</v>
      </c>
      <c r="BU21" s="37">
        <f t="shared" si="19"/>
        <v>1</v>
      </c>
      <c r="BV21" s="37">
        <f t="shared" si="20"/>
        <v>5</v>
      </c>
      <c r="BW21" s="37">
        <f t="shared" si="21"/>
        <v>0.9</v>
      </c>
      <c r="BX21" s="37">
        <f t="shared" si="22"/>
        <v>0.6428571428571429</v>
      </c>
      <c r="BY21" s="35">
        <f t="shared" si="23"/>
        <v>0.75</v>
      </c>
    </row>
    <row r="22" spans="1:84" x14ac:dyDescent="0.35">
      <c r="A22" s="61" t="s">
        <v>10</v>
      </c>
      <c r="B22" s="108"/>
      <c r="C22" s="35" t="s">
        <v>30</v>
      </c>
      <c r="D22" s="36">
        <v>2</v>
      </c>
      <c r="E22" s="37">
        <v>2</v>
      </c>
      <c r="F22" s="37">
        <f t="shared" si="1"/>
        <v>0</v>
      </c>
      <c r="G22" s="35">
        <v>0</v>
      </c>
      <c r="H22" s="36">
        <v>0</v>
      </c>
      <c r="I22" s="37">
        <v>0</v>
      </c>
      <c r="J22" s="37">
        <f t="shared" si="2"/>
        <v>0</v>
      </c>
      <c r="K22" s="35">
        <v>0</v>
      </c>
      <c r="L22" s="36">
        <v>0</v>
      </c>
      <c r="M22" s="37">
        <v>0</v>
      </c>
      <c r="N22" s="37">
        <f t="shared" si="3"/>
        <v>0</v>
      </c>
      <c r="O22" s="35">
        <v>0</v>
      </c>
      <c r="P22" s="36">
        <v>3</v>
      </c>
      <c r="Q22" s="37">
        <v>3</v>
      </c>
      <c r="R22" s="37">
        <f t="shared" si="4"/>
        <v>0</v>
      </c>
      <c r="S22" s="35">
        <v>0</v>
      </c>
      <c r="T22" s="36">
        <v>0</v>
      </c>
      <c r="U22" s="37">
        <v>0</v>
      </c>
      <c r="V22" s="37">
        <f t="shared" si="5"/>
        <v>0</v>
      </c>
      <c r="W22" s="35">
        <v>3</v>
      </c>
      <c r="X22" s="36">
        <v>1</v>
      </c>
      <c r="Y22" s="37">
        <v>1</v>
      </c>
      <c r="Z22" s="37">
        <f t="shared" si="6"/>
        <v>0</v>
      </c>
      <c r="AA22" s="35">
        <v>0</v>
      </c>
      <c r="AB22" s="36">
        <v>1</v>
      </c>
      <c r="AC22" s="37">
        <v>1</v>
      </c>
      <c r="AD22" s="37">
        <f t="shared" si="7"/>
        <v>0</v>
      </c>
      <c r="AE22" s="35">
        <v>0</v>
      </c>
      <c r="AF22" s="36">
        <v>1</v>
      </c>
      <c r="AG22" s="37">
        <v>1</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1</v>
      </c>
      <c r="AV22" s="36">
        <v>0</v>
      </c>
      <c r="AW22" s="37">
        <v>0</v>
      </c>
      <c r="AX22" s="37">
        <f t="shared" si="12"/>
        <v>0</v>
      </c>
      <c r="AY22" s="35">
        <v>0</v>
      </c>
      <c r="AZ22" s="36">
        <v>1</v>
      </c>
      <c r="BA22" s="37">
        <v>1</v>
      </c>
      <c r="BB22" s="37">
        <f t="shared" si="13"/>
        <v>0</v>
      </c>
      <c r="BC22" s="35">
        <v>0</v>
      </c>
      <c r="BD22" s="36">
        <v>0</v>
      </c>
      <c r="BE22" s="37">
        <v>0</v>
      </c>
      <c r="BF22" s="37">
        <f t="shared" si="14"/>
        <v>0</v>
      </c>
      <c r="BG22" s="35">
        <v>0</v>
      </c>
      <c r="BH22" s="36">
        <v>0</v>
      </c>
      <c r="BI22" s="37">
        <v>0</v>
      </c>
      <c r="BJ22" s="37">
        <f t="shared" si="15"/>
        <v>0</v>
      </c>
      <c r="BK22" s="35">
        <v>0</v>
      </c>
      <c r="BL22" s="36">
        <v>0</v>
      </c>
      <c r="BM22" s="37">
        <v>0</v>
      </c>
      <c r="BN22" s="37">
        <f t="shared" si="16"/>
        <v>0</v>
      </c>
      <c r="BO22" s="35">
        <v>0</v>
      </c>
      <c r="BP22" s="36">
        <v>1</v>
      </c>
      <c r="BQ22" s="37">
        <v>0</v>
      </c>
      <c r="BR22" s="37">
        <f t="shared" si="17"/>
        <v>1</v>
      </c>
      <c r="BS22" s="35">
        <v>0</v>
      </c>
      <c r="BT22" s="36">
        <f t="shared" si="18"/>
        <v>9</v>
      </c>
      <c r="BU22" s="37">
        <f t="shared" si="19"/>
        <v>1</v>
      </c>
      <c r="BV22" s="37">
        <f t="shared" si="20"/>
        <v>4</v>
      </c>
      <c r="BW22" s="37">
        <f t="shared" si="21"/>
        <v>0.9</v>
      </c>
      <c r="BX22" s="37">
        <f t="shared" si="22"/>
        <v>0.69230769230769229</v>
      </c>
      <c r="BY22" s="35">
        <f t="shared" si="23"/>
        <v>0.78260869565217384</v>
      </c>
    </row>
    <row r="23" spans="1:84" x14ac:dyDescent="0.35">
      <c r="A23" s="62" t="s">
        <v>10</v>
      </c>
      <c r="B23" s="108"/>
      <c r="C23" s="38" t="s">
        <v>31</v>
      </c>
      <c r="D23" s="39">
        <v>4</v>
      </c>
      <c r="E23" s="40">
        <v>4</v>
      </c>
      <c r="F23" s="40">
        <f t="shared" si="1"/>
        <v>0</v>
      </c>
      <c r="G23" s="38">
        <v>0</v>
      </c>
      <c r="H23" s="39">
        <v>0</v>
      </c>
      <c r="I23" s="40">
        <v>0</v>
      </c>
      <c r="J23" s="40">
        <f t="shared" si="2"/>
        <v>0</v>
      </c>
      <c r="K23" s="38">
        <v>0</v>
      </c>
      <c r="L23" s="39">
        <v>0</v>
      </c>
      <c r="M23" s="40">
        <v>0</v>
      </c>
      <c r="N23" s="40">
        <f t="shared" si="3"/>
        <v>0</v>
      </c>
      <c r="O23" s="38">
        <v>0</v>
      </c>
      <c r="P23" s="39">
        <v>0</v>
      </c>
      <c r="Q23" s="40">
        <v>0</v>
      </c>
      <c r="R23" s="40">
        <f t="shared" si="4"/>
        <v>0</v>
      </c>
      <c r="S23" s="38">
        <v>0</v>
      </c>
      <c r="T23" s="39">
        <v>0</v>
      </c>
      <c r="U23" s="40">
        <v>0</v>
      </c>
      <c r="V23" s="40">
        <f t="shared" si="5"/>
        <v>0</v>
      </c>
      <c r="W23" s="38">
        <v>0</v>
      </c>
      <c r="X23" s="39">
        <v>4</v>
      </c>
      <c r="Y23" s="40">
        <v>4</v>
      </c>
      <c r="Z23" s="40">
        <f t="shared" si="6"/>
        <v>0</v>
      </c>
      <c r="AA23" s="38">
        <v>0</v>
      </c>
      <c r="AB23" s="39">
        <v>1</v>
      </c>
      <c r="AC23" s="40">
        <v>0</v>
      </c>
      <c r="AD23" s="40">
        <f t="shared" si="7"/>
        <v>1</v>
      </c>
      <c r="AE23" s="38">
        <v>0</v>
      </c>
      <c r="AF23" s="39">
        <v>2</v>
      </c>
      <c r="AG23" s="40">
        <v>2</v>
      </c>
      <c r="AH23" s="40">
        <f t="shared" si="8"/>
        <v>0</v>
      </c>
      <c r="AI23" s="38">
        <v>2</v>
      </c>
      <c r="AJ23" s="39">
        <v>1</v>
      </c>
      <c r="AK23" s="40">
        <v>1</v>
      </c>
      <c r="AL23" s="40">
        <f t="shared" si="9"/>
        <v>0</v>
      </c>
      <c r="AM23" s="38">
        <v>0</v>
      </c>
      <c r="AN23" s="39">
        <v>1</v>
      </c>
      <c r="AO23" s="40">
        <v>1</v>
      </c>
      <c r="AP23" s="40">
        <f t="shared" si="10"/>
        <v>0</v>
      </c>
      <c r="AQ23" s="38">
        <v>0</v>
      </c>
      <c r="AR23" s="39">
        <v>0</v>
      </c>
      <c r="AS23" s="40">
        <v>0</v>
      </c>
      <c r="AT23" s="40">
        <f t="shared" si="11"/>
        <v>0</v>
      </c>
      <c r="AU23" s="38">
        <v>0</v>
      </c>
      <c r="AV23" s="39">
        <v>0</v>
      </c>
      <c r="AW23" s="40">
        <v>0</v>
      </c>
      <c r="AX23" s="40">
        <f t="shared" si="12"/>
        <v>0</v>
      </c>
      <c r="AY23" s="38">
        <v>0</v>
      </c>
      <c r="AZ23" s="39">
        <v>3</v>
      </c>
      <c r="BA23" s="40">
        <v>3</v>
      </c>
      <c r="BB23" s="40">
        <f t="shared" si="13"/>
        <v>0</v>
      </c>
      <c r="BC23" s="38">
        <v>0</v>
      </c>
      <c r="BD23" s="39">
        <v>0</v>
      </c>
      <c r="BE23" s="40">
        <v>0</v>
      </c>
      <c r="BF23" s="40">
        <f t="shared" si="14"/>
        <v>0</v>
      </c>
      <c r="BG23" s="38">
        <v>0</v>
      </c>
      <c r="BH23" s="39">
        <v>1</v>
      </c>
      <c r="BI23" s="40">
        <v>1</v>
      </c>
      <c r="BJ23" s="40">
        <f t="shared" si="15"/>
        <v>0</v>
      </c>
      <c r="BK23" s="38">
        <v>0</v>
      </c>
      <c r="BL23" s="39">
        <v>0</v>
      </c>
      <c r="BM23" s="40">
        <v>0</v>
      </c>
      <c r="BN23" s="40">
        <f t="shared" si="16"/>
        <v>0</v>
      </c>
      <c r="BO23" s="38">
        <v>0</v>
      </c>
      <c r="BP23" s="39">
        <v>1</v>
      </c>
      <c r="BQ23" s="40">
        <v>1</v>
      </c>
      <c r="BR23" s="40">
        <f t="shared" si="17"/>
        <v>0</v>
      </c>
      <c r="BS23" s="38">
        <v>0</v>
      </c>
      <c r="BT23" s="39">
        <f t="shared" si="18"/>
        <v>17</v>
      </c>
      <c r="BU23" s="40">
        <f t="shared" si="19"/>
        <v>1</v>
      </c>
      <c r="BV23" s="40">
        <f t="shared" si="20"/>
        <v>2</v>
      </c>
      <c r="BW23" s="40">
        <f t="shared" si="21"/>
        <v>0.94444444444444442</v>
      </c>
      <c r="BX23" s="40">
        <f t="shared" si="22"/>
        <v>0.89473684210526316</v>
      </c>
      <c r="BY23" s="38">
        <f t="shared" si="23"/>
        <v>0.91891891891891897</v>
      </c>
    </row>
    <row r="24" spans="1:84" x14ac:dyDescent="0.35">
      <c r="A24" s="62" t="s">
        <v>10</v>
      </c>
      <c r="B24" s="108"/>
      <c r="C24" s="38" t="s">
        <v>32</v>
      </c>
      <c r="D24" s="39">
        <v>4</v>
      </c>
      <c r="E24" s="40">
        <v>4</v>
      </c>
      <c r="F24" s="40">
        <f t="shared" si="1"/>
        <v>0</v>
      </c>
      <c r="G24" s="38">
        <v>0</v>
      </c>
      <c r="H24" s="39">
        <v>0</v>
      </c>
      <c r="I24" s="40">
        <v>0</v>
      </c>
      <c r="J24" s="40">
        <v>0</v>
      </c>
      <c r="K24" s="38">
        <v>0</v>
      </c>
      <c r="L24" s="39">
        <v>0</v>
      </c>
      <c r="M24" s="40">
        <v>0</v>
      </c>
      <c r="N24" s="40">
        <f t="shared" si="3"/>
        <v>0</v>
      </c>
      <c r="O24" s="38">
        <v>0</v>
      </c>
      <c r="P24" s="39">
        <v>0</v>
      </c>
      <c r="Q24" s="40">
        <v>0</v>
      </c>
      <c r="R24" s="40">
        <f t="shared" si="4"/>
        <v>0</v>
      </c>
      <c r="S24" s="38">
        <v>0</v>
      </c>
      <c r="T24" s="39">
        <v>0</v>
      </c>
      <c r="U24" s="40">
        <v>0</v>
      </c>
      <c r="V24" s="40">
        <f t="shared" si="5"/>
        <v>0</v>
      </c>
      <c r="W24" s="38">
        <v>0</v>
      </c>
      <c r="X24" s="39">
        <v>4</v>
      </c>
      <c r="Y24" s="40">
        <v>4</v>
      </c>
      <c r="Z24" s="40">
        <f t="shared" si="6"/>
        <v>0</v>
      </c>
      <c r="AA24" s="38">
        <v>0</v>
      </c>
      <c r="AB24" s="39">
        <v>1</v>
      </c>
      <c r="AC24" s="40">
        <v>0</v>
      </c>
      <c r="AD24" s="40">
        <f t="shared" si="7"/>
        <v>1</v>
      </c>
      <c r="AE24" s="38">
        <v>0</v>
      </c>
      <c r="AF24" s="39">
        <v>2</v>
      </c>
      <c r="AG24" s="40">
        <v>2</v>
      </c>
      <c r="AH24" s="40">
        <f t="shared" si="8"/>
        <v>0</v>
      </c>
      <c r="AI24" s="38">
        <v>2</v>
      </c>
      <c r="AJ24" s="39">
        <v>1</v>
      </c>
      <c r="AK24" s="40">
        <v>1</v>
      </c>
      <c r="AL24" s="40">
        <f t="shared" si="9"/>
        <v>0</v>
      </c>
      <c r="AM24" s="38">
        <v>0</v>
      </c>
      <c r="AN24" s="39">
        <v>1</v>
      </c>
      <c r="AO24" s="40">
        <v>1</v>
      </c>
      <c r="AP24" s="40">
        <f t="shared" si="10"/>
        <v>0</v>
      </c>
      <c r="AQ24" s="38">
        <v>0</v>
      </c>
      <c r="AR24" s="39">
        <v>0</v>
      </c>
      <c r="AS24" s="40">
        <v>0</v>
      </c>
      <c r="AT24" s="40">
        <f t="shared" si="11"/>
        <v>0</v>
      </c>
      <c r="AU24" s="38">
        <v>0</v>
      </c>
      <c r="AV24" s="39">
        <v>0</v>
      </c>
      <c r="AW24" s="40">
        <v>0</v>
      </c>
      <c r="AX24" s="40">
        <f t="shared" si="12"/>
        <v>0</v>
      </c>
      <c r="AY24" s="38">
        <v>0</v>
      </c>
      <c r="AZ24" s="39">
        <v>3</v>
      </c>
      <c r="BA24" s="40">
        <v>2</v>
      </c>
      <c r="BB24" s="40">
        <f t="shared" si="13"/>
        <v>1</v>
      </c>
      <c r="BC24" s="38">
        <v>0</v>
      </c>
      <c r="BD24" s="39">
        <v>0</v>
      </c>
      <c r="BE24" s="40">
        <v>0</v>
      </c>
      <c r="BF24" s="40">
        <f t="shared" si="14"/>
        <v>0</v>
      </c>
      <c r="BG24" s="38">
        <v>0</v>
      </c>
      <c r="BH24" s="39">
        <v>1</v>
      </c>
      <c r="BI24" s="40">
        <v>1</v>
      </c>
      <c r="BJ24" s="40">
        <f t="shared" si="15"/>
        <v>0</v>
      </c>
      <c r="BK24" s="38">
        <v>0</v>
      </c>
      <c r="BL24" s="39">
        <v>0</v>
      </c>
      <c r="BM24" s="40">
        <v>0</v>
      </c>
      <c r="BN24" s="40">
        <f t="shared" si="16"/>
        <v>0</v>
      </c>
      <c r="BO24" s="38">
        <v>0</v>
      </c>
      <c r="BP24" s="39">
        <v>1</v>
      </c>
      <c r="BQ24" s="40">
        <v>0</v>
      </c>
      <c r="BR24" s="40">
        <f t="shared" si="17"/>
        <v>1</v>
      </c>
      <c r="BS24" s="38">
        <v>0</v>
      </c>
      <c r="BT24" s="39">
        <f t="shared" si="18"/>
        <v>15</v>
      </c>
      <c r="BU24" s="40">
        <f t="shared" si="19"/>
        <v>3</v>
      </c>
      <c r="BV24" s="40">
        <f t="shared" si="20"/>
        <v>2</v>
      </c>
      <c r="BW24" s="40">
        <f t="shared" si="21"/>
        <v>0.83333333333333337</v>
      </c>
      <c r="BX24" s="40">
        <f t="shared" si="22"/>
        <v>0.88235294117647056</v>
      </c>
      <c r="BY24" s="38">
        <f t="shared" si="23"/>
        <v>0.8571428571428571</v>
      </c>
    </row>
    <row r="25" spans="1:84" x14ac:dyDescent="0.35">
      <c r="A25" s="63" t="s">
        <v>10</v>
      </c>
      <c r="B25" s="108"/>
      <c r="C25" s="41" t="s">
        <v>33</v>
      </c>
      <c r="D25" s="42">
        <v>1</v>
      </c>
      <c r="E25" s="43">
        <v>1</v>
      </c>
      <c r="F25" s="43">
        <f t="shared" si="1"/>
        <v>0</v>
      </c>
      <c r="G25" s="41">
        <v>0</v>
      </c>
      <c r="H25" s="42">
        <v>0</v>
      </c>
      <c r="I25" s="43">
        <v>0</v>
      </c>
      <c r="J25" s="43">
        <f t="shared" si="2"/>
        <v>0</v>
      </c>
      <c r="K25" s="41">
        <v>0</v>
      </c>
      <c r="L25" s="42">
        <v>0</v>
      </c>
      <c r="M25" s="43">
        <v>0</v>
      </c>
      <c r="N25" s="43">
        <f t="shared" si="3"/>
        <v>0</v>
      </c>
      <c r="O25" s="41">
        <v>0</v>
      </c>
      <c r="P25" s="42">
        <v>0</v>
      </c>
      <c r="Q25" s="43">
        <v>0</v>
      </c>
      <c r="R25" s="43">
        <f t="shared" si="4"/>
        <v>0</v>
      </c>
      <c r="S25" s="41">
        <v>0</v>
      </c>
      <c r="T25" s="42">
        <v>0</v>
      </c>
      <c r="U25" s="43">
        <v>0</v>
      </c>
      <c r="V25" s="43">
        <f t="shared" si="5"/>
        <v>0</v>
      </c>
      <c r="W25" s="41">
        <v>0</v>
      </c>
      <c r="X25" s="42">
        <v>2</v>
      </c>
      <c r="Y25" s="43">
        <v>2</v>
      </c>
      <c r="Z25" s="43">
        <f t="shared" si="6"/>
        <v>0</v>
      </c>
      <c r="AA25" s="41">
        <v>0</v>
      </c>
      <c r="AB25" s="42">
        <v>0</v>
      </c>
      <c r="AC25" s="43">
        <v>0</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0</v>
      </c>
      <c r="AS25" s="43">
        <v>0</v>
      </c>
      <c r="AT25" s="43">
        <f t="shared" si="11"/>
        <v>0</v>
      </c>
      <c r="AU25" s="41">
        <v>0</v>
      </c>
      <c r="AV25" s="42">
        <v>0</v>
      </c>
      <c r="AW25" s="43">
        <v>0</v>
      </c>
      <c r="AX25" s="43">
        <f t="shared" si="12"/>
        <v>0</v>
      </c>
      <c r="AY25" s="41">
        <v>0</v>
      </c>
      <c r="AZ25" s="42">
        <v>0</v>
      </c>
      <c r="BA25" s="43">
        <v>0</v>
      </c>
      <c r="BB25" s="43">
        <f t="shared" si="13"/>
        <v>0</v>
      </c>
      <c r="BC25" s="41">
        <v>0</v>
      </c>
      <c r="BD25" s="42">
        <v>2</v>
      </c>
      <c r="BE25" s="43">
        <v>1</v>
      </c>
      <c r="BF25" s="43">
        <f t="shared" si="14"/>
        <v>1</v>
      </c>
      <c r="BG25" s="41">
        <v>0</v>
      </c>
      <c r="BH25" s="42">
        <v>0</v>
      </c>
      <c r="BI25" s="43">
        <v>0</v>
      </c>
      <c r="BJ25" s="43">
        <f t="shared" si="15"/>
        <v>0</v>
      </c>
      <c r="BK25" s="41">
        <v>0</v>
      </c>
      <c r="BL25" s="42">
        <v>0</v>
      </c>
      <c r="BM25" s="43">
        <v>0</v>
      </c>
      <c r="BN25" s="43">
        <f t="shared" si="16"/>
        <v>0</v>
      </c>
      <c r="BO25" s="41">
        <v>0</v>
      </c>
      <c r="BP25" s="42">
        <v>0</v>
      </c>
      <c r="BQ25" s="43">
        <v>0</v>
      </c>
      <c r="BR25" s="43">
        <f t="shared" si="17"/>
        <v>0</v>
      </c>
      <c r="BS25" s="41">
        <v>0</v>
      </c>
      <c r="BT25" s="42">
        <f t="shared" si="18"/>
        <v>6</v>
      </c>
      <c r="BU25" s="43">
        <f t="shared" si="19"/>
        <v>1</v>
      </c>
      <c r="BV25" s="43">
        <f t="shared" si="20"/>
        <v>0</v>
      </c>
      <c r="BW25" s="43">
        <f t="shared" si="21"/>
        <v>0.8571428571428571</v>
      </c>
      <c r="BX25" s="43">
        <f t="shared" si="22"/>
        <v>1</v>
      </c>
      <c r="BY25" s="41">
        <f t="shared" si="23"/>
        <v>0.92307692307692302</v>
      </c>
    </row>
    <row r="26" spans="1:84" x14ac:dyDescent="0.35">
      <c r="A26" s="63" t="s">
        <v>10</v>
      </c>
      <c r="B26" s="108"/>
      <c r="C26" s="41" t="s">
        <v>34</v>
      </c>
      <c r="D26" s="42">
        <v>1</v>
      </c>
      <c r="E26" s="43">
        <v>1</v>
      </c>
      <c r="F26" s="43">
        <f t="shared" si="1"/>
        <v>0</v>
      </c>
      <c r="G26" s="41">
        <v>0</v>
      </c>
      <c r="H26" s="42">
        <v>0</v>
      </c>
      <c r="I26" s="43">
        <v>0</v>
      </c>
      <c r="J26" s="43">
        <f t="shared" si="2"/>
        <v>0</v>
      </c>
      <c r="K26" s="41">
        <v>0</v>
      </c>
      <c r="L26" s="42">
        <v>0</v>
      </c>
      <c r="M26" s="43">
        <v>0</v>
      </c>
      <c r="N26" s="43">
        <f t="shared" si="3"/>
        <v>0</v>
      </c>
      <c r="O26" s="41">
        <v>0</v>
      </c>
      <c r="P26" s="42">
        <v>0</v>
      </c>
      <c r="Q26" s="43">
        <v>0</v>
      </c>
      <c r="R26" s="43">
        <f t="shared" si="4"/>
        <v>0</v>
      </c>
      <c r="S26" s="41">
        <v>0</v>
      </c>
      <c r="T26" s="42">
        <v>0</v>
      </c>
      <c r="U26" s="43">
        <v>0</v>
      </c>
      <c r="V26" s="43">
        <f t="shared" si="5"/>
        <v>0</v>
      </c>
      <c r="W26" s="41">
        <v>0</v>
      </c>
      <c r="X26" s="42">
        <v>2</v>
      </c>
      <c r="Y26" s="43">
        <v>2</v>
      </c>
      <c r="Z26" s="43">
        <f t="shared" si="6"/>
        <v>0</v>
      </c>
      <c r="AA26" s="41">
        <v>0</v>
      </c>
      <c r="AB26" s="42">
        <v>0</v>
      </c>
      <c r="AC26" s="43">
        <v>0</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0</v>
      </c>
      <c r="AS26" s="43">
        <v>0</v>
      </c>
      <c r="AT26" s="43">
        <f t="shared" si="11"/>
        <v>0</v>
      </c>
      <c r="AU26" s="41">
        <v>0</v>
      </c>
      <c r="AV26" s="42">
        <v>0</v>
      </c>
      <c r="AW26" s="43">
        <v>0</v>
      </c>
      <c r="AX26" s="43">
        <f t="shared" si="12"/>
        <v>0</v>
      </c>
      <c r="AY26" s="41">
        <v>0</v>
      </c>
      <c r="AZ26" s="42">
        <v>0</v>
      </c>
      <c r="BA26" s="43">
        <v>0</v>
      </c>
      <c r="BB26" s="43">
        <f t="shared" si="13"/>
        <v>0</v>
      </c>
      <c r="BC26" s="41">
        <v>0</v>
      </c>
      <c r="BD26" s="42">
        <v>2</v>
      </c>
      <c r="BE26" s="43">
        <v>1</v>
      </c>
      <c r="BF26" s="43">
        <f t="shared" si="14"/>
        <v>1</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6</v>
      </c>
      <c r="BU26" s="43">
        <f t="shared" si="19"/>
        <v>1</v>
      </c>
      <c r="BV26" s="43">
        <f t="shared" si="20"/>
        <v>0</v>
      </c>
      <c r="BW26" s="43">
        <f t="shared" si="21"/>
        <v>0.8571428571428571</v>
      </c>
      <c r="BX26" s="43">
        <f t="shared" si="22"/>
        <v>1</v>
      </c>
      <c r="BY26" s="41">
        <f t="shared" si="23"/>
        <v>0.92307692307692302</v>
      </c>
    </row>
    <row r="27" spans="1:84" x14ac:dyDescent="0.35">
      <c r="A27" s="47" t="s">
        <v>10</v>
      </c>
      <c r="B27" s="108"/>
      <c r="C27" s="44" t="s">
        <v>35</v>
      </c>
      <c r="D27" s="45">
        <v>2</v>
      </c>
      <c r="E27" s="46">
        <v>2</v>
      </c>
      <c r="F27" s="46">
        <f t="shared" si="1"/>
        <v>0</v>
      </c>
      <c r="G27" s="44">
        <v>0</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0</v>
      </c>
      <c r="AB27" s="45">
        <v>0</v>
      </c>
      <c r="AC27" s="46">
        <v>0</v>
      </c>
      <c r="AD27" s="46">
        <f t="shared" si="7"/>
        <v>0</v>
      </c>
      <c r="AE27" s="44">
        <v>0</v>
      </c>
      <c r="AF27" s="45">
        <v>3</v>
      </c>
      <c r="AG27" s="46">
        <v>3</v>
      </c>
      <c r="AH27" s="46">
        <f t="shared" si="8"/>
        <v>0</v>
      </c>
      <c r="AI27" s="44">
        <v>0</v>
      </c>
      <c r="AJ27" s="45">
        <v>0</v>
      </c>
      <c r="AK27" s="46">
        <v>0</v>
      </c>
      <c r="AL27" s="46">
        <f t="shared" si="9"/>
        <v>0</v>
      </c>
      <c r="AM27" s="44">
        <v>0</v>
      </c>
      <c r="AN27" s="45">
        <v>0</v>
      </c>
      <c r="AO27" s="46">
        <v>0</v>
      </c>
      <c r="AP27" s="46">
        <f t="shared" si="10"/>
        <v>0</v>
      </c>
      <c r="AQ27" s="44">
        <v>0</v>
      </c>
      <c r="AR27" s="45">
        <v>0</v>
      </c>
      <c r="AS27" s="46">
        <v>0</v>
      </c>
      <c r="AT27" s="46">
        <f t="shared" si="11"/>
        <v>0</v>
      </c>
      <c r="AU27" s="44">
        <v>1</v>
      </c>
      <c r="AV27" s="45">
        <v>1</v>
      </c>
      <c r="AW27" s="46">
        <v>0</v>
      </c>
      <c r="AX27" s="46">
        <f t="shared" si="12"/>
        <v>1</v>
      </c>
      <c r="AY27" s="44">
        <v>1</v>
      </c>
      <c r="AZ27" s="45">
        <v>1</v>
      </c>
      <c r="BA27" s="46">
        <v>1</v>
      </c>
      <c r="BB27" s="46">
        <f t="shared" si="13"/>
        <v>0</v>
      </c>
      <c r="BC27" s="44">
        <v>1</v>
      </c>
      <c r="BD27" s="45">
        <v>0</v>
      </c>
      <c r="BE27" s="46">
        <v>0</v>
      </c>
      <c r="BF27" s="46">
        <f t="shared" si="14"/>
        <v>0</v>
      </c>
      <c r="BG27" s="44">
        <v>0</v>
      </c>
      <c r="BH27" s="45">
        <v>0</v>
      </c>
      <c r="BI27" s="46">
        <v>0</v>
      </c>
      <c r="BJ27" s="46">
        <f t="shared" si="15"/>
        <v>0</v>
      </c>
      <c r="BK27" s="44">
        <v>0</v>
      </c>
      <c r="BL27" s="45">
        <v>1</v>
      </c>
      <c r="BM27" s="46">
        <v>0</v>
      </c>
      <c r="BN27" s="46">
        <f t="shared" si="16"/>
        <v>1</v>
      </c>
      <c r="BO27" s="44">
        <v>0</v>
      </c>
      <c r="BP27" s="45">
        <v>0</v>
      </c>
      <c r="BQ27" s="46">
        <v>0</v>
      </c>
      <c r="BR27" s="46">
        <f t="shared" si="17"/>
        <v>0</v>
      </c>
      <c r="BS27" s="44">
        <v>0</v>
      </c>
      <c r="BT27" s="45">
        <f t="shared" si="18"/>
        <v>15</v>
      </c>
      <c r="BU27" s="46">
        <f t="shared" si="19"/>
        <v>2</v>
      </c>
      <c r="BV27" s="46">
        <f t="shared" si="20"/>
        <v>3</v>
      </c>
      <c r="BW27" s="46">
        <f t="shared" si="21"/>
        <v>0.88235294117647056</v>
      </c>
      <c r="BX27" s="46">
        <f t="shared" si="22"/>
        <v>0.83333333333333337</v>
      </c>
      <c r="BY27" s="44">
        <f t="shared" si="23"/>
        <v>0.8571428571428571</v>
      </c>
    </row>
    <row r="28" spans="1:84" x14ac:dyDescent="0.35">
      <c r="A28" s="47" t="s">
        <v>10</v>
      </c>
      <c r="B28" s="108"/>
      <c r="C28" s="44" t="s">
        <v>36</v>
      </c>
      <c r="D28" s="45">
        <v>2</v>
      </c>
      <c r="E28" s="46">
        <v>2</v>
      </c>
      <c r="F28" s="46">
        <f t="shared" si="1"/>
        <v>0</v>
      </c>
      <c r="G28" s="44">
        <v>0</v>
      </c>
      <c r="H28" s="45">
        <v>2</v>
      </c>
      <c r="I28" s="46">
        <v>2</v>
      </c>
      <c r="J28" s="46">
        <f t="shared" si="2"/>
        <v>0</v>
      </c>
      <c r="K28" s="44">
        <v>0</v>
      </c>
      <c r="L28" s="45">
        <v>2</v>
      </c>
      <c r="M28" s="46">
        <v>2</v>
      </c>
      <c r="N28" s="46">
        <f t="shared" si="3"/>
        <v>0</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3</v>
      </c>
      <c r="AG28" s="46">
        <v>3</v>
      </c>
      <c r="AH28" s="46">
        <f t="shared" si="8"/>
        <v>0</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1</v>
      </c>
      <c r="AW28" s="46">
        <v>0</v>
      </c>
      <c r="AX28" s="46">
        <f t="shared" si="12"/>
        <v>1</v>
      </c>
      <c r="AY28" s="44">
        <v>1</v>
      </c>
      <c r="AZ28" s="45">
        <v>1</v>
      </c>
      <c r="BA28" s="46">
        <v>0</v>
      </c>
      <c r="BB28" s="46">
        <f t="shared" si="13"/>
        <v>1</v>
      </c>
      <c r="BC28" s="44">
        <v>1</v>
      </c>
      <c r="BD28" s="45">
        <v>0</v>
      </c>
      <c r="BE28" s="46">
        <v>0</v>
      </c>
      <c r="BF28" s="46">
        <f t="shared" si="14"/>
        <v>0</v>
      </c>
      <c r="BG28" s="44">
        <v>0</v>
      </c>
      <c r="BH28" s="45">
        <v>0</v>
      </c>
      <c r="BI28" s="46">
        <v>0</v>
      </c>
      <c r="BJ28" s="46">
        <f t="shared" si="15"/>
        <v>0</v>
      </c>
      <c r="BK28" s="44">
        <v>0</v>
      </c>
      <c r="BL28" s="45">
        <v>1</v>
      </c>
      <c r="BM28" s="46">
        <v>0</v>
      </c>
      <c r="BN28" s="46">
        <f t="shared" si="16"/>
        <v>1</v>
      </c>
      <c r="BO28" s="44">
        <v>1</v>
      </c>
      <c r="BP28" s="45">
        <v>0</v>
      </c>
      <c r="BQ28" s="46">
        <v>0</v>
      </c>
      <c r="BR28" s="46">
        <f t="shared" si="17"/>
        <v>0</v>
      </c>
      <c r="BS28" s="44">
        <v>0</v>
      </c>
      <c r="BT28" s="45">
        <f t="shared" si="18"/>
        <v>14</v>
      </c>
      <c r="BU28" s="46">
        <f t="shared" si="19"/>
        <v>3</v>
      </c>
      <c r="BV28" s="46">
        <f t="shared" si="20"/>
        <v>3</v>
      </c>
      <c r="BW28" s="46">
        <f t="shared" si="21"/>
        <v>0.82352941176470584</v>
      </c>
      <c r="BX28" s="46">
        <f t="shared" si="22"/>
        <v>0.82352941176470584</v>
      </c>
      <c r="BY28" s="44">
        <f t="shared" si="23"/>
        <v>0.82352941176470584</v>
      </c>
    </row>
    <row r="29" spans="1:84" x14ac:dyDescent="0.35">
      <c r="A29" s="64" t="s">
        <v>10</v>
      </c>
      <c r="B29" s="108"/>
      <c r="C29" s="48" t="s">
        <v>37</v>
      </c>
      <c r="D29" s="49">
        <v>1</v>
      </c>
      <c r="E29" s="50">
        <v>1</v>
      </c>
      <c r="F29" s="50">
        <f t="shared" si="1"/>
        <v>0</v>
      </c>
      <c r="G29" s="48">
        <v>0</v>
      </c>
      <c r="H29" s="49">
        <v>0</v>
      </c>
      <c r="I29" s="50">
        <v>0</v>
      </c>
      <c r="J29" s="50">
        <f t="shared" si="2"/>
        <v>0</v>
      </c>
      <c r="K29" s="48">
        <v>0</v>
      </c>
      <c r="L29" s="49">
        <v>0</v>
      </c>
      <c r="M29" s="50">
        <v>0</v>
      </c>
      <c r="N29" s="50">
        <f t="shared" si="3"/>
        <v>0</v>
      </c>
      <c r="O29" s="48">
        <v>0</v>
      </c>
      <c r="P29" s="49">
        <v>4</v>
      </c>
      <c r="Q29" s="50">
        <v>4</v>
      </c>
      <c r="R29" s="50">
        <f t="shared" si="4"/>
        <v>0</v>
      </c>
      <c r="S29" s="48">
        <v>0</v>
      </c>
      <c r="T29" s="49">
        <v>3</v>
      </c>
      <c r="U29" s="50">
        <v>3</v>
      </c>
      <c r="V29" s="50">
        <f t="shared" si="5"/>
        <v>0</v>
      </c>
      <c r="W29" s="48">
        <v>0</v>
      </c>
      <c r="X29" s="49">
        <v>1</v>
      </c>
      <c r="Y29" s="50">
        <v>1</v>
      </c>
      <c r="Z29" s="50">
        <f t="shared" si="6"/>
        <v>0</v>
      </c>
      <c r="AA29" s="48">
        <v>0</v>
      </c>
      <c r="AB29" s="49">
        <v>0</v>
      </c>
      <c r="AC29" s="50">
        <v>0</v>
      </c>
      <c r="AD29" s="50">
        <f t="shared" si="7"/>
        <v>0</v>
      </c>
      <c r="AE29" s="48">
        <v>1</v>
      </c>
      <c r="AF29" s="49">
        <v>1</v>
      </c>
      <c r="AG29" s="50">
        <v>1</v>
      </c>
      <c r="AH29" s="50">
        <f t="shared" si="8"/>
        <v>0</v>
      </c>
      <c r="AI29" s="48">
        <v>0</v>
      </c>
      <c r="AJ29" s="49">
        <v>0</v>
      </c>
      <c r="AK29" s="50">
        <v>0</v>
      </c>
      <c r="AL29" s="50">
        <f t="shared" si="9"/>
        <v>0</v>
      </c>
      <c r="AM29" s="48">
        <v>0</v>
      </c>
      <c r="AN29" s="49">
        <v>0</v>
      </c>
      <c r="AO29" s="50">
        <v>0</v>
      </c>
      <c r="AP29" s="50">
        <f t="shared" si="10"/>
        <v>0</v>
      </c>
      <c r="AQ29" s="48">
        <v>0</v>
      </c>
      <c r="AR29" s="49">
        <v>0</v>
      </c>
      <c r="AS29" s="50">
        <v>0</v>
      </c>
      <c r="AT29" s="50">
        <f t="shared" si="11"/>
        <v>0</v>
      </c>
      <c r="AU29" s="48">
        <v>1</v>
      </c>
      <c r="AV29" s="49">
        <v>0</v>
      </c>
      <c r="AW29" s="50">
        <v>0</v>
      </c>
      <c r="AX29" s="50">
        <f t="shared" si="12"/>
        <v>0</v>
      </c>
      <c r="AY29" s="48">
        <v>0</v>
      </c>
      <c r="AZ29" s="49">
        <v>0</v>
      </c>
      <c r="BA29" s="50">
        <v>0</v>
      </c>
      <c r="BB29" s="50">
        <f t="shared" si="13"/>
        <v>0</v>
      </c>
      <c r="BC29" s="48">
        <v>0</v>
      </c>
      <c r="BD29" s="49">
        <v>0</v>
      </c>
      <c r="BE29" s="50">
        <v>0</v>
      </c>
      <c r="BF29" s="50">
        <f t="shared" si="14"/>
        <v>0</v>
      </c>
      <c r="BG29" s="48">
        <v>0</v>
      </c>
      <c r="BH29" s="49">
        <v>0</v>
      </c>
      <c r="BI29" s="50">
        <v>0</v>
      </c>
      <c r="BJ29" s="50">
        <f t="shared" si="15"/>
        <v>0</v>
      </c>
      <c r="BK29" s="48">
        <v>0</v>
      </c>
      <c r="BL29" s="49">
        <v>0</v>
      </c>
      <c r="BM29" s="50">
        <v>0</v>
      </c>
      <c r="BN29" s="50">
        <f t="shared" si="16"/>
        <v>0</v>
      </c>
      <c r="BO29" s="48">
        <v>0</v>
      </c>
      <c r="BP29" s="49">
        <v>0</v>
      </c>
      <c r="BQ29" s="50">
        <v>0</v>
      </c>
      <c r="BR29" s="50">
        <f t="shared" si="17"/>
        <v>0</v>
      </c>
      <c r="BS29" s="48">
        <v>0</v>
      </c>
      <c r="BT29" s="49">
        <f t="shared" si="18"/>
        <v>10</v>
      </c>
      <c r="BU29" s="50">
        <f t="shared" si="19"/>
        <v>0</v>
      </c>
      <c r="BV29" s="50">
        <f t="shared" si="20"/>
        <v>2</v>
      </c>
      <c r="BW29" s="50">
        <f t="shared" si="21"/>
        <v>1</v>
      </c>
      <c r="BX29" s="50">
        <f t="shared" si="22"/>
        <v>0.83333333333333337</v>
      </c>
      <c r="BY29" s="48">
        <f t="shared" si="23"/>
        <v>0.90909090909090906</v>
      </c>
    </row>
    <row r="30" spans="1:84" ht="15" thickBot="1" x14ac:dyDescent="0.4">
      <c r="A30" s="50" t="s">
        <v>10</v>
      </c>
      <c r="B30" s="108"/>
      <c r="C30" s="72" t="s">
        <v>38</v>
      </c>
      <c r="D30" s="73">
        <v>1</v>
      </c>
      <c r="E30" s="74">
        <v>1</v>
      </c>
      <c r="F30" s="74">
        <f t="shared" si="1"/>
        <v>0</v>
      </c>
      <c r="G30" s="72">
        <v>0</v>
      </c>
      <c r="H30" s="73">
        <v>0</v>
      </c>
      <c r="I30" s="74">
        <v>0</v>
      </c>
      <c r="J30" s="74">
        <f t="shared" si="2"/>
        <v>0</v>
      </c>
      <c r="K30" s="72">
        <v>0</v>
      </c>
      <c r="L30" s="73">
        <v>0</v>
      </c>
      <c r="M30" s="74">
        <v>0</v>
      </c>
      <c r="N30" s="74">
        <f t="shared" si="3"/>
        <v>0</v>
      </c>
      <c r="O30" s="72">
        <v>0</v>
      </c>
      <c r="P30" s="73">
        <v>4</v>
      </c>
      <c r="Q30" s="74">
        <v>4</v>
      </c>
      <c r="R30" s="74">
        <f t="shared" si="4"/>
        <v>0</v>
      </c>
      <c r="S30" s="72">
        <v>0</v>
      </c>
      <c r="T30" s="73">
        <v>3</v>
      </c>
      <c r="U30" s="74">
        <v>3</v>
      </c>
      <c r="V30" s="74">
        <f t="shared" si="5"/>
        <v>0</v>
      </c>
      <c r="W30" s="72">
        <v>0</v>
      </c>
      <c r="X30" s="73">
        <v>1</v>
      </c>
      <c r="Y30" s="74">
        <v>1</v>
      </c>
      <c r="Z30" s="74">
        <f t="shared" si="6"/>
        <v>0</v>
      </c>
      <c r="AA30" s="72">
        <v>0</v>
      </c>
      <c r="AB30" s="73">
        <v>0</v>
      </c>
      <c r="AC30" s="74">
        <v>0</v>
      </c>
      <c r="AD30" s="74">
        <v>0</v>
      </c>
      <c r="AE30" s="72">
        <v>0</v>
      </c>
      <c r="AF30" s="73">
        <v>1</v>
      </c>
      <c r="AG30" s="74">
        <v>1</v>
      </c>
      <c r="AH30" s="74">
        <f t="shared" si="8"/>
        <v>0</v>
      </c>
      <c r="AI30" s="72">
        <v>0</v>
      </c>
      <c r="AJ30" s="73">
        <v>0</v>
      </c>
      <c r="AK30" s="74">
        <v>0</v>
      </c>
      <c r="AL30" s="74">
        <f t="shared" si="9"/>
        <v>0</v>
      </c>
      <c r="AM30" s="72">
        <v>0</v>
      </c>
      <c r="AN30" s="73">
        <v>0</v>
      </c>
      <c r="AO30" s="74">
        <v>0</v>
      </c>
      <c r="AP30" s="74">
        <f t="shared" si="10"/>
        <v>0</v>
      </c>
      <c r="AQ30" s="72">
        <v>0</v>
      </c>
      <c r="AR30" s="73">
        <v>0</v>
      </c>
      <c r="AS30" s="74">
        <v>0</v>
      </c>
      <c r="AT30" s="74">
        <f t="shared" si="11"/>
        <v>0</v>
      </c>
      <c r="AU30" s="72">
        <v>0</v>
      </c>
      <c r="AV30" s="73">
        <v>0</v>
      </c>
      <c r="AW30" s="74">
        <v>0</v>
      </c>
      <c r="AX30" s="74">
        <f t="shared" si="12"/>
        <v>0</v>
      </c>
      <c r="AY30" s="72">
        <v>0</v>
      </c>
      <c r="AZ30" s="73">
        <v>0</v>
      </c>
      <c r="BA30" s="74">
        <v>0</v>
      </c>
      <c r="BB30" s="74">
        <f t="shared" si="13"/>
        <v>0</v>
      </c>
      <c r="BC30" s="72">
        <v>0</v>
      </c>
      <c r="BD30" s="73">
        <v>0</v>
      </c>
      <c r="BE30" s="74">
        <v>0</v>
      </c>
      <c r="BF30" s="74">
        <f t="shared" si="14"/>
        <v>0</v>
      </c>
      <c r="BG30" s="72">
        <v>0</v>
      </c>
      <c r="BH30" s="73">
        <v>0</v>
      </c>
      <c r="BI30" s="74">
        <v>0</v>
      </c>
      <c r="BJ30" s="74">
        <f t="shared" si="15"/>
        <v>0</v>
      </c>
      <c r="BK30" s="72">
        <v>0</v>
      </c>
      <c r="BL30" s="73">
        <v>0</v>
      </c>
      <c r="BM30" s="74">
        <v>0</v>
      </c>
      <c r="BN30" s="74">
        <f t="shared" si="16"/>
        <v>0</v>
      </c>
      <c r="BO30" s="72">
        <v>0</v>
      </c>
      <c r="BP30" s="73">
        <v>0</v>
      </c>
      <c r="BQ30" s="74">
        <v>0</v>
      </c>
      <c r="BR30" s="74">
        <f t="shared" si="17"/>
        <v>0</v>
      </c>
      <c r="BS30" s="72">
        <v>0</v>
      </c>
      <c r="BT30" s="73">
        <f t="shared" si="18"/>
        <v>10</v>
      </c>
      <c r="BU30" s="74">
        <f t="shared" si="19"/>
        <v>0</v>
      </c>
      <c r="BV30" s="74">
        <f t="shared" si="20"/>
        <v>0</v>
      </c>
      <c r="BW30" s="74">
        <f t="shared" si="21"/>
        <v>1</v>
      </c>
      <c r="BX30" s="74">
        <f t="shared" si="22"/>
        <v>1</v>
      </c>
      <c r="BY30" s="72">
        <f t="shared" si="23"/>
        <v>1</v>
      </c>
    </row>
    <row r="31" spans="1:84" ht="15" thickTop="1" x14ac:dyDescent="0.35">
      <c r="C31" s="4" t="s">
        <v>88</v>
      </c>
      <c r="D31" s="51">
        <f>SUM(D3:D30)</f>
        <v>74</v>
      </c>
      <c r="E31" s="51">
        <f t="shared" ref="E31:BP31" si="38">SUM(E3:E30)</f>
        <v>74</v>
      </c>
      <c r="F31" s="51">
        <f t="shared" si="38"/>
        <v>0</v>
      </c>
      <c r="G31" s="51">
        <f t="shared" si="38"/>
        <v>0</v>
      </c>
      <c r="H31" s="51">
        <f t="shared" si="38"/>
        <v>8</v>
      </c>
      <c r="I31" s="51">
        <f t="shared" si="38"/>
        <v>8</v>
      </c>
      <c r="J31" s="51">
        <f t="shared" si="38"/>
        <v>0</v>
      </c>
      <c r="K31" s="51">
        <f t="shared" si="38"/>
        <v>0</v>
      </c>
      <c r="L31" s="51">
        <f t="shared" si="38"/>
        <v>20</v>
      </c>
      <c r="M31" s="51">
        <f t="shared" si="38"/>
        <v>20</v>
      </c>
      <c r="N31" s="51">
        <f t="shared" si="38"/>
        <v>0</v>
      </c>
      <c r="O31" s="51">
        <f t="shared" si="38"/>
        <v>0</v>
      </c>
      <c r="P31" s="51">
        <f t="shared" si="38"/>
        <v>100</v>
      </c>
      <c r="Q31" s="51">
        <f t="shared" si="38"/>
        <v>100</v>
      </c>
      <c r="R31" s="51">
        <f t="shared" si="38"/>
        <v>0</v>
      </c>
      <c r="S31" s="51">
        <f t="shared" si="38"/>
        <v>7</v>
      </c>
      <c r="T31" s="51">
        <f t="shared" si="38"/>
        <v>14</v>
      </c>
      <c r="U31" s="51">
        <f t="shared" si="38"/>
        <v>14</v>
      </c>
      <c r="V31" s="51">
        <f t="shared" si="38"/>
        <v>0</v>
      </c>
      <c r="W31" s="51">
        <f t="shared" si="38"/>
        <v>75</v>
      </c>
      <c r="X31" s="51">
        <f t="shared" si="38"/>
        <v>34</v>
      </c>
      <c r="Y31" s="51">
        <f t="shared" si="38"/>
        <v>34</v>
      </c>
      <c r="Z31" s="51">
        <f t="shared" si="38"/>
        <v>0</v>
      </c>
      <c r="AA31" s="51">
        <f t="shared" si="38"/>
        <v>0</v>
      </c>
      <c r="AB31" s="51">
        <f t="shared" si="38"/>
        <v>16</v>
      </c>
      <c r="AC31" s="51">
        <f t="shared" si="38"/>
        <v>14</v>
      </c>
      <c r="AD31" s="51">
        <f t="shared" si="38"/>
        <v>2</v>
      </c>
      <c r="AE31" s="51">
        <f t="shared" si="38"/>
        <v>3</v>
      </c>
      <c r="AF31" s="51">
        <f t="shared" si="38"/>
        <v>36</v>
      </c>
      <c r="AG31" s="51">
        <f t="shared" si="38"/>
        <v>35</v>
      </c>
      <c r="AH31" s="51">
        <f t="shared" si="38"/>
        <v>1</v>
      </c>
      <c r="AI31" s="51">
        <f t="shared" si="38"/>
        <v>6</v>
      </c>
      <c r="AJ31" s="51">
        <f t="shared" si="38"/>
        <v>22</v>
      </c>
      <c r="AK31" s="51">
        <f t="shared" si="38"/>
        <v>22</v>
      </c>
      <c r="AL31" s="51">
        <f t="shared" si="38"/>
        <v>0</v>
      </c>
      <c r="AM31" s="51">
        <f t="shared" si="38"/>
        <v>0</v>
      </c>
      <c r="AN31" s="51">
        <f t="shared" si="38"/>
        <v>2</v>
      </c>
      <c r="AO31" s="51">
        <f t="shared" si="38"/>
        <v>2</v>
      </c>
      <c r="AP31" s="51">
        <f t="shared" si="38"/>
        <v>0</v>
      </c>
      <c r="AQ31" s="51">
        <f t="shared" si="38"/>
        <v>4</v>
      </c>
      <c r="AR31" s="51">
        <f t="shared" si="38"/>
        <v>8</v>
      </c>
      <c r="AS31" s="51">
        <f t="shared" si="38"/>
        <v>1</v>
      </c>
      <c r="AT31" s="51">
        <f t="shared" si="38"/>
        <v>7</v>
      </c>
      <c r="AU31" s="51">
        <f t="shared" si="38"/>
        <v>8</v>
      </c>
      <c r="AV31" s="51">
        <f t="shared" si="38"/>
        <v>4</v>
      </c>
      <c r="AW31" s="51">
        <f t="shared" si="38"/>
        <v>2</v>
      </c>
      <c r="AX31" s="51">
        <f t="shared" si="38"/>
        <v>2</v>
      </c>
      <c r="AY31" s="51">
        <f t="shared" si="38"/>
        <v>11</v>
      </c>
      <c r="AZ31" s="51">
        <f t="shared" si="38"/>
        <v>46</v>
      </c>
      <c r="BA31" s="51">
        <f t="shared" si="38"/>
        <v>44</v>
      </c>
      <c r="BB31" s="51">
        <f t="shared" si="38"/>
        <v>2</v>
      </c>
      <c r="BC31" s="51">
        <f t="shared" si="38"/>
        <v>10</v>
      </c>
      <c r="BD31" s="51">
        <f t="shared" si="38"/>
        <v>6</v>
      </c>
      <c r="BE31" s="51">
        <f t="shared" si="38"/>
        <v>4</v>
      </c>
      <c r="BF31" s="51">
        <f t="shared" si="38"/>
        <v>2</v>
      </c>
      <c r="BG31" s="51">
        <f t="shared" si="38"/>
        <v>0</v>
      </c>
      <c r="BH31" s="51">
        <f t="shared" si="38"/>
        <v>4</v>
      </c>
      <c r="BI31" s="51">
        <f t="shared" si="38"/>
        <v>3</v>
      </c>
      <c r="BJ31" s="51">
        <f t="shared" si="38"/>
        <v>1</v>
      </c>
      <c r="BK31" s="51">
        <f t="shared" si="38"/>
        <v>0</v>
      </c>
      <c r="BL31" s="51">
        <f t="shared" si="38"/>
        <v>12</v>
      </c>
      <c r="BM31" s="51">
        <f t="shared" si="38"/>
        <v>4</v>
      </c>
      <c r="BN31" s="51">
        <f t="shared" si="38"/>
        <v>8</v>
      </c>
      <c r="BO31" s="51">
        <f t="shared" si="38"/>
        <v>12</v>
      </c>
      <c r="BP31" s="51">
        <f t="shared" si="38"/>
        <v>10</v>
      </c>
      <c r="BQ31" s="51">
        <f t="shared" ref="BQ31:BS31" si="39">SUM(BQ3:BQ30)</f>
        <v>4</v>
      </c>
      <c r="BR31" s="51">
        <f t="shared" si="39"/>
        <v>6</v>
      </c>
      <c r="BS31" s="51">
        <f t="shared" si="39"/>
        <v>0</v>
      </c>
    </row>
    <row r="33" spans="3:71" x14ac:dyDescent="0.35">
      <c r="C33" s="76" t="s">
        <v>7</v>
      </c>
      <c r="D33" s="112">
        <f>IFERROR(E31/(E31+F31),"")</f>
        <v>1</v>
      </c>
      <c r="E33" s="113"/>
      <c r="F33" s="113"/>
      <c r="G33" s="114"/>
      <c r="H33" s="112">
        <f t="shared" ref="H33" si="40">IFERROR(I31/(I31+J31),"")</f>
        <v>1</v>
      </c>
      <c r="I33" s="113"/>
      <c r="J33" s="113"/>
      <c r="K33" s="114"/>
      <c r="L33" s="112">
        <f t="shared" ref="L33" si="41">IFERROR(M31/(M31+N31),"")</f>
        <v>1</v>
      </c>
      <c r="M33" s="113"/>
      <c r="N33" s="113"/>
      <c r="O33" s="114"/>
      <c r="P33" s="112">
        <f t="shared" ref="P33" si="42">IFERROR(Q31/(Q31+R31),"")</f>
        <v>1</v>
      </c>
      <c r="Q33" s="113"/>
      <c r="R33" s="113"/>
      <c r="S33" s="114"/>
      <c r="T33" s="112">
        <f t="shared" ref="T33" si="43">IFERROR(U31/(U31+V31),"")</f>
        <v>1</v>
      </c>
      <c r="U33" s="113"/>
      <c r="V33" s="113"/>
      <c r="W33" s="114"/>
      <c r="X33" s="112">
        <f t="shared" ref="X33" si="44">IFERROR(Y31/(Y31+Z31),"")</f>
        <v>1</v>
      </c>
      <c r="Y33" s="113"/>
      <c r="Z33" s="113"/>
      <c r="AA33" s="114"/>
      <c r="AB33" s="112">
        <f t="shared" ref="AB33" si="45">IFERROR(AC31/(AC31+AD31),"")</f>
        <v>0.875</v>
      </c>
      <c r="AC33" s="113"/>
      <c r="AD33" s="113"/>
      <c r="AE33" s="114"/>
      <c r="AF33" s="112">
        <f t="shared" ref="AF33" si="46">IFERROR(AG31/(AG31+AH31),"")</f>
        <v>0.97222222222222221</v>
      </c>
      <c r="AG33" s="113"/>
      <c r="AH33" s="113"/>
      <c r="AI33" s="114"/>
      <c r="AJ33" s="112">
        <f t="shared" ref="AJ33" si="47">IFERROR(AK31/(AK31+AL31),"")</f>
        <v>1</v>
      </c>
      <c r="AK33" s="113"/>
      <c r="AL33" s="113"/>
      <c r="AM33" s="114"/>
      <c r="AN33" s="112">
        <f t="shared" ref="AN33" si="48">IFERROR(AO31/(AO31+AP31),"")</f>
        <v>1</v>
      </c>
      <c r="AO33" s="113"/>
      <c r="AP33" s="113"/>
      <c r="AQ33" s="114"/>
      <c r="AR33" s="112">
        <f t="shared" ref="AR33" si="49">IFERROR(AS31/(AS31+AT31),"")</f>
        <v>0.125</v>
      </c>
      <c r="AS33" s="113"/>
      <c r="AT33" s="113"/>
      <c r="AU33" s="114"/>
      <c r="AV33" s="112">
        <f t="shared" ref="AV33" si="50">IFERROR(AW31/(AW31+AX31),"")</f>
        <v>0.5</v>
      </c>
      <c r="AW33" s="113"/>
      <c r="AX33" s="113"/>
      <c r="AY33" s="114"/>
      <c r="AZ33" s="112">
        <f t="shared" ref="AZ33" si="51">IFERROR(BA31/(BA31+BB31),"")</f>
        <v>0.95652173913043481</v>
      </c>
      <c r="BA33" s="113"/>
      <c r="BB33" s="113"/>
      <c r="BC33" s="114"/>
      <c r="BD33" s="112">
        <f t="shared" ref="BD33" si="52">IFERROR(BE31/(BE31+BF31),"")</f>
        <v>0.66666666666666663</v>
      </c>
      <c r="BE33" s="113"/>
      <c r="BF33" s="113"/>
      <c r="BG33" s="114"/>
      <c r="BH33" s="112">
        <f t="shared" ref="BH33" si="53">IFERROR(BI31/(BI31+BJ31),"")</f>
        <v>0.75</v>
      </c>
      <c r="BI33" s="113"/>
      <c r="BJ33" s="113"/>
      <c r="BK33" s="114"/>
      <c r="BL33" s="112">
        <f t="shared" ref="BL33" si="54">IFERROR(BM31/(BM31+BN31),"")</f>
        <v>0.33333333333333331</v>
      </c>
      <c r="BM33" s="113"/>
      <c r="BN33" s="113"/>
      <c r="BO33" s="114"/>
      <c r="BP33" s="112">
        <f t="shared" ref="BP33" si="55">IFERROR(BQ31/(BQ31+BR31),"")</f>
        <v>0.4</v>
      </c>
      <c r="BQ33" s="113"/>
      <c r="BR33" s="113"/>
      <c r="BS33" s="114"/>
    </row>
    <row r="34" spans="3:71" x14ac:dyDescent="0.35">
      <c r="C34" s="76" t="s">
        <v>117</v>
      </c>
      <c r="D34" s="112">
        <f>IFERROR(E31/(E31+G31),"")</f>
        <v>1</v>
      </c>
      <c r="E34" s="113"/>
      <c r="F34" s="113"/>
      <c r="G34" s="114"/>
      <c r="H34" s="112">
        <f t="shared" ref="H34" si="56">IFERROR(I31/(I31+K31),"")</f>
        <v>1</v>
      </c>
      <c r="I34" s="113"/>
      <c r="J34" s="113"/>
      <c r="K34" s="114"/>
      <c r="L34" s="112">
        <f t="shared" ref="L34" si="57">IFERROR(M31/(M31+O31),"")</f>
        <v>1</v>
      </c>
      <c r="M34" s="113"/>
      <c r="N34" s="113"/>
      <c r="O34" s="114"/>
      <c r="P34" s="112">
        <f t="shared" ref="P34" si="58">IFERROR(Q31/(Q31+S31),"")</f>
        <v>0.93457943925233644</v>
      </c>
      <c r="Q34" s="113"/>
      <c r="R34" s="113"/>
      <c r="S34" s="114"/>
      <c r="T34" s="112">
        <f t="shared" ref="T34" si="59">IFERROR(U31/(U31+W31),"")</f>
        <v>0.15730337078651685</v>
      </c>
      <c r="U34" s="113"/>
      <c r="V34" s="113"/>
      <c r="W34" s="114"/>
      <c r="X34" s="112">
        <f t="shared" ref="X34" si="60">IFERROR(Y31/(Y31+AA31),"")</f>
        <v>1</v>
      </c>
      <c r="Y34" s="113"/>
      <c r="Z34" s="113"/>
      <c r="AA34" s="114"/>
      <c r="AB34" s="112">
        <f t="shared" ref="AB34" si="61">IFERROR(AC31/(AC31+AE31),"")</f>
        <v>0.82352941176470584</v>
      </c>
      <c r="AC34" s="113"/>
      <c r="AD34" s="113"/>
      <c r="AE34" s="114"/>
      <c r="AF34" s="112">
        <f t="shared" ref="AF34" si="62">IFERROR(AG31/(AG31+AI31),"")</f>
        <v>0.85365853658536583</v>
      </c>
      <c r="AG34" s="113"/>
      <c r="AH34" s="113"/>
      <c r="AI34" s="114"/>
      <c r="AJ34" s="112">
        <f t="shared" ref="AJ34" si="63">IFERROR(AK31/(AK31+AM31),"")</f>
        <v>1</v>
      </c>
      <c r="AK34" s="113"/>
      <c r="AL34" s="113"/>
      <c r="AM34" s="114"/>
      <c r="AN34" s="112">
        <f t="shared" ref="AN34" si="64">IFERROR(AO31/(AO31+AQ31),"")</f>
        <v>0.33333333333333331</v>
      </c>
      <c r="AO34" s="113"/>
      <c r="AP34" s="113"/>
      <c r="AQ34" s="114"/>
      <c r="AR34" s="112">
        <f t="shared" ref="AR34" si="65">IFERROR(AS31/(AS31+AU31),"")</f>
        <v>0.1111111111111111</v>
      </c>
      <c r="AS34" s="113"/>
      <c r="AT34" s="113"/>
      <c r="AU34" s="114"/>
      <c r="AV34" s="112">
        <f t="shared" ref="AV34" si="66">IFERROR(AW31/(AW31+AY31),"")</f>
        <v>0.15384615384615385</v>
      </c>
      <c r="AW34" s="113"/>
      <c r="AX34" s="113"/>
      <c r="AY34" s="114"/>
      <c r="AZ34" s="112">
        <f t="shared" ref="AZ34" si="67">IFERROR(BA31/(BA31+BC31),"")</f>
        <v>0.81481481481481477</v>
      </c>
      <c r="BA34" s="113"/>
      <c r="BB34" s="113"/>
      <c r="BC34" s="114"/>
      <c r="BD34" s="112">
        <f t="shared" ref="BD34" si="68">IFERROR(BE31/(BE31+BG31),"")</f>
        <v>1</v>
      </c>
      <c r="BE34" s="113"/>
      <c r="BF34" s="113"/>
      <c r="BG34" s="114"/>
      <c r="BH34" s="112">
        <f t="shared" ref="BH34" si="69">IFERROR(BI31/(BI31+BK31),"")</f>
        <v>1</v>
      </c>
      <c r="BI34" s="113"/>
      <c r="BJ34" s="113"/>
      <c r="BK34" s="114"/>
      <c r="BL34" s="112">
        <f t="shared" ref="BL34" si="70">IFERROR(BM31/(BM31+BO31),"")</f>
        <v>0.25</v>
      </c>
      <c r="BM34" s="113"/>
      <c r="BN34" s="113"/>
      <c r="BO34" s="114"/>
      <c r="BP34" s="112">
        <f t="shared" ref="BP34" si="71">IFERROR(BQ31/(BQ31+BS31),"")</f>
        <v>1</v>
      </c>
      <c r="BQ34" s="113"/>
      <c r="BR34" s="113"/>
      <c r="BS34" s="114"/>
    </row>
    <row r="35" spans="3:71" x14ac:dyDescent="0.35">
      <c r="C35" s="76" t="s">
        <v>8</v>
      </c>
      <c r="D35" s="112">
        <f>IFERROR(2*D33*D34/(D33+D34),IF(AND(D33=0,D34=0),0,""))</f>
        <v>1</v>
      </c>
      <c r="E35" s="113"/>
      <c r="F35" s="113"/>
      <c r="G35" s="114"/>
      <c r="H35" s="112">
        <f t="shared" ref="H35" si="72">IFERROR(2*H33*H34/(H33+H34),IF(AND(H33=0,H34=0),0,""))</f>
        <v>1</v>
      </c>
      <c r="I35" s="113"/>
      <c r="J35" s="113"/>
      <c r="K35" s="114"/>
      <c r="L35" s="112">
        <f t="shared" ref="L35" si="73">IFERROR(2*L33*L34/(L33+L34),IF(AND(L33=0,L34=0),0,""))</f>
        <v>1</v>
      </c>
      <c r="M35" s="113"/>
      <c r="N35" s="113"/>
      <c r="O35" s="114"/>
      <c r="P35" s="112">
        <f t="shared" ref="P35" si="74">IFERROR(2*P33*P34/(P33+P34),IF(AND(P33=0,P34=0),0,""))</f>
        <v>0.96618357487922701</v>
      </c>
      <c r="Q35" s="113"/>
      <c r="R35" s="113"/>
      <c r="S35" s="114"/>
      <c r="T35" s="112">
        <f t="shared" ref="T35" si="75">IFERROR(2*T33*T34/(T33+T34),IF(AND(T33=0,T34=0),0,""))</f>
        <v>0.27184466019417475</v>
      </c>
      <c r="U35" s="113"/>
      <c r="V35" s="113"/>
      <c r="W35" s="114"/>
      <c r="X35" s="112">
        <f t="shared" ref="X35" si="76">IFERROR(2*X33*X34/(X33+X34),IF(AND(X33=0,X34=0),0,""))</f>
        <v>1</v>
      </c>
      <c r="Y35" s="113"/>
      <c r="Z35" s="113"/>
      <c r="AA35" s="114"/>
      <c r="AB35" s="112">
        <f t="shared" ref="AB35" si="77">IFERROR(2*AB33*AB34/(AB33+AB34),IF(AND(AB33=0,AB34=0),0,""))</f>
        <v>0.84848484848484851</v>
      </c>
      <c r="AC35" s="113"/>
      <c r="AD35" s="113"/>
      <c r="AE35" s="114"/>
      <c r="AF35" s="112">
        <f t="shared" ref="AF35" si="78">IFERROR(2*AF33*AF34/(AF33+AF34),IF(AND(AF33=0,AF34=0),0,""))</f>
        <v>0.90909090909090906</v>
      </c>
      <c r="AG35" s="113"/>
      <c r="AH35" s="113"/>
      <c r="AI35" s="114"/>
      <c r="AJ35" s="112">
        <f t="shared" ref="AJ35" si="79">IFERROR(2*AJ33*AJ34/(AJ33+AJ34),IF(AND(AJ33=0,AJ34=0),0,""))</f>
        <v>1</v>
      </c>
      <c r="AK35" s="113"/>
      <c r="AL35" s="113"/>
      <c r="AM35" s="114"/>
      <c r="AN35" s="112">
        <f t="shared" ref="AN35" si="80">IFERROR(2*AN33*AN34/(AN33+AN34),IF(AND(AN33=0,AN34=0),0,""))</f>
        <v>0.5</v>
      </c>
      <c r="AO35" s="113"/>
      <c r="AP35" s="113"/>
      <c r="AQ35" s="114"/>
      <c r="AR35" s="112">
        <f t="shared" ref="AR35" si="81">IFERROR(2*AR33*AR34/(AR33+AR34),IF(AND(AR33=0,AR34=0),0,""))</f>
        <v>0.11764705882352941</v>
      </c>
      <c r="AS35" s="113"/>
      <c r="AT35" s="113"/>
      <c r="AU35" s="114"/>
      <c r="AV35" s="112">
        <f t="shared" ref="AV35" si="82">IFERROR(2*AV33*AV34/(AV33+AV34),IF(AND(AV33=0,AV34=0),0,""))</f>
        <v>0.23529411764705882</v>
      </c>
      <c r="AW35" s="113"/>
      <c r="AX35" s="113"/>
      <c r="AY35" s="114"/>
      <c r="AZ35" s="112">
        <f t="shared" ref="AZ35" si="83">IFERROR(2*AZ33*AZ34/(AZ33+AZ34),IF(AND(AZ33=0,AZ34=0),0,""))</f>
        <v>0.88000000000000012</v>
      </c>
      <c r="BA35" s="113"/>
      <c r="BB35" s="113"/>
      <c r="BC35" s="114"/>
      <c r="BD35" s="112">
        <f t="shared" ref="BD35" si="84">IFERROR(2*BD33*BD34/(BD33+BD34),IF(AND(BD33=0,BD34=0),0,""))</f>
        <v>0.8</v>
      </c>
      <c r="BE35" s="113"/>
      <c r="BF35" s="113"/>
      <c r="BG35" s="114"/>
      <c r="BH35" s="112">
        <f t="shared" ref="BH35" si="85">IFERROR(2*BH33*BH34/(BH33+BH34),IF(AND(BH33=0,BH34=0),0,""))</f>
        <v>0.8571428571428571</v>
      </c>
      <c r="BI35" s="113"/>
      <c r="BJ35" s="113"/>
      <c r="BK35" s="114"/>
      <c r="BL35" s="112">
        <f t="shared" ref="BL35" si="86">IFERROR(2*BL33*BL34/(BL33+BL34),IF(AND(BL33=0,BL34=0),0,""))</f>
        <v>0.28571428571428575</v>
      </c>
      <c r="BM35" s="113"/>
      <c r="BN35" s="113"/>
      <c r="BO35" s="114"/>
      <c r="BP35" s="112">
        <f t="shared" ref="BP35" si="87">IFERROR(2*BP33*BP34/(BP33+BP34),IF(AND(BP33=0,BP34=0),0,""))</f>
        <v>0.57142857142857151</v>
      </c>
      <c r="BQ35" s="113"/>
      <c r="BR35" s="113"/>
      <c r="BS35" s="114"/>
    </row>
  </sheetData>
  <mergeCells count="82">
    <mergeCell ref="BL35:BO35"/>
    <mergeCell ref="BP35:BS35"/>
    <mergeCell ref="BH34:BK34"/>
    <mergeCell ref="BL34:BO34"/>
    <mergeCell ref="BP34:BS34"/>
    <mergeCell ref="D35:G35"/>
    <mergeCell ref="H35:K35"/>
    <mergeCell ref="L35:O35"/>
    <mergeCell ref="P35:S35"/>
    <mergeCell ref="T35:W35"/>
    <mergeCell ref="X35:AA35"/>
    <mergeCell ref="AB35:AE35"/>
    <mergeCell ref="AF35:AI35"/>
    <mergeCell ref="AJ35:AM35"/>
    <mergeCell ref="AN35:AQ35"/>
    <mergeCell ref="AR35:AU35"/>
    <mergeCell ref="AV35:AY35"/>
    <mergeCell ref="AZ35:BC35"/>
    <mergeCell ref="BL33:BO33"/>
    <mergeCell ref="BP33:BS33"/>
    <mergeCell ref="AR34:AU34"/>
    <mergeCell ref="AV34:AY34"/>
    <mergeCell ref="AZ34:BC34"/>
    <mergeCell ref="BD34:BG34"/>
    <mergeCell ref="AR33:AU33"/>
    <mergeCell ref="AV33:AY33"/>
    <mergeCell ref="AZ33:BC33"/>
    <mergeCell ref="BD33:BG33"/>
    <mergeCell ref="BH33:BK33"/>
    <mergeCell ref="BD35:BG35"/>
    <mergeCell ref="BH35:BK35"/>
    <mergeCell ref="D34:G34"/>
    <mergeCell ref="H34:K34"/>
    <mergeCell ref="L34:O34"/>
    <mergeCell ref="P34:S34"/>
    <mergeCell ref="T34:W34"/>
    <mergeCell ref="X34:AA34"/>
    <mergeCell ref="AB34:AE34"/>
    <mergeCell ref="AF34:AI34"/>
    <mergeCell ref="AJ34:AM34"/>
    <mergeCell ref="AN34:AQ34"/>
    <mergeCell ref="X33:AA33"/>
    <mergeCell ref="AB33:AE33"/>
    <mergeCell ref="AF33:AI33"/>
    <mergeCell ref="AJ33:AM33"/>
    <mergeCell ref="AN33:AQ33"/>
    <mergeCell ref="D33:G33"/>
    <mergeCell ref="H33:K33"/>
    <mergeCell ref="L33:O33"/>
    <mergeCell ref="P33:S33"/>
    <mergeCell ref="T33:W33"/>
    <mergeCell ref="A1:A2"/>
    <mergeCell ref="B1:B2"/>
    <mergeCell ref="C1:C2"/>
    <mergeCell ref="D1:G1"/>
    <mergeCell ref="H1:K1"/>
    <mergeCell ref="BX1:BX2"/>
    <mergeCell ref="AZ1:BC1"/>
    <mergeCell ref="BD1:BG1"/>
    <mergeCell ref="BH1:BK1"/>
    <mergeCell ref="BL1:BO1"/>
    <mergeCell ref="BP1:BS1"/>
    <mergeCell ref="B3:B30"/>
    <mergeCell ref="BT1:BT2"/>
    <mergeCell ref="BU1:BU2"/>
    <mergeCell ref="BV1:BV2"/>
    <mergeCell ref="BW1:BW2"/>
    <mergeCell ref="AF1:AI1"/>
    <mergeCell ref="AJ1:AM1"/>
    <mergeCell ref="AN1:AQ1"/>
    <mergeCell ref="AR1:AU1"/>
    <mergeCell ref="AV1:AY1"/>
    <mergeCell ref="L1:O1"/>
    <mergeCell ref="P1:S1"/>
    <mergeCell ref="T1:W1"/>
    <mergeCell ref="X1:AA1"/>
    <mergeCell ref="AB1:AE1"/>
    <mergeCell ref="CC1:CC2"/>
    <mergeCell ref="CD1:CD2"/>
    <mergeCell ref="CE1:CE2"/>
    <mergeCell ref="CF1:CF2"/>
    <mergeCell ref="BY1:BY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83DE-D294-4AE1-B60A-7A7DF4D001B4}">
  <dimension ref="A1:CF35"/>
  <sheetViews>
    <sheetView zoomScale="86" zoomScaleNormal="86" workbookViewId="0">
      <pane ySplit="2" topLeftCell="A7" activePane="bottomLeft" state="frozen"/>
      <selection activeCell="AW40" sqref="AW40"/>
      <selection pane="bottomLeft" activeCell="C34" sqref="C34"/>
    </sheetView>
  </sheetViews>
  <sheetFormatPr defaultRowHeight="14.5" x14ac:dyDescent="0.35"/>
  <cols>
    <col min="1" max="1" width="11.1796875" customWidth="1"/>
    <col min="2" max="2" width="35.26953125" customWidth="1"/>
    <col min="3" max="3" width="13.7265625" customWidth="1"/>
    <col min="4" max="4" width="7.7265625" customWidth="1"/>
    <col min="5" max="5" width="7.6328125" customWidth="1"/>
    <col min="6" max="6" width="7.26953125" customWidth="1"/>
    <col min="7" max="7" width="7.36328125" customWidth="1"/>
    <col min="8" max="8" width="6.54296875" customWidth="1"/>
    <col min="9" max="9" width="7.7265625" customWidth="1"/>
    <col min="10" max="10" width="7" customWidth="1"/>
    <col min="11" max="11" width="7.453125" customWidth="1"/>
    <col min="12" max="12" width="7.26953125" customWidth="1"/>
    <col min="13" max="13" width="7.36328125" customWidth="1"/>
    <col min="14" max="14" width="7.6328125" customWidth="1"/>
    <col min="15" max="15" width="7.81640625" customWidth="1"/>
    <col min="16" max="16" width="6" customWidth="1"/>
    <col min="17" max="17" width="5.81640625" customWidth="1"/>
    <col min="18" max="18" width="6.26953125" customWidth="1"/>
    <col min="19" max="19" width="6.6328125" customWidth="1"/>
    <col min="20" max="20" width="7.36328125" customWidth="1"/>
    <col min="21" max="21" width="6.453125" customWidth="1"/>
    <col min="22" max="22" width="6.26953125" customWidth="1"/>
    <col min="23" max="23" width="6.6328125" customWidth="1"/>
    <col min="24" max="24" width="5.81640625" customWidth="1"/>
    <col min="25" max="25" width="6.7265625" customWidth="1"/>
    <col min="26" max="26" width="6.08984375" customWidth="1"/>
    <col min="27" max="27" width="6.7265625" customWidth="1"/>
    <col min="28" max="28" width="6.26953125" customWidth="1"/>
    <col min="29" max="29" width="6.54296875" customWidth="1"/>
    <col min="30" max="30" width="6.90625" customWidth="1"/>
    <col min="31" max="31" width="7.6328125" customWidth="1"/>
    <col min="32" max="32" width="7.1796875" customWidth="1"/>
    <col min="33" max="33" width="8.54296875" customWidth="1"/>
    <col min="34" max="34" width="8.6328125" customWidth="1"/>
    <col min="35" max="35" width="7.08984375" customWidth="1"/>
    <col min="36" max="36" width="6.54296875" customWidth="1"/>
    <col min="37" max="37" width="7.08984375" customWidth="1"/>
    <col min="38" max="38" width="6.7265625" customWidth="1"/>
    <col min="39" max="39" width="7.36328125" customWidth="1"/>
    <col min="40" max="40" width="6.6328125" customWidth="1"/>
    <col min="41" max="41" width="6.81640625" customWidth="1"/>
    <col min="42" max="42" width="6.7265625" customWidth="1"/>
    <col min="43" max="43" width="6.90625" customWidth="1"/>
    <col min="44" max="44" width="6.7265625" customWidth="1"/>
    <col min="45" max="45" width="6.81640625" customWidth="1"/>
    <col min="46" max="46" width="7" customWidth="1"/>
    <col min="47" max="47" width="7.1796875" customWidth="1"/>
    <col min="48" max="48" width="9" customWidth="1"/>
    <col min="49" max="49" width="9.36328125" customWidth="1"/>
    <col min="50" max="50" width="8.6328125" customWidth="1"/>
    <col min="51" max="51" width="9.6328125" customWidth="1"/>
    <col min="52" max="52" width="7.26953125" customWidth="1"/>
    <col min="53" max="53" width="7.36328125" customWidth="1"/>
    <col min="54" max="54" width="8" customWidth="1"/>
    <col min="55" max="55" width="7.81640625" customWidth="1"/>
    <col min="56" max="56" width="6.26953125" customWidth="1"/>
    <col min="57" max="57" width="7.90625" customWidth="1"/>
    <col min="58" max="58" width="7.1796875" customWidth="1"/>
    <col min="59" max="59" width="7.453125" customWidth="1"/>
    <col min="60" max="60" width="7.36328125" customWidth="1"/>
    <col min="61" max="61" width="6.90625" customWidth="1"/>
    <col min="62" max="62" width="7.36328125" customWidth="1"/>
    <col min="63" max="63" width="7.90625" customWidth="1"/>
    <col min="64" max="64" width="6.6328125" customWidth="1"/>
    <col min="65" max="65" width="7.1796875" customWidth="1"/>
    <col min="66" max="66" width="6.54296875" customWidth="1"/>
    <col min="67" max="67" width="7.7265625" customWidth="1"/>
    <col min="68" max="68" width="6.54296875" customWidth="1"/>
    <col min="69" max="69" width="7.26953125" customWidth="1"/>
    <col min="70" max="70" width="6.90625" customWidth="1"/>
    <col min="71" max="71" width="7.7265625" customWidth="1"/>
    <col min="72" max="72" width="9" customWidth="1"/>
    <col min="76" max="76" width="12.36328125" customWidth="1"/>
    <col min="81" max="81" width="13" bestFit="1" customWidth="1"/>
    <col min="83" max="83" width="12.54296875" bestFit="1" customWidth="1"/>
  </cols>
  <sheetData>
    <row r="1" spans="1:84" ht="15.5" thickTop="1" thickBot="1" x14ac:dyDescent="0.4">
      <c r="A1" s="92" t="s">
        <v>0</v>
      </c>
      <c r="B1" s="94" t="s">
        <v>1</v>
      </c>
      <c r="C1" s="96" t="s">
        <v>2</v>
      </c>
      <c r="D1" s="98" t="s">
        <v>3</v>
      </c>
      <c r="E1" s="99"/>
      <c r="F1" s="99"/>
      <c r="G1" s="100"/>
      <c r="H1" s="101" t="s">
        <v>71</v>
      </c>
      <c r="I1" s="101"/>
      <c r="J1" s="101"/>
      <c r="K1" s="102"/>
      <c r="L1" s="92" t="s">
        <v>72</v>
      </c>
      <c r="M1" s="103"/>
      <c r="N1" s="103"/>
      <c r="O1" s="96"/>
      <c r="P1" s="92" t="s">
        <v>73</v>
      </c>
      <c r="Q1" s="103"/>
      <c r="R1" s="103"/>
      <c r="S1" s="96"/>
      <c r="T1" s="92" t="s">
        <v>74</v>
      </c>
      <c r="U1" s="103"/>
      <c r="V1" s="103"/>
      <c r="W1" s="96"/>
      <c r="X1" s="92" t="s">
        <v>75</v>
      </c>
      <c r="Y1" s="103"/>
      <c r="Z1" s="103"/>
      <c r="AA1" s="96"/>
      <c r="AB1" s="92" t="s">
        <v>76</v>
      </c>
      <c r="AC1" s="103"/>
      <c r="AD1" s="103"/>
      <c r="AE1" s="96"/>
      <c r="AF1" s="92" t="s">
        <v>77</v>
      </c>
      <c r="AG1" s="103"/>
      <c r="AH1" s="103"/>
      <c r="AI1" s="96"/>
      <c r="AJ1" s="92" t="s">
        <v>78</v>
      </c>
      <c r="AK1" s="103"/>
      <c r="AL1" s="103"/>
      <c r="AM1" s="96"/>
      <c r="AN1" s="92" t="s">
        <v>79</v>
      </c>
      <c r="AO1" s="103"/>
      <c r="AP1" s="103"/>
      <c r="AQ1" s="96"/>
      <c r="AR1" s="92" t="s">
        <v>80</v>
      </c>
      <c r="AS1" s="103"/>
      <c r="AT1" s="103"/>
      <c r="AU1" s="96"/>
      <c r="AV1" s="92" t="s">
        <v>81</v>
      </c>
      <c r="AW1" s="103"/>
      <c r="AX1" s="103"/>
      <c r="AY1" s="111"/>
      <c r="AZ1" s="104" t="s">
        <v>82</v>
      </c>
      <c r="BA1" s="101"/>
      <c r="BB1" s="101"/>
      <c r="BC1" s="102"/>
      <c r="BD1" s="92" t="s">
        <v>83</v>
      </c>
      <c r="BE1" s="103"/>
      <c r="BF1" s="103"/>
      <c r="BG1" s="96"/>
      <c r="BH1" s="92" t="s">
        <v>84</v>
      </c>
      <c r="BI1" s="103"/>
      <c r="BJ1" s="103"/>
      <c r="BK1" s="96"/>
      <c r="BL1" s="92" t="s">
        <v>85</v>
      </c>
      <c r="BM1" s="103"/>
      <c r="BN1" s="103"/>
      <c r="BO1" s="96"/>
      <c r="BP1" s="92" t="s">
        <v>86</v>
      </c>
      <c r="BQ1" s="103"/>
      <c r="BR1" s="103"/>
      <c r="BS1" s="96"/>
      <c r="BT1" s="109" t="s">
        <v>4</v>
      </c>
      <c r="BU1" s="103" t="s">
        <v>5</v>
      </c>
      <c r="BV1" s="103" t="s">
        <v>6</v>
      </c>
      <c r="BW1" s="103" t="s">
        <v>7</v>
      </c>
      <c r="BX1" s="103" t="s">
        <v>117</v>
      </c>
      <c r="BY1" s="96" t="s">
        <v>8</v>
      </c>
      <c r="CC1" s="91" t="s">
        <v>2</v>
      </c>
      <c r="CD1" s="91" t="str">
        <f>BW1</f>
        <v>Recall</v>
      </c>
      <c r="CE1" s="91" t="str">
        <f>BX1</f>
        <v>Precision</v>
      </c>
      <c r="CF1" s="91" t="str">
        <f>BY1</f>
        <v>F1</v>
      </c>
    </row>
    <row r="2" spans="1:84" ht="15.5" thickTop="1" thickBot="1" x14ac:dyDescent="0.4">
      <c r="A2" s="93"/>
      <c r="B2" s="95"/>
      <c r="C2" s="97"/>
      <c r="D2" s="5" t="s">
        <v>9</v>
      </c>
      <c r="E2" s="1" t="s">
        <v>4</v>
      </c>
      <c r="F2" s="1" t="s">
        <v>5</v>
      </c>
      <c r="G2" s="2" t="s">
        <v>6</v>
      </c>
      <c r="H2" s="1" t="s">
        <v>9</v>
      </c>
      <c r="I2" s="3" t="s">
        <v>4</v>
      </c>
      <c r="J2" s="3" t="s">
        <v>5</v>
      </c>
      <c r="K2" s="2" t="s">
        <v>6</v>
      </c>
      <c r="L2" s="1" t="s">
        <v>9</v>
      </c>
      <c r="M2" s="3" t="s">
        <v>4</v>
      </c>
      <c r="N2" s="3" t="s">
        <v>5</v>
      </c>
      <c r="O2" s="2" t="s">
        <v>6</v>
      </c>
      <c r="P2" s="1" t="s">
        <v>9</v>
      </c>
      <c r="Q2" s="3" t="s">
        <v>4</v>
      </c>
      <c r="R2" s="3" t="s">
        <v>5</v>
      </c>
      <c r="S2" s="2" t="s">
        <v>6</v>
      </c>
      <c r="T2" s="1" t="s">
        <v>9</v>
      </c>
      <c r="U2" s="3" t="s">
        <v>4</v>
      </c>
      <c r="V2" s="3" t="s">
        <v>5</v>
      </c>
      <c r="W2" s="2" t="s">
        <v>6</v>
      </c>
      <c r="X2" s="1" t="s">
        <v>9</v>
      </c>
      <c r="Y2" s="3" t="s">
        <v>4</v>
      </c>
      <c r="Z2" s="3" t="s">
        <v>5</v>
      </c>
      <c r="AA2" s="2" t="s">
        <v>6</v>
      </c>
      <c r="AB2" s="1" t="s">
        <v>9</v>
      </c>
      <c r="AC2" s="3" t="s">
        <v>4</v>
      </c>
      <c r="AD2" s="3" t="s">
        <v>5</v>
      </c>
      <c r="AE2" s="2" t="s">
        <v>6</v>
      </c>
      <c r="AF2" s="1" t="s">
        <v>9</v>
      </c>
      <c r="AG2" s="3" t="s">
        <v>4</v>
      </c>
      <c r="AH2" s="3" t="s">
        <v>5</v>
      </c>
      <c r="AI2" s="2" t="s">
        <v>6</v>
      </c>
      <c r="AJ2" s="1" t="s">
        <v>9</v>
      </c>
      <c r="AK2" s="3" t="s">
        <v>4</v>
      </c>
      <c r="AL2" s="3" t="s">
        <v>5</v>
      </c>
      <c r="AM2" s="2" t="s">
        <v>6</v>
      </c>
      <c r="AN2" s="1" t="s">
        <v>9</v>
      </c>
      <c r="AO2" s="3" t="s">
        <v>4</v>
      </c>
      <c r="AP2" s="3" t="s">
        <v>5</v>
      </c>
      <c r="AQ2" s="2" t="s">
        <v>6</v>
      </c>
      <c r="AR2" s="1" t="s">
        <v>9</v>
      </c>
      <c r="AS2" s="3" t="s">
        <v>4</v>
      </c>
      <c r="AT2" s="3" t="s">
        <v>5</v>
      </c>
      <c r="AU2" s="2" t="s">
        <v>6</v>
      </c>
      <c r="AV2" s="1" t="s">
        <v>9</v>
      </c>
      <c r="AW2" s="3" t="s">
        <v>4</v>
      </c>
      <c r="AX2" s="3" t="s">
        <v>5</v>
      </c>
      <c r="AY2" s="68" t="s">
        <v>6</v>
      </c>
      <c r="AZ2" s="66" t="s">
        <v>9</v>
      </c>
      <c r="BA2" s="67" t="s">
        <v>4</v>
      </c>
      <c r="BB2" s="67" t="s">
        <v>5</v>
      </c>
      <c r="BC2" s="68" t="s">
        <v>6</v>
      </c>
      <c r="BD2" s="5" t="s">
        <v>9</v>
      </c>
      <c r="BE2" s="3" t="s">
        <v>4</v>
      </c>
      <c r="BF2" s="3" t="s">
        <v>5</v>
      </c>
      <c r="BG2" s="2" t="s">
        <v>6</v>
      </c>
      <c r="BH2" s="1" t="s">
        <v>9</v>
      </c>
      <c r="BI2" s="3" t="s">
        <v>4</v>
      </c>
      <c r="BJ2" s="3" t="s">
        <v>5</v>
      </c>
      <c r="BK2" s="2" t="s">
        <v>6</v>
      </c>
      <c r="BL2" s="1" t="s">
        <v>9</v>
      </c>
      <c r="BM2" s="3" t="s">
        <v>4</v>
      </c>
      <c r="BN2" s="3" t="s">
        <v>5</v>
      </c>
      <c r="BO2" s="2" t="s">
        <v>6</v>
      </c>
      <c r="BP2" s="1" t="s">
        <v>9</v>
      </c>
      <c r="BQ2" s="3" t="s">
        <v>4</v>
      </c>
      <c r="BR2" s="3" t="s">
        <v>5</v>
      </c>
      <c r="BS2" s="2" t="s">
        <v>6</v>
      </c>
      <c r="BT2" s="110"/>
      <c r="BU2" s="105"/>
      <c r="BV2" s="105"/>
      <c r="BW2" s="105"/>
      <c r="BX2" s="105"/>
      <c r="BY2" s="106"/>
      <c r="CC2" s="91"/>
      <c r="CD2" s="91"/>
      <c r="CE2" s="91"/>
      <c r="CF2" s="91"/>
    </row>
    <row r="3" spans="1:84" ht="15" customHeight="1" thickTop="1" x14ac:dyDescent="0.35">
      <c r="A3" s="52" t="s">
        <v>10</v>
      </c>
      <c r="B3" s="107" t="s">
        <v>51</v>
      </c>
      <c r="C3" s="6" t="s">
        <v>11</v>
      </c>
      <c r="D3" s="7">
        <v>2</v>
      </c>
      <c r="E3" s="8">
        <v>2</v>
      </c>
      <c r="F3" s="8">
        <f>D3-E3</f>
        <v>0</v>
      </c>
      <c r="G3" s="6">
        <v>0</v>
      </c>
      <c r="H3" s="9">
        <v>0</v>
      </c>
      <c r="I3" s="8">
        <v>0</v>
      </c>
      <c r="J3" s="8">
        <f>H3-I3</f>
        <v>0</v>
      </c>
      <c r="K3" s="6">
        <v>0</v>
      </c>
      <c r="L3" s="9">
        <v>0</v>
      </c>
      <c r="M3" s="8">
        <v>0</v>
      </c>
      <c r="N3" s="8">
        <f>L3-M3</f>
        <v>0</v>
      </c>
      <c r="O3" s="6">
        <v>0</v>
      </c>
      <c r="P3" s="9">
        <v>2</v>
      </c>
      <c r="Q3" s="8">
        <v>2</v>
      </c>
      <c r="R3" s="8">
        <f>P3-Q3</f>
        <v>0</v>
      </c>
      <c r="S3" s="6">
        <v>0</v>
      </c>
      <c r="T3" s="9">
        <v>2</v>
      </c>
      <c r="U3" s="8">
        <v>2</v>
      </c>
      <c r="V3" s="8">
        <f>T3-U3</f>
        <v>0</v>
      </c>
      <c r="W3" s="6">
        <v>0</v>
      </c>
      <c r="X3" s="9">
        <v>3</v>
      </c>
      <c r="Y3" s="8">
        <v>3</v>
      </c>
      <c r="Z3" s="8">
        <f>X3-Y3</f>
        <v>0</v>
      </c>
      <c r="AA3" s="6">
        <v>0</v>
      </c>
      <c r="AB3" s="9">
        <v>2</v>
      </c>
      <c r="AC3" s="8">
        <v>2</v>
      </c>
      <c r="AD3" s="8">
        <f>AB3-AC3</f>
        <v>0</v>
      </c>
      <c r="AE3" s="6">
        <v>0</v>
      </c>
      <c r="AF3" s="9">
        <v>3</v>
      </c>
      <c r="AG3" s="8">
        <v>3</v>
      </c>
      <c r="AH3" s="8">
        <f>AF3-AG3</f>
        <v>0</v>
      </c>
      <c r="AI3" s="6">
        <v>0</v>
      </c>
      <c r="AJ3" s="9">
        <v>1</v>
      </c>
      <c r="AK3" s="8">
        <v>1</v>
      </c>
      <c r="AL3" s="8">
        <f>AJ3-AK3</f>
        <v>0</v>
      </c>
      <c r="AM3" s="6">
        <v>0</v>
      </c>
      <c r="AN3" s="9">
        <v>0</v>
      </c>
      <c r="AO3" s="8">
        <v>0</v>
      </c>
      <c r="AP3" s="8">
        <f>AN3-AO3</f>
        <v>0</v>
      </c>
      <c r="AQ3" s="6">
        <v>0</v>
      </c>
      <c r="AR3" s="9">
        <v>0</v>
      </c>
      <c r="AS3" s="8">
        <v>0</v>
      </c>
      <c r="AT3" s="8">
        <f>AR3-AS3</f>
        <v>0</v>
      </c>
      <c r="AU3" s="6">
        <v>0</v>
      </c>
      <c r="AV3" s="9">
        <v>0</v>
      </c>
      <c r="AW3" s="8">
        <v>0</v>
      </c>
      <c r="AX3" s="8">
        <f>AV3-AW3</f>
        <v>0</v>
      </c>
      <c r="AY3" s="6">
        <v>0</v>
      </c>
      <c r="AZ3" s="7">
        <v>1</v>
      </c>
      <c r="BA3" s="10">
        <v>1</v>
      </c>
      <c r="BB3" s="10">
        <f>AZ3-BA3</f>
        <v>0</v>
      </c>
      <c r="BC3" s="70">
        <v>0</v>
      </c>
      <c r="BD3" s="7">
        <v>1</v>
      </c>
      <c r="BE3" s="8">
        <v>1</v>
      </c>
      <c r="BF3" s="8">
        <f>BD3-BE3</f>
        <v>0</v>
      </c>
      <c r="BG3" s="6">
        <v>1</v>
      </c>
      <c r="BH3" s="9">
        <v>0</v>
      </c>
      <c r="BI3" s="8">
        <v>0</v>
      </c>
      <c r="BJ3" s="8">
        <f>BH3-BI3</f>
        <v>0</v>
      </c>
      <c r="BK3" s="6">
        <v>0</v>
      </c>
      <c r="BL3" s="9">
        <v>0</v>
      </c>
      <c r="BM3" s="8">
        <v>0</v>
      </c>
      <c r="BN3" s="8">
        <f>BL3-BM3</f>
        <v>0</v>
      </c>
      <c r="BO3" s="6">
        <v>0</v>
      </c>
      <c r="BP3" s="9">
        <v>0</v>
      </c>
      <c r="BQ3" s="8">
        <v>0</v>
      </c>
      <c r="BR3" s="8">
        <f>BP3-BQ3</f>
        <v>0</v>
      </c>
      <c r="BS3" s="6">
        <v>0</v>
      </c>
      <c r="BT3" s="9">
        <f>SUM(E3,I3,M3,Q3,U3,Y3,AC3,AG3,AK3,AO3,AS3,AW3,BE3,BI3,BM3,BQ3,BA3)</f>
        <v>17</v>
      </c>
      <c r="BU3" s="8">
        <f>SUM(BR3,BN3,BJ3,BF3,AX3,AT3,AP3,AL3,AH3,AD3,Z3,V3,R3,N3,J3,F3,BB3)</f>
        <v>0</v>
      </c>
      <c r="BV3" s="10">
        <f>SUM(BS3,BO3,BK3,BG3,AY3,AU3,AQ3,AM3,AI3,AE3,AA3,W3,S3,O3,K3,G3, BC3)</f>
        <v>1</v>
      </c>
      <c r="BW3" s="8">
        <f>BT3/(BT3+BU3)</f>
        <v>1</v>
      </c>
      <c r="BX3" s="8">
        <f>BT3/(BT3+BV3)</f>
        <v>0.94444444444444442</v>
      </c>
      <c r="BY3" s="6">
        <f>2*(BX3*BW3)/(BX3+BW3)</f>
        <v>0.97142857142857142</v>
      </c>
      <c r="CC3" s="75" t="s">
        <v>54</v>
      </c>
      <c r="CD3">
        <f>AVERAGE(BW3:BW4)</f>
        <v>1</v>
      </c>
      <c r="CE3">
        <f>AVERAGE(BX3:BX4)</f>
        <v>0.97222222222222221</v>
      </c>
      <c r="CF3">
        <f t="shared" ref="CF3" si="0">AVERAGE(BY3:BY4)</f>
        <v>0.98571428571428577</v>
      </c>
    </row>
    <row r="4" spans="1:84" x14ac:dyDescent="0.35">
      <c r="A4" s="52" t="s">
        <v>10</v>
      </c>
      <c r="B4" s="108"/>
      <c r="C4" s="70" t="s">
        <v>12</v>
      </c>
      <c r="D4" s="7">
        <v>2</v>
      </c>
      <c r="E4" s="10">
        <v>2</v>
      </c>
      <c r="F4" s="10">
        <f t="shared" ref="F4:F30" si="1">D4-E4</f>
        <v>0</v>
      </c>
      <c r="G4" s="70">
        <v>0</v>
      </c>
      <c r="H4" s="7">
        <v>0</v>
      </c>
      <c r="I4" s="10">
        <v>0</v>
      </c>
      <c r="J4" s="10">
        <f t="shared" ref="J4:J30" si="2">H4-I4</f>
        <v>0</v>
      </c>
      <c r="K4" s="70">
        <v>0</v>
      </c>
      <c r="L4" s="7">
        <v>0</v>
      </c>
      <c r="M4" s="10">
        <v>0</v>
      </c>
      <c r="N4" s="10">
        <f t="shared" ref="N4:N30" si="3">L4-M4</f>
        <v>0</v>
      </c>
      <c r="O4" s="70">
        <v>0</v>
      </c>
      <c r="P4" s="7">
        <v>2</v>
      </c>
      <c r="Q4" s="10">
        <v>2</v>
      </c>
      <c r="R4" s="10">
        <f t="shared" ref="R4:R30" si="4">P4-Q4</f>
        <v>0</v>
      </c>
      <c r="S4" s="70">
        <v>0</v>
      </c>
      <c r="T4" s="7">
        <v>2</v>
      </c>
      <c r="U4" s="10">
        <v>2</v>
      </c>
      <c r="V4" s="10">
        <f t="shared" ref="V4:V30" si="5">T4-U4</f>
        <v>0</v>
      </c>
      <c r="W4" s="70">
        <v>0</v>
      </c>
      <c r="X4" s="7">
        <v>3</v>
      </c>
      <c r="Y4" s="10">
        <v>3</v>
      </c>
      <c r="Z4" s="10">
        <f t="shared" ref="Z4:Z30" si="6">X4-Y4</f>
        <v>0</v>
      </c>
      <c r="AA4" s="70">
        <v>0</v>
      </c>
      <c r="AB4" s="7">
        <v>2</v>
      </c>
      <c r="AC4" s="10">
        <v>2</v>
      </c>
      <c r="AD4" s="10">
        <f t="shared" ref="AD4:AD29" si="7">AB4-AC4</f>
        <v>0</v>
      </c>
      <c r="AE4" s="70">
        <v>0</v>
      </c>
      <c r="AF4" s="7">
        <v>3</v>
      </c>
      <c r="AG4" s="10">
        <v>3</v>
      </c>
      <c r="AH4" s="10">
        <f t="shared" ref="AH4:AH30" si="8">AF4-AG4</f>
        <v>0</v>
      </c>
      <c r="AI4" s="70">
        <v>0</v>
      </c>
      <c r="AJ4" s="7">
        <v>1</v>
      </c>
      <c r="AK4" s="10">
        <v>1</v>
      </c>
      <c r="AL4" s="10">
        <f t="shared" ref="AL4:AL30" si="9">AJ4-AK4</f>
        <v>0</v>
      </c>
      <c r="AM4" s="70">
        <v>0</v>
      </c>
      <c r="AN4" s="7">
        <v>0</v>
      </c>
      <c r="AO4" s="10">
        <v>0</v>
      </c>
      <c r="AP4" s="10">
        <f t="shared" ref="AP4:AP30" si="10">AN4-AO4</f>
        <v>0</v>
      </c>
      <c r="AQ4" s="70">
        <v>0</v>
      </c>
      <c r="AR4" s="7">
        <v>0</v>
      </c>
      <c r="AS4" s="10">
        <v>0</v>
      </c>
      <c r="AT4" s="10">
        <f t="shared" ref="AT4:AT30" si="11">AR4-AS4</f>
        <v>0</v>
      </c>
      <c r="AU4" s="70">
        <v>0</v>
      </c>
      <c r="AV4" s="7">
        <v>0</v>
      </c>
      <c r="AW4" s="10">
        <v>0</v>
      </c>
      <c r="AX4" s="10">
        <f t="shared" ref="AX4:AX30" si="12">AV4-AW4</f>
        <v>0</v>
      </c>
      <c r="AY4" s="70">
        <v>0</v>
      </c>
      <c r="AZ4" s="7">
        <v>1</v>
      </c>
      <c r="BA4" s="10">
        <v>1</v>
      </c>
      <c r="BB4" s="10">
        <f t="shared" ref="BB4:BB30" si="13">AZ4-BA4</f>
        <v>0</v>
      </c>
      <c r="BC4" s="70">
        <v>0</v>
      </c>
      <c r="BD4" s="7">
        <v>1</v>
      </c>
      <c r="BE4" s="10">
        <v>1</v>
      </c>
      <c r="BF4" s="10">
        <f t="shared" ref="BF4:BF30" si="14">BD4-BE4</f>
        <v>0</v>
      </c>
      <c r="BG4" s="70">
        <v>0</v>
      </c>
      <c r="BH4" s="7">
        <v>0</v>
      </c>
      <c r="BI4" s="10">
        <v>0</v>
      </c>
      <c r="BJ4" s="10">
        <f t="shared" ref="BJ4:BJ30" si="15">BH4-BI4</f>
        <v>0</v>
      </c>
      <c r="BK4" s="70">
        <v>0</v>
      </c>
      <c r="BL4" s="7">
        <v>0</v>
      </c>
      <c r="BM4" s="10">
        <v>0</v>
      </c>
      <c r="BN4" s="10">
        <f t="shared" ref="BN4:BN30" si="16">BL4-BM4</f>
        <v>0</v>
      </c>
      <c r="BO4" s="70">
        <v>0</v>
      </c>
      <c r="BP4" s="7">
        <v>0</v>
      </c>
      <c r="BQ4" s="10">
        <v>0</v>
      </c>
      <c r="BR4" s="10">
        <f t="shared" ref="BR4:BR30" si="17">BP4-BQ4</f>
        <v>0</v>
      </c>
      <c r="BS4" s="70">
        <v>0</v>
      </c>
      <c r="BT4" s="7">
        <f t="shared" ref="BT4:BT30" si="18">SUM(E4,I4,M4,Q4,U4,Y4,AC4,AG4,AK4,AO4,AS4,AW4,BE4,BI4,BM4,BQ4,BA4)</f>
        <v>17</v>
      </c>
      <c r="BU4" s="10">
        <f t="shared" ref="BU4:BU30" si="19">SUM(BR4,BN4,BJ4,BF4,AX4,AT4,AP4,AL4,AH4,AD4,Z4,V4,R4,N4,J4,F4,BB4)</f>
        <v>0</v>
      </c>
      <c r="BV4" s="10">
        <f t="shared" ref="BV4:BV30" si="20">SUM(BS4,BO4,BK4,BG4,AY4,AU4,AQ4,AM4,AI4,AE4,AA4,W4,S4,O4,K4,G4, BC4)</f>
        <v>0</v>
      </c>
      <c r="BW4" s="10">
        <f t="shared" ref="BW4:BW30" si="21">BT4/(BT4+BU4)</f>
        <v>1</v>
      </c>
      <c r="BX4" s="10">
        <f t="shared" ref="BX4:BX30" si="22">BT4/(BT4+BV4)</f>
        <v>1</v>
      </c>
      <c r="BY4" s="70">
        <f t="shared" ref="BY4:BY30" si="23">2*(BX4*BW4)/(BX4+BW4)</f>
        <v>1</v>
      </c>
      <c r="CC4" s="75" t="s">
        <v>55</v>
      </c>
      <c r="CD4">
        <f>AVERAGE(BW5:BW6)</f>
        <v>0.96666666666666667</v>
      </c>
      <c r="CE4">
        <f t="shared" ref="CE4" si="24">AVERAGE(BX5:BX6)</f>
        <v>1</v>
      </c>
      <c r="CF4">
        <f>AVERAGE(BY5:BY6)</f>
        <v>0.98275862068965525</v>
      </c>
    </row>
    <row r="5" spans="1:84" x14ac:dyDescent="0.35">
      <c r="A5" s="53" t="s">
        <v>10</v>
      </c>
      <c r="B5" s="108"/>
      <c r="C5" s="11" t="s">
        <v>13</v>
      </c>
      <c r="D5" s="12">
        <v>4</v>
      </c>
      <c r="E5" s="13">
        <v>4</v>
      </c>
      <c r="F5" s="13">
        <f t="shared" si="1"/>
        <v>0</v>
      </c>
      <c r="G5" s="11">
        <v>0</v>
      </c>
      <c r="H5" s="12">
        <v>0</v>
      </c>
      <c r="I5" s="13">
        <v>0</v>
      </c>
      <c r="J5" s="13">
        <f t="shared" si="2"/>
        <v>0</v>
      </c>
      <c r="K5" s="11">
        <v>0</v>
      </c>
      <c r="L5" s="12">
        <v>0</v>
      </c>
      <c r="M5" s="13">
        <v>0</v>
      </c>
      <c r="N5" s="13">
        <f t="shared" si="3"/>
        <v>0</v>
      </c>
      <c r="O5" s="11">
        <v>0</v>
      </c>
      <c r="P5" s="12">
        <v>4</v>
      </c>
      <c r="Q5" s="13">
        <v>4</v>
      </c>
      <c r="R5" s="13">
        <f t="shared" si="4"/>
        <v>0</v>
      </c>
      <c r="S5" s="11">
        <v>0</v>
      </c>
      <c r="T5" s="12">
        <v>0</v>
      </c>
      <c r="U5" s="13">
        <v>0</v>
      </c>
      <c r="V5" s="13">
        <f t="shared" si="5"/>
        <v>0</v>
      </c>
      <c r="W5" s="11">
        <v>0</v>
      </c>
      <c r="X5" s="12">
        <v>1</v>
      </c>
      <c r="Y5" s="13">
        <v>1</v>
      </c>
      <c r="Z5" s="13">
        <f t="shared" si="6"/>
        <v>0</v>
      </c>
      <c r="AA5" s="11">
        <v>0</v>
      </c>
      <c r="AB5" s="12">
        <v>0</v>
      </c>
      <c r="AC5" s="13">
        <v>0</v>
      </c>
      <c r="AD5" s="13">
        <f t="shared" si="7"/>
        <v>0</v>
      </c>
      <c r="AE5" s="11">
        <v>0</v>
      </c>
      <c r="AF5" s="12">
        <v>0</v>
      </c>
      <c r="AG5" s="13">
        <v>0</v>
      </c>
      <c r="AH5" s="13">
        <f t="shared" si="8"/>
        <v>0</v>
      </c>
      <c r="AI5" s="11">
        <v>0</v>
      </c>
      <c r="AJ5" s="12">
        <v>3</v>
      </c>
      <c r="AK5" s="13">
        <v>3</v>
      </c>
      <c r="AL5" s="13">
        <f t="shared" si="9"/>
        <v>0</v>
      </c>
      <c r="AM5" s="11">
        <v>0</v>
      </c>
      <c r="AN5" s="12">
        <v>0</v>
      </c>
      <c r="AO5" s="13">
        <v>0</v>
      </c>
      <c r="AP5" s="13">
        <f t="shared" si="10"/>
        <v>0</v>
      </c>
      <c r="AQ5" s="11">
        <v>0</v>
      </c>
      <c r="AR5" s="12">
        <v>0</v>
      </c>
      <c r="AS5" s="13">
        <v>0</v>
      </c>
      <c r="AT5" s="13">
        <f t="shared" si="11"/>
        <v>0</v>
      </c>
      <c r="AU5" s="11">
        <v>0</v>
      </c>
      <c r="AV5" s="12">
        <v>0</v>
      </c>
      <c r="AW5" s="13">
        <v>0</v>
      </c>
      <c r="AX5" s="13">
        <f t="shared" si="12"/>
        <v>0</v>
      </c>
      <c r="AY5" s="11">
        <v>0</v>
      </c>
      <c r="AZ5" s="12">
        <v>3</v>
      </c>
      <c r="BA5" s="13">
        <v>3</v>
      </c>
      <c r="BB5" s="13">
        <f t="shared" si="13"/>
        <v>0</v>
      </c>
      <c r="BC5" s="11">
        <v>0</v>
      </c>
      <c r="BD5" s="12">
        <v>0</v>
      </c>
      <c r="BE5" s="13">
        <v>0</v>
      </c>
      <c r="BF5" s="13">
        <f t="shared" si="14"/>
        <v>0</v>
      </c>
      <c r="BG5" s="11">
        <v>0</v>
      </c>
      <c r="BH5" s="12">
        <v>0</v>
      </c>
      <c r="BI5" s="13">
        <v>0</v>
      </c>
      <c r="BJ5" s="13">
        <f t="shared" si="15"/>
        <v>0</v>
      </c>
      <c r="BK5" s="11">
        <v>0</v>
      </c>
      <c r="BL5" s="12">
        <v>0</v>
      </c>
      <c r="BM5" s="13">
        <v>0</v>
      </c>
      <c r="BN5" s="13">
        <f t="shared" si="16"/>
        <v>0</v>
      </c>
      <c r="BO5" s="11">
        <v>0</v>
      </c>
      <c r="BP5" s="12">
        <v>0</v>
      </c>
      <c r="BQ5" s="13">
        <v>0</v>
      </c>
      <c r="BR5" s="13">
        <f t="shared" si="17"/>
        <v>0</v>
      </c>
      <c r="BS5" s="11">
        <v>0</v>
      </c>
      <c r="BT5" s="12">
        <f t="shared" si="18"/>
        <v>15</v>
      </c>
      <c r="BU5" s="13">
        <f t="shared" si="19"/>
        <v>0</v>
      </c>
      <c r="BV5" s="13">
        <f t="shared" si="20"/>
        <v>0</v>
      </c>
      <c r="BW5" s="13">
        <f t="shared" si="21"/>
        <v>1</v>
      </c>
      <c r="BX5" s="13">
        <f t="shared" si="22"/>
        <v>1</v>
      </c>
      <c r="BY5" s="11">
        <f t="shared" si="23"/>
        <v>1</v>
      </c>
      <c r="CC5" s="75" t="s">
        <v>56</v>
      </c>
      <c r="CD5">
        <f>AVERAGE(BW7:BW8)</f>
        <v>1</v>
      </c>
      <c r="CE5">
        <f t="shared" ref="CE5:CF5" si="25">AVERAGE(BX7:BX8)</f>
        <v>0.72478991596638664</v>
      </c>
      <c r="CF5">
        <f t="shared" si="25"/>
        <v>0.84039548022598876</v>
      </c>
    </row>
    <row r="6" spans="1:84" x14ac:dyDescent="0.35">
      <c r="A6" s="53" t="s">
        <v>10</v>
      </c>
      <c r="B6" s="108"/>
      <c r="C6" s="11" t="s">
        <v>14</v>
      </c>
      <c r="D6" s="12">
        <v>4</v>
      </c>
      <c r="E6" s="13">
        <v>4</v>
      </c>
      <c r="F6" s="13">
        <f t="shared" si="1"/>
        <v>0</v>
      </c>
      <c r="G6" s="11">
        <v>0</v>
      </c>
      <c r="H6" s="12">
        <v>0</v>
      </c>
      <c r="I6" s="13">
        <v>0</v>
      </c>
      <c r="J6" s="13">
        <f t="shared" si="2"/>
        <v>0</v>
      </c>
      <c r="K6" s="11">
        <v>0</v>
      </c>
      <c r="L6" s="12">
        <v>0</v>
      </c>
      <c r="M6" s="13">
        <v>0</v>
      </c>
      <c r="N6" s="13">
        <f t="shared" si="3"/>
        <v>0</v>
      </c>
      <c r="O6" s="11">
        <v>0</v>
      </c>
      <c r="P6" s="12">
        <v>4</v>
      </c>
      <c r="Q6" s="13">
        <v>4</v>
      </c>
      <c r="R6" s="13">
        <f t="shared" si="4"/>
        <v>0</v>
      </c>
      <c r="S6" s="11">
        <v>0</v>
      </c>
      <c r="T6" s="12">
        <v>0</v>
      </c>
      <c r="U6" s="13">
        <v>0</v>
      </c>
      <c r="V6" s="13">
        <f t="shared" si="5"/>
        <v>0</v>
      </c>
      <c r="W6" s="11">
        <v>0</v>
      </c>
      <c r="X6" s="12">
        <v>1</v>
      </c>
      <c r="Y6" s="13">
        <v>0</v>
      </c>
      <c r="Z6" s="13">
        <f t="shared" si="6"/>
        <v>1</v>
      </c>
      <c r="AA6" s="11">
        <v>0</v>
      </c>
      <c r="AB6" s="12">
        <v>0</v>
      </c>
      <c r="AC6" s="13">
        <v>0</v>
      </c>
      <c r="AD6" s="13">
        <f t="shared" si="7"/>
        <v>0</v>
      </c>
      <c r="AE6" s="11">
        <v>0</v>
      </c>
      <c r="AF6" s="12">
        <v>0</v>
      </c>
      <c r="AG6" s="13">
        <v>0</v>
      </c>
      <c r="AH6" s="13">
        <f t="shared" si="8"/>
        <v>0</v>
      </c>
      <c r="AI6" s="11">
        <v>0</v>
      </c>
      <c r="AJ6" s="12">
        <v>3</v>
      </c>
      <c r="AK6" s="13">
        <v>3</v>
      </c>
      <c r="AL6" s="13">
        <f t="shared" si="9"/>
        <v>0</v>
      </c>
      <c r="AM6" s="11">
        <v>0</v>
      </c>
      <c r="AN6" s="12">
        <v>0</v>
      </c>
      <c r="AO6" s="13">
        <v>0</v>
      </c>
      <c r="AP6" s="13">
        <f t="shared" si="10"/>
        <v>0</v>
      </c>
      <c r="AQ6" s="11">
        <v>0</v>
      </c>
      <c r="AR6" s="12">
        <v>0</v>
      </c>
      <c r="AS6" s="13">
        <v>0</v>
      </c>
      <c r="AT6" s="13">
        <f t="shared" si="11"/>
        <v>0</v>
      </c>
      <c r="AU6" s="11">
        <v>0</v>
      </c>
      <c r="AV6" s="12">
        <v>0</v>
      </c>
      <c r="AW6" s="13">
        <v>0</v>
      </c>
      <c r="AX6" s="13">
        <f t="shared" si="12"/>
        <v>0</v>
      </c>
      <c r="AY6" s="11">
        <v>0</v>
      </c>
      <c r="AZ6" s="12">
        <v>3</v>
      </c>
      <c r="BA6" s="13">
        <v>3</v>
      </c>
      <c r="BB6" s="13">
        <f t="shared" si="13"/>
        <v>0</v>
      </c>
      <c r="BC6" s="11">
        <v>0</v>
      </c>
      <c r="BD6" s="12">
        <v>0</v>
      </c>
      <c r="BE6" s="13">
        <v>0</v>
      </c>
      <c r="BF6" s="13">
        <f t="shared" si="14"/>
        <v>0</v>
      </c>
      <c r="BG6" s="11">
        <v>0</v>
      </c>
      <c r="BH6" s="12">
        <v>0</v>
      </c>
      <c r="BI6" s="13">
        <v>0</v>
      </c>
      <c r="BJ6" s="13">
        <f t="shared" si="15"/>
        <v>0</v>
      </c>
      <c r="BK6" s="11">
        <v>0</v>
      </c>
      <c r="BL6" s="12">
        <v>0</v>
      </c>
      <c r="BM6" s="13">
        <v>0</v>
      </c>
      <c r="BN6" s="13">
        <f t="shared" si="16"/>
        <v>0</v>
      </c>
      <c r="BO6" s="11">
        <v>0</v>
      </c>
      <c r="BP6" s="12">
        <v>0</v>
      </c>
      <c r="BQ6" s="13">
        <v>0</v>
      </c>
      <c r="BR6" s="13">
        <f t="shared" si="17"/>
        <v>0</v>
      </c>
      <c r="BS6" s="11">
        <v>0</v>
      </c>
      <c r="BT6" s="12">
        <f t="shared" si="18"/>
        <v>14</v>
      </c>
      <c r="BU6" s="13">
        <f t="shared" si="19"/>
        <v>1</v>
      </c>
      <c r="BV6" s="13">
        <f t="shared" si="20"/>
        <v>0</v>
      </c>
      <c r="BW6" s="13">
        <f t="shared" si="21"/>
        <v>0.93333333333333335</v>
      </c>
      <c r="BX6" s="13">
        <f t="shared" si="22"/>
        <v>1</v>
      </c>
      <c r="BY6" s="11">
        <f t="shared" si="23"/>
        <v>0.96551724137931039</v>
      </c>
      <c r="CC6" s="75" t="s">
        <v>57</v>
      </c>
      <c r="CD6">
        <f>AVERAGE(BW9:BW10)</f>
        <v>0.92307692307692313</v>
      </c>
      <c r="CE6">
        <f t="shared" ref="CE6:CF6" si="26">AVERAGE(BX9:BX10)</f>
        <v>0.82857142857142851</v>
      </c>
      <c r="CF6">
        <f t="shared" si="26"/>
        <v>0.87301587301587302</v>
      </c>
    </row>
    <row r="7" spans="1:84" x14ac:dyDescent="0.35">
      <c r="A7" s="54" t="s">
        <v>10</v>
      </c>
      <c r="B7" s="108"/>
      <c r="C7" s="14" t="s">
        <v>15</v>
      </c>
      <c r="D7" s="15">
        <v>6</v>
      </c>
      <c r="E7" s="16">
        <v>6</v>
      </c>
      <c r="F7" s="16">
        <f t="shared" si="1"/>
        <v>0</v>
      </c>
      <c r="G7" s="14">
        <v>0</v>
      </c>
      <c r="H7" s="15">
        <v>0</v>
      </c>
      <c r="I7" s="16">
        <v>0</v>
      </c>
      <c r="J7" s="16">
        <f t="shared" si="2"/>
        <v>0</v>
      </c>
      <c r="K7" s="14">
        <v>0</v>
      </c>
      <c r="L7" s="15">
        <v>0</v>
      </c>
      <c r="M7" s="16">
        <v>0</v>
      </c>
      <c r="N7" s="16">
        <f t="shared" si="3"/>
        <v>0</v>
      </c>
      <c r="O7" s="14">
        <v>0</v>
      </c>
      <c r="P7" s="15">
        <v>9</v>
      </c>
      <c r="Q7" s="16">
        <v>9</v>
      </c>
      <c r="R7" s="16">
        <f t="shared" si="4"/>
        <v>0</v>
      </c>
      <c r="S7" s="14">
        <v>0</v>
      </c>
      <c r="T7" s="15">
        <v>0</v>
      </c>
      <c r="U7" s="16">
        <v>0</v>
      </c>
      <c r="V7" s="16">
        <f t="shared" si="5"/>
        <v>0</v>
      </c>
      <c r="W7" s="14">
        <v>9</v>
      </c>
      <c r="X7" s="15">
        <v>0</v>
      </c>
      <c r="Y7" s="16">
        <v>0</v>
      </c>
      <c r="Z7" s="16">
        <f t="shared" si="6"/>
        <v>0</v>
      </c>
      <c r="AA7" s="14">
        <v>0</v>
      </c>
      <c r="AB7" s="15">
        <v>0</v>
      </c>
      <c r="AC7" s="16">
        <v>0</v>
      </c>
      <c r="AD7" s="16">
        <f t="shared" si="7"/>
        <v>0</v>
      </c>
      <c r="AE7" s="14">
        <v>0</v>
      </c>
      <c r="AF7" s="15">
        <v>0</v>
      </c>
      <c r="AG7" s="16">
        <v>0</v>
      </c>
      <c r="AH7" s="16">
        <f t="shared" si="8"/>
        <v>0</v>
      </c>
      <c r="AI7" s="14">
        <v>0</v>
      </c>
      <c r="AJ7" s="15">
        <v>5</v>
      </c>
      <c r="AK7" s="16">
        <v>5</v>
      </c>
      <c r="AL7" s="16">
        <f t="shared" si="9"/>
        <v>0</v>
      </c>
      <c r="AM7" s="14">
        <v>0</v>
      </c>
      <c r="AN7" s="15">
        <v>0</v>
      </c>
      <c r="AO7" s="16">
        <v>0</v>
      </c>
      <c r="AP7" s="16">
        <f t="shared" si="10"/>
        <v>0</v>
      </c>
      <c r="AQ7" s="14">
        <v>0</v>
      </c>
      <c r="AR7" s="15">
        <v>0</v>
      </c>
      <c r="AS7" s="16">
        <v>0</v>
      </c>
      <c r="AT7" s="16">
        <f t="shared" si="11"/>
        <v>0</v>
      </c>
      <c r="AU7" s="14">
        <v>0</v>
      </c>
      <c r="AV7" s="15">
        <v>0</v>
      </c>
      <c r="AW7" s="16">
        <v>0</v>
      </c>
      <c r="AX7" s="16">
        <f t="shared" si="12"/>
        <v>0</v>
      </c>
      <c r="AY7" s="14">
        <v>0</v>
      </c>
      <c r="AZ7" s="15">
        <v>5</v>
      </c>
      <c r="BA7" s="16">
        <v>5</v>
      </c>
      <c r="BB7" s="16">
        <f t="shared" si="13"/>
        <v>0</v>
      </c>
      <c r="BC7" s="14">
        <v>0</v>
      </c>
      <c r="BD7" s="15">
        <v>0</v>
      </c>
      <c r="BE7" s="16">
        <v>0</v>
      </c>
      <c r="BF7" s="16">
        <f t="shared" si="14"/>
        <v>0</v>
      </c>
      <c r="BG7" s="14">
        <v>0</v>
      </c>
      <c r="BH7" s="15">
        <v>0</v>
      </c>
      <c r="BI7" s="16">
        <v>0</v>
      </c>
      <c r="BJ7" s="16">
        <f t="shared" si="15"/>
        <v>0</v>
      </c>
      <c r="BK7" s="14">
        <v>0</v>
      </c>
      <c r="BL7" s="15">
        <v>0</v>
      </c>
      <c r="BM7" s="16">
        <v>0</v>
      </c>
      <c r="BN7" s="16">
        <f t="shared" si="16"/>
        <v>0</v>
      </c>
      <c r="BO7" s="14">
        <v>0</v>
      </c>
      <c r="BP7" s="15">
        <v>0</v>
      </c>
      <c r="BQ7" s="16">
        <v>0</v>
      </c>
      <c r="BR7" s="16">
        <f t="shared" si="17"/>
        <v>0</v>
      </c>
      <c r="BS7" s="14">
        <v>0</v>
      </c>
      <c r="BT7" s="15">
        <f t="shared" si="18"/>
        <v>25</v>
      </c>
      <c r="BU7" s="16">
        <f t="shared" si="19"/>
        <v>0</v>
      </c>
      <c r="BV7" s="16">
        <f t="shared" si="20"/>
        <v>9</v>
      </c>
      <c r="BW7" s="16">
        <f t="shared" si="21"/>
        <v>1</v>
      </c>
      <c r="BX7" s="16">
        <f t="shared" si="22"/>
        <v>0.73529411764705888</v>
      </c>
      <c r="BY7" s="14">
        <f t="shared" si="23"/>
        <v>0.84745762711864414</v>
      </c>
      <c r="CC7" s="75" t="s">
        <v>58</v>
      </c>
      <c r="CD7">
        <f>AVERAGE(BW11:BW12)</f>
        <v>0.72222222222222221</v>
      </c>
      <c r="CE7">
        <f t="shared" ref="CE7" si="27">AVERAGE(BX11:BX12)</f>
        <v>0.64207317073170733</v>
      </c>
      <c r="CF7">
        <f>AVERAGE(BY11:BY12)</f>
        <v>0.65894868585732169</v>
      </c>
    </row>
    <row r="8" spans="1:84" x14ac:dyDescent="0.35">
      <c r="A8" s="54" t="s">
        <v>10</v>
      </c>
      <c r="B8" s="108"/>
      <c r="C8" s="14" t="s">
        <v>16</v>
      </c>
      <c r="D8" s="15">
        <v>6</v>
      </c>
      <c r="E8" s="16">
        <v>6</v>
      </c>
      <c r="F8" s="16">
        <f t="shared" si="1"/>
        <v>0</v>
      </c>
      <c r="G8" s="14">
        <v>0</v>
      </c>
      <c r="H8" s="15">
        <v>0</v>
      </c>
      <c r="I8" s="16">
        <v>0</v>
      </c>
      <c r="J8" s="16">
        <f t="shared" si="2"/>
        <v>0</v>
      </c>
      <c r="K8" s="14">
        <v>0</v>
      </c>
      <c r="L8" s="15">
        <v>0</v>
      </c>
      <c r="M8" s="16">
        <v>0</v>
      </c>
      <c r="N8" s="16">
        <f t="shared" si="3"/>
        <v>0</v>
      </c>
      <c r="O8" s="14">
        <v>0</v>
      </c>
      <c r="P8" s="15">
        <v>9</v>
      </c>
      <c r="Q8" s="16">
        <v>9</v>
      </c>
      <c r="R8" s="16">
        <f t="shared" si="4"/>
        <v>0</v>
      </c>
      <c r="S8" s="14">
        <v>0</v>
      </c>
      <c r="T8" s="15">
        <v>0</v>
      </c>
      <c r="U8" s="16">
        <v>0</v>
      </c>
      <c r="V8" s="16">
        <f t="shared" si="5"/>
        <v>0</v>
      </c>
      <c r="W8" s="14">
        <v>9</v>
      </c>
      <c r="X8" s="15">
        <v>0</v>
      </c>
      <c r="Y8" s="16">
        <v>0</v>
      </c>
      <c r="Z8" s="16">
        <f t="shared" si="6"/>
        <v>0</v>
      </c>
      <c r="AA8" s="14">
        <v>0</v>
      </c>
      <c r="AB8" s="15">
        <v>0</v>
      </c>
      <c r="AC8" s="16">
        <v>0</v>
      </c>
      <c r="AD8" s="16">
        <f t="shared" si="7"/>
        <v>0</v>
      </c>
      <c r="AE8" s="14">
        <v>0</v>
      </c>
      <c r="AF8" s="15">
        <v>0</v>
      </c>
      <c r="AG8" s="16">
        <v>0</v>
      </c>
      <c r="AH8" s="16">
        <f t="shared" si="8"/>
        <v>0</v>
      </c>
      <c r="AI8" s="14">
        <v>0</v>
      </c>
      <c r="AJ8" s="15">
        <v>5</v>
      </c>
      <c r="AK8" s="16">
        <v>5</v>
      </c>
      <c r="AL8" s="16">
        <f t="shared" si="9"/>
        <v>0</v>
      </c>
      <c r="AM8" s="14">
        <v>1</v>
      </c>
      <c r="AN8" s="15">
        <v>0</v>
      </c>
      <c r="AO8" s="16">
        <v>0</v>
      </c>
      <c r="AP8" s="16">
        <f t="shared" si="10"/>
        <v>0</v>
      </c>
      <c r="AQ8" s="14">
        <v>0</v>
      </c>
      <c r="AR8" s="15">
        <v>0</v>
      </c>
      <c r="AS8" s="16">
        <v>0</v>
      </c>
      <c r="AT8" s="16">
        <f t="shared" si="11"/>
        <v>0</v>
      </c>
      <c r="AU8" s="14">
        <v>0</v>
      </c>
      <c r="AV8" s="15">
        <v>0</v>
      </c>
      <c r="AW8" s="16">
        <v>0</v>
      </c>
      <c r="AX8" s="16">
        <f t="shared" si="12"/>
        <v>0</v>
      </c>
      <c r="AY8" s="14">
        <v>0</v>
      </c>
      <c r="AZ8" s="15">
        <v>5</v>
      </c>
      <c r="BA8" s="16">
        <v>5</v>
      </c>
      <c r="BB8" s="16">
        <f t="shared" si="13"/>
        <v>0</v>
      </c>
      <c r="BC8" s="14">
        <v>0</v>
      </c>
      <c r="BD8" s="15">
        <v>0</v>
      </c>
      <c r="BE8" s="16">
        <v>0</v>
      </c>
      <c r="BF8" s="16">
        <f t="shared" si="14"/>
        <v>0</v>
      </c>
      <c r="BG8" s="14">
        <v>0</v>
      </c>
      <c r="BH8" s="15">
        <v>0</v>
      </c>
      <c r="BI8" s="16">
        <v>0</v>
      </c>
      <c r="BJ8" s="16">
        <f t="shared" si="15"/>
        <v>0</v>
      </c>
      <c r="BK8" s="14">
        <v>0</v>
      </c>
      <c r="BL8" s="15">
        <v>0</v>
      </c>
      <c r="BM8" s="16">
        <v>0</v>
      </c>
      <c r="BN8" s="16">
        <f t="shared" si="16"/>
        <v>0</v>
      </c>
      <c r="BO8" s="14">
        <v>0</v>
      </c>
      <c r="BP8" s="15">
        <v>0</v>
      </c>
      <c r="BQ8" s="16">
        <v>0</v>
      </c>
      <c r="BR8" s="16">
        <f t="shared" si="17"/>
        <v>0</v>
      </c>
      <c r="BS8" s="14">
        <v>0</v>
      </c>
      <c r="BT8" s="15">
        <f t="shared" si="18"/>
        <v>25</v>
      </c>
      <c r="BU8" s="16">
        <f t="shared" si="19"/>
        <v>0</v>
      </c>
      <c r="BV8" s="16">
        <f t="shared" si="20"/>
        <v>10</v>
      </c>
      <c r="BW8" s="16">
        <f t="shared" si="21"/>
        <v>1</v>
      </c>
      <c r="BX8" s="16">
        <f t="shared" si="22"/>
        <v>0.7142857142857143</v>
      </c>
      <c r="BY8" s="14">
        <f t="shared" si="23"/>
        <v>0.83333333333333326</v>
      </c>
      <c r="CC8" s="75" t="s">
        <v>59</v>
      </c>
      <c r="CD8">
        <f>AVERAGE(BW13:BW14)</f>
        <v>0.7857142857142857</v>
      </c>
      <c r="CE8">
        <f t="shared" ref="CE8:CF8" si="28">AVERAGE(BX13:BX14)</f>
        <v>0.61309523809523814</v>
      </c>
      <c r="CF8">
        <f t="shared" si="28"/>
        <v>0.68571428571428572</v>
      </c>
    </row>
    <row r="9" spans="1:84" x14ac:dyDescent="0.35">
      <c r="A9" s="55" t="s">
        <v>10</v>
      </c>
      <c r="B9" s="108"/>
      <c r="C9" s="17" t="s">
        <v>17</v>
      </c>
      <c r="D9" s="18">
        <v>3</v>
      </c>
      <c r="E9" s="19">
        <v>3</v>
      </c>
      <c r="F9" s="19">
        <f t="shared" si="1"/>
        <v>0</v>
      </c>
      <c r="G9" s="17">
        <v>0</v>
      </c>
      <c r="H9" s="18">
        <v>0</v>
      </c>
      <c r="I9" s="19">
        <v>0</v>
      </c>
      <c r="J9" s="19">
        <f t="shared" si="2"/>
        <v>0</v>
      </c>
      <c r="K9" s="17">
        <v>0</v>
      </c>
      <c r="L9" s="18">
        <v>0</v>
      </c>
      <c r="M9" s="19">
        <v>0</v>
      </c>
      <c r="N9" s="19">
        <f t="shared" si="3"/>
        <v>0</v>
      </c>
      <c r="O9" s="17">
        <v>0</v>
      </c>
      <c r="P9" s="18">
        <v>5</v>
      </c>
      <c r="Q9" s="19">
        <v>5</v>
      </c>
      <c r="R9" s="19">
        <f t="shared" si="4"/>
        <v>0</v>
      </c>
      <c r="S9" s="17">
        <v>1</v>
      </c>
      <c r="T9" s="18">
        <v>0</v>
      </c>
      <c r="U9" s="19">
        <v>0</v>
      </c>
      <c r="V9" s="19">
        <f t="shared" si="5"/>
        <v>0</v>
      </c>
      <c r="W9" s="17">
        <v>0</v>
      </c>
      <c r="X9" s="18">
        <v>0</v>
      </c>
      <c r="Y9" s="19">
        <v>0</v>
      </c>
      <c r="Z9" s="19">
        <f t="shared" si="6"/>
        <v>0</v>
      </c>
      <c r="AA9" s="17">
        <v>0</v>
      </c>
      <c r="AB9" s="18">
        <v>0</v>
      </c>
      <c r="AC9" s="19">
        <v>0</v>
      </c>
      <c r="AD9" s="19">
        <f t="shared" si="7"/>
        <v>0</v>
      </c>
      <c r="AE9" s="17">
        <v>0</v>
      </c>
      <c r="AF9" s="18">
        <v>0</v>
      </c>
      <c r="AG9" s="19">
        <v>0</v>
      </c>
      <c r="AH9" s="19">
        <f t="shared" si="8"/>
        <v>0</v>
      </c>
      <c r="AI9" s="17">
        <v>0</v>
      </c>
      <c r="AJ9" s="18">
        <v>1</v>
      </c>
      <c r="AK9" s="19">
        <v>1</v>
      </c>
      <c r="AL9" s="19">
        <f t="shared" si="9"/>
        <v>0</v>
      </c>
      <c r="AM9" s="17">
        <v>0</v>
      </c>
      <c r="AN9" s="18">
        <v>0</v>
      </c>
      <c r="AO9" s="19">
        <v>0</v>
      </c>
      <c r="AP9" s="19">
        <f t="shared" si="10"/>
        <v>0</v>
      </c>
      <c r="AQ9" s="17">
        <v>0</v>
      </c>
      <c r="AR9" s="18">
        <v>1</v>
      </c>
      <c r="AS9" s="19">
        <v>1</v>
      </c>
      <c r="AT9" s="19">
        <f t="shared" si="11"/>
        <v>0</v>
      </c>
      <c r="AU9" s="17">
        <v>0</v>
      </c>
      <c r="AV9" s="18">
        <v>0</v>
      </c>
      <c r="AW9" s="19">
        <v>0</v>
      </c>
      <c r="AX9" s="19">
        <f t="shared" si="12"/>
        <v>0</v>
      </c>
      <c r="AY9" s="17">
        <v>0</v>
      </c>
      <c r="AZ9" s="18">
        <v>2</v>
      </c>
      <c r="BA9" s="19">
        <v>2</v>
      </c>
      <c r="BB9" s="19">
        <f t="shared" si="13"/>
        <v>0</v>
      </c>
      <c r="BC9" s="17">
        <v>0</v>
      </c>
      <c r="BD9" s="18">
        <v>0</v>
      </c>
      <c r="BE9" s="19">
        <v>0</v>
      </c>
      <c r="BF9" s="19">
        <f t="shared" si="14"/>
        <v>0</v>
      </c>
      <c r="BG9" s="17">
        <v>0</v>
      </c>
      <c r="BH9" s="18">
        <v>0</v>
      </c>
      <c r="BI9" s="19">
        <v>0</v>
      </c>
      <c r="BJ9" s="19">
        <f t="shared" si="15"/>
        <v>0</v>
      </c>
      <c r="BK9" s="17">
        <v>0</v>
      </c>
      <c r="BL9" s="18">
        <v>1</v>
      </c>
      <c r="BM9" s="19">
        <v>0</v>
      </c>
      <c r="BN9" s="19">
        <f t="shared" si="16"/>
        <v>1</v>
      </c>
      <c r="BO9" s="17">
        <v>1</v>
      </c>
      <c r="BP9" s="18">
        <v>0</v>
      </c>
      <c r="BQ9" s="19">
        <v>0</v>
      </c>
      <c r="BR9" s="19">
        <f t="shared" si="17"/>
        <v>0</v>
      </c>
      <c r="BS9" s="17">
        <v>0</v>
      </c>
      <c r="BT9" s="18">
        <f t="shared" si="18"/>
        <v>12</v>
      </c>
      <c r="BU9" s="19">
        <f t="shared" si="19"/>
        <v>1</v>
      </c>
      <c r="BV9" s="19">
        <f t="shared" si="20"/>
        <v>2</v>
      </c>
      <c r="BW9" s="19">
        <f t="shared" si="21"/>
        <v>0.92307692307692313</v>
      </c>
      <c r="BX9" s="19">
        <f t="shared" si="22"/>
        <v>0.8571428571428571</v>
      </c>
      <c r="BY9" s="17">
        <f t="shared" si="23"/>
        <v>0.88888888888888895</v>
      </c>
      <c r="CC9" s="75" t="s">
        <v>60</v>
      </c>
      <c r="CD9">
        <f>AVERAGE(BW15:BW16)</f>
        <v>0.9375</v>
      </c>
      <c r="CE9">
        <f t="shared" ref="CE9:CF9" si="29">AVERAGE(BX15:BX16)</f>
        <v>0.625</v>
      </c>
      <c r="CF9">
        <f t="shared" si="29"/>
        <v>0.75</v>
      </c>
    </row>
    <row r="10" spans="1:84" x14ac:dyDescent="0.35">
      <c r="A10" s="55" t="s">
        <v>10</v>
      </c>
      <c r="B10" s="108"/>
      <c r="C10" s="17" t="s">
        <v>18</v>
      </c>
      <c r="D10" s="18">
        <v>3</v>
      </c>
      <c r="E10" s="19">
        <v>3</v>
      </c>
      <c r="F10" s="19">
        <f t="shared" si="1"/>
        <v>0</v>
      </c>
      <c r="G10" s="17">
        <v>0</v>
      </c>
      <c r="H10" s="18">
        <v>0</v>
      </c>
      <c r="I10" s="19">
        <v>0</v>
      </c>
      <c r="J10" s="19">
        <f t="shared" si="2"/>
        <v>0</v>
      </c>
      <c r="K10" s="17">
        <v>0</v>
      </c>
      <c r="L10" s="18">
        <v>0</v>
      </c>
      <c r="M10" s="19">
        <v>0</v>
      </c>
      <c r="N10" s="19">
        <f t="shared" si="3"/>
        <v>0</v>
      </c>
      <c r="O10" s="17">
        <v>0</v>
      </c>
      <c r="P10" s="18">
        <v>5</v>
      </c>
      <c r="Q10" s="19">
        <v>5</v>
      </c>
      <c r="R10" s="19">
        <f t="shared" si="4"/>
        <v>0</v>
      </c>
      <c r="S10" s="17">
        <v>1</v>
      </c>
      <c r="T10" s="18">
        <v>0</v>
      </c>
      <c r="U10" s="19">
        <v>0</v>
      </c>
      <c r="V10" s="19">
        <f t="shared" si="5"/>
        <v>0</v>
      </c>
      <c r="W10" s="17">
        <v>0</v>
      </c>
      <c r="X10" s="18">
        <v>0</v>
      </c>
      <c r="Y10" s="19">
        <v>0</v>
      </c>
      <c r="Z10" s="19">
        <f t="shared" si="6"/>
        <v>0</v>
      </c>
      <c r="AA10" s="17">
        <v>0</v>
      </c>
      <c r="AB10" s="18">
        <v>0</v>
      </c>
      <c r="AC10" s="19">
        <v>0</v>
      </c>
      <c r="AD10" s="19">
        <f t="shared" si="7"/>
        <v>0</v>
      </c>
      <c r="AE10" s="17">
        <v>0</v>
      </c>
      <c r="AF10" s="18">
        <v>0</v>
      </c>
      <c r="AG10" s="19">
        <v>0</v>
      </c>
      <c r="AH10" s="19">
        <f t="shared" si="8"/>
        <v>0</v>
      </c>
      <c r="AI10" s="17">
        <v>0</v>
      </c>
      <c r="AJ10" s="18">
        <v>1</v>
      </c>
      <c r="AK10" s="19">
        <v>1</v>
      </c>
      <c r="AL10" s="19">
        <f t="shared" si="9"/>
        <v>0</v>
      </c>
      <c r="AM10" s="17">
        <v>0</v>
      </c>
      <c r="AN10" s="18">
        <v>0</v>
      </c>
      <c r="AO10" s="19">
        <v>0</v>
      </c>
      <c r="AP10" s="19">
        <f t="shared" si="10"/>
        <v>0</v>
      </c>
      <c r="AQ10" s="17">
        <v>0</v>
      </c>
      <c r="AR10" s="18">
        <v>1</v>
      </c>
      <c r="AS10" s="19">
        <v>1</v>
      </c>
      <c r="AT10" s="19">
        <f t="shared" si="11"/>
        <v>0</v>
      </c>
      <c r="AU10" s="17">
        <v>0</v>
      </c>
      <c r="AV10" s="18">
        <v>0</v>
      </c>
      <c r="AW10" s="19">
        <v>0</v>
      </c>
      <c r="AX10" s="19">
        <f t="shared" si="12"/>
        <v>0</v>
      </c>
      <c r="AY10" s="17">
        <v>0</v>
      </c>
      <c r="AZ10" s="18">
        <v>2</v>
      </c>
      <c r="BA10" s="19">
        <v>2</v>
      </c>
      <c r="BB10" s="19">
        <f t="shared" si="13"/>
        <v>0</v>
      </c>
      <c r="BC10" s="17">
        <v>0</v>
      </c>
      <c r="BD10" s="18">
        <v>0</v>
      </c>
      <c r="BE10" s="19">
        <v>0</v>
      </c>
      <c r="BF10" s="19">
        <f t="shared" si="14"/>
        <v>0</v>
      </c>
      <c r="BG10" s="17">
        <v>0</v>
      </c>
      <c r="BH10" s="18">
        <v>0</v>
      </c>
      <c r="BI10" s="19">
        <v>0</v>
      </c>
      <c r="BJ10" s="19">
        <f t="shared" si="15"/>
        <v>0</v>
      </c>
      <c r="BK10" s="17">
        <v>0</v>
      </c>
      <c r="BL10" s="18">
        <v>1</v>
      </c>
      <c r="BM10" s="19">
        <v>0</v>
      </c>
      <c r="BN10" s="19">
        <f t="shared" si="16"/>
        <v>1</v>
      </c>
      <c r="BO10" s="17">
        <v>2</v>
      </c>
      <c r="BP10" s="18">
        <v>0</v>
      </c>
      <c r="BQ10" s="19">
        <v>0</v>
      </c>
      <c r="BR10" s="19">
        <f t="shared" si="17"/>
        <v>0</v>
      </c>
      <c r="BS10" s="17">
        <v>0</v>
      </c>
      <c r="BT10" s="18">
        <f t="shared" si="18"/>
        <v>12</v>
      </c>
      <c r="BU10" s="19">
        <f t="shared" si="19"/>
        <v>1</v>
      </c>
      <c r="BV10" s="19">
        <f t="shared" si="20"/>
        <v>3</v>
      </c>
      <c r="BW10" s="19">
        <f t="shared" si="21"/>
        <v>0.92307692307692313</v>
      </c>
      <c r="BX10" s="19">
        <f t="shared" si="22"/>
        <v>0.8</v>
      </c>
      <c r="BY10" s="17">
        <f t="shared" si="23"/>
        <v>0.8571428571428571</v>
      </c>
      <c r="CC10" s="75" t="s">
        <v>61</v>
      </c>
      <c r="CD10">
        <f>AVERAGE(BW17:BW18)</f>
        <v>1</v>
      </c>
      <c r="CE10">
        <f t="shared" ref="CE10:CF10" si="30">AVERAGE(BX17:BX18)</f>
        <v>1</v>
      </c>
      <c r="CF10">
        <f t="shared" si="30"/>
        <v>1</v>
      </c>
    </row>
    <row r="11" spans="1:84" x14ac:dyDescent="0.35">
      <c r="A11" s="56" t="s">
        <v>10</v>
      </c>
      <c r="B11" s="108"/>
      <c r="C11" s="20" t="s">
        <v>19</v>
      </c>
      <c r="D11" s="21">
        <v>2</v>
      </c>
      <c r="E11" s="22">
        <v>2</v>
      </c>
      <c r="F11" s="22">
        <f t="shared" si="1"/>
        <v>0</v>
      </c>
      <c r="G11" s="20">
        <v>0</v>
      </c>
      <c r="H11" s="21">
        <v>2</v>
      </c>
      <c r="I11" s="22">
        <v>2</v>
      </c>
      <c r="J11" s="22">
        <f t="shared" si="2"/>
        <v>0</v>
      </c>
      <c r="K11" s="20">
        <v>0</v>
      </c>
      <c r="L11" s="21">
        <v>8</v>
      </c>
      <c r="M11" s="22">
        <v>8</v>
      </c>
      <c r="N11" s="22">
        <f t="shared" si="3"/>
        <v>0</v>
      </c>
      <c r="O11" s="20">
        <v>0</v>
      </c>
      <c r="P11" s="21">
        <v>7</v>
      </c>
      <c r="Q11" s="22">
        <v>7</v>
      </c>
      <c r="R11" s="22">
        <f t="shared" si="4"/>
        <v>0</v>
      </c>
      <c r="S11" s="20">
        <v>2</v>
      </c>
      <c r="T11" s="21">
        <v>0</v>
      </c>
      <c r="U11" s="22">
        <v>0</v>
      </c>
      <c r="V11" s="22">
        <f t="shared" si="5"/>
        <v>0</v>
      </c>
      <c r="W11" s="20">
        <v>9</v>
      </c>
      <c r="X11" s="21">
        <v>1</v>
      </c>
      <c r="Y11" s="22">
        <v>1</v>
      </c>
      <c r="Z11" s="22">
        <f t="shared" si="6"/>
        <v>0</v>
      </c>
      <c r="AA11" s="20">
        <v>0</v>
      </c>
      <c r="AB11" s="21">
        <v>1</v>
      </c>
      <c r="AC11" s="22">
        <v>1</v>
      </c>
      <c r="AD11" s="22">
        <f t="shared" si="7"/>
        <v>0</v>
      </c>
      <c r="AE11" s="20">
        <v>0</v>
      </c>
      <c r="AF11" s="21">
        <v>3</v>
      </c>
      <c r="AG11" s="22">
        <v>3</v>
      </c>
      <c r="AH11" s="22">
        <f t="shared" si="8"/>
        <v>0</v>
      </c>
      <c r="AI11" s="20">
        <v>0</v>
      </c>
      <c r="AJ11" s="21">
        <v>0</v>
      </c>
      <c r="AK11" s="22">
        <v>0</v>
      </c>
      <c r="AL11" s="22">
        <f t="shared" si="9"/>
        <v>0</v>
      </c>
      <c r="AM11" s="20">
        <v>0</v>
      </c>
      <c r="AN11" s="21">
        <v>0</v>
      </c>
      <c r="AO11" s="22">
        <v>0</v>
      </c>
      <c r="AP11" s="22">
        <f t="shared" si="10"/>
        <v>0</v>
      </c>
      <c r="AQ11" s="20">
        <v>0</v>
      </c>
      <c r="AR11" s="21">
        <v>0</v>
      </c>
      <c r="AS11" s="22">
        <v>0</v>
      </c>
      <c r="AT11" s="22">
        <f t="shared" si="11"/>
        <v>0</v>
      </c>
      <c r="AU11" s="20">
        <v>0</v>
      </c>
      <c r="AV11" s="21">
        <v>1</v>
      </c>
      <c r="AW11" s="22">
        <v>0</v>
      </c>
      <c r="AX11" s="22">
        <f t="shared" si="12"/>
        <v>1</v>
      </c>
      <c r="AY11" s="20">
        <v>2</v>
      </c>
      <c r="AZ11" s="21">
        <v>1</v>
      </c>
      <c r="BA11" s="22">
        <v>1</v>
      </c>
      <c r="BB11" s="22">
        <f t="shared" si="13"/>
        <v>0</v>
      </c>
      <c r="BC11" s="20">
        <v>1</v>
      </c>
      <c r="BD11" s="21">
        <v>0</v>
      </c>
      <c r="BE11" s="22">
        <v>0</v>
      </c>
      <c r="BF11" s="22">
        <f t="shared" si="14"/>
        <v>0</v>
      </c>
      <c r="BG11" s="20">
        <v>0</v>
      </c>
      <c r="BH11" s="21">
        <v>0</v>
      </c>
      <c r="BI11" s="22">
        <v>0</v>
      </c>
      <c r="BJ11" s="22">
        <f t="shared" si="15"/>
        <v>0</v>
      </c>
      <c r="BK11" s="20">
        <v>0</v>
      </c>
      <c r="BL11" s="21">
        <v>1</v>
      </c>
      <c r="BM11" s="22">
        <v>1</v>
      </c>
      <c r="BN11" s="22">
        <f t="shared" si="16"/>
        <v>0</v>
      </c>
      <c r="BO11" s="20">
        <v>1</v>
      </c>
      <c r="BP11" s="21">
        <v>0</v>
      </c>
      <c r="BQ11" s="22">
        <v>0</v>
      </c>
      <c r="BR11" s="22">
        <f t="shared" si="17"/>
        <v>0</v>
      </c>
      <c r="BS11" s="20">
        <v>0</v>
      </c>
      <c r="BT11" s="21">
        <f t="shared" si="18"/>
        <v>26</v>
      </c>
      <c r="BU11" s="22">
        <f t="shared" si="19"/>
        <v>1</v>
      </c>
      <c r="BV11" s="22">
        <f t="shared" si="20"/>
        <v>15</v>
      </c>
      <c r="BW11" s="22">
        <f t="shared" si="21"/>
        <v>0.96296296296296291</v>
      </c>
      <c r="BX11" s="22">
        <f t="shared" si="22"/>
        <v>0.63414634146341464</v>
      </c>
      <c r="BY11" s="20">
        <f t="shared" si="23"/>
        <v>0.76470588235294124</v>
      </c>
      <c r="CC11" s="75" t="s">
        <v>62</v>
      </c>
      <c r="CD11">
        <f>AVERAGE(BW19:BW20)</f>
        <v>0.67647058823529416</v>
      </c>
      <c r="CE11">
        <f t="shared" ref="CE11:CF11" si="31">AVERAGE(BX19:BX20)</f>
        <v>0.8125</v>
      </c>
      <c r="CF11">
        <f t="shared" si="31"/>
        <v>0.73458725182863116</v>
      </c>
    </row>
    <row r="12" spans="1:84" x14ac:dyDescent="0.35">
      <c r="A12" s="56" t="s">
        <v>10</v>
      </c>
      <c r="B12" s="108"/>
      <c r="C12" s="20" t="s">
        <v>20</v>
      </c>
      <c r="D12" s="21">
        <v>2</v>
      </c>
      <c r="E12" s="22">
        <v>2</v>
      </c>
      <c r="F12" s="22">
        <f t="shared" si="1"/>
        <v>0</v>
      </c>
      <c r="G12" s="20">
        <v>0</v>
      </c>
      <c r="H12" s="21">
        <v>2</v>
      </c>
      <c r="I12" s="22">
        <v>1</v>
      </c>
      <c r="J12" s="22">
        <f>H12-I12</f>
        <v>1</v>
      </c>
      <c r="K12" s="20">
        <v>0</v>
      </c>
      <c r="L12" s="21">
        <v>8</v>
      </c>
      <c r="M12" s="22">
        <v>4</v>
      </c>
      <c r="N12" s="22">
        <f t="shared" si="3"/>
        <v>4</v>
      </c>
      <c r="O12" s="20">
        <v>0</v>
      </c>
      <c r="P12" s="21">
        <v>7</v>
      </c>
      <c r="Q12" s="22">
        <v>3.5</v>
      </c>
      <c r="R12" s="22">
        <f t="shared" si="4"/>
        <v>3.5</v>
      </c>
      <c r="S12" s="20">
        <v>2</v>
      </c>
      <c r="T12" s="21">
        <v>0</v>
      </c>
      <c r="U12" s="22">
        <v>0</v>
      </c>
      <c r="V12" s="22">
        <f t="shared" si="5"/>
        <v>0</v>
      </c>
      <c r="W12" s="20">
        <v>0</v>
      </c>
      <c r="X12" s="21">
        <v>1</v>
      </c>
      <c r="Y12" s="22">
        <v>0.5</v>
      </c>
      <c r="Z12" s="22">
        <f t="shared" si="6"/>
        <v>0.5</v>
      </c>
      <c r="AA12" s="20">
        <v>0</v>
      </c>
      <c r="AB12" s="21">
        <v>1</v>
      </c>
      <c r="AC12" s="22">
        <v>1</v>
      </c>
      <c r="AD12" s="22">
        <f t="shared" si="7"/>
        <v>0</v>
      </c>
      <c r="AE12" s="20">
        <v>0</v>
      </c>
      <c r="AF12" s="21">
        <v>3</v>
      </c>
      <c r="AG12" s="22">
        <v>0</v>
      </c>
      <c r="AH12" s="22">
        <f t="shared" si="8"/>
        <v>3</v>
      </c>
      <c r="AI12" s="20">
        <v>0</v>
      </c>
      <c r="AJ12" s="21">
        <v>0</v>
      </c>
      <c r="AK12" s="22">
        <v>0</v>
      </c>
      <c r="AL12" s="22">
        <f t="shared" si="9"/>
        <v>0</v>
      </c>
      <c r="AM12" s="20">
        <v>0</v>
      </c>
      <c r="AN12" s="21">
        <v>0</v>
      </c>
      <c r="AO12" s="22">
        <v>0</v>
      </c>
      <c r="AP12" s="22">
        <f t="shared" si="10"/>
        <v>0</v>
      </c>
      <c r="AQ12" s="20">
        <v>0</v>
      </c>
      <c r="AR12" s="21">
        <v>0</v>
      </c>
      <c r="AS12" s="22">
        <v>0</v>
      </c>
      <c r="AT12" s="22">
        <f t="shared" si="11"/>
        <v>0</v>
      </c>
      <c r="AU12" s="20">
        <v>2</v>
      </c>
      <c r="AV12" s="21">
        <v>1</v>
      </c>
      <c r="AW12" s="22">
        <v>0</v>
      </c>
      <c r="AX12" s="22">
        <f>AV12-AW12</f>
        <v>1</v>
      </c>
      <c r="AY12" s="20">
        <v>0</v>
      </c>
      <c r="AZ12" s="21">
        <v>1</v>
      </c>
      <c r="BA12" s="22">
        <v>1</v>
      </c>
      <c r="BB12" s="22">
        <f t="shared" si="13"/>
        <v>0</v>
      </c>
      <c r="BC12" s="20">
        <v>1</v>
      </c>
      <c r="BD12" s="21">
        <v>0</v>
      </c>
      <c r="BE12" s="22">
        <v>0</v>
      </c>
      <c r="BF12" s="22">
        <f t="shared" si="14"/>
        <v>0</v>
      </c>
      <c r="BG12" s="20">
        <v>0</v>
      </c>
      <c r="BH12" s="21">
        <v>0</v>
      </c>
      <c r="BI12" s="22">
        <v>0</v>
      </c>
      <c r="BJ12" s="22">
        <f t="shared" si="15"/>
        <v>0</v>
      </c>
      <c r="BK12" s="20">
        <v>0</v>
      </c>
      <c r="BL12" s="21">
        <v>1</v>
      </c>
      <c r="BM12" s="22">
        <v>0</v>
      </c>
      <c r="BN12" s="22">
        <f t="shared" si="16"/>
        <v>1</v>
      </c>
      <c r="BO12" s="20">
        <v>2</v>
      </c>
      <c r="BP12" s="21">
        <v>0</v>
      </c>
      <c r="BQ12" s="22">
        <v>0</v>
      </c>
      <c r="BR12" s="22">
        <f t="shared" si="17"/>
        <v>0</v>
      </c>
      <c r="BS12" s="20">
        <v>0</v>
      </c>
      <c r="BT12" s="21">
        <f t="shared" si="18"/>
        <v>13</v>
      </c>
      <c r="BU12" s="22">
        <f t="shared" si="19"/>
        <v>14</v>
      </c>
      <c r="BV12" s="22">
        <f t="shared" si="20"/>
        <v>7</v>
      </c>
      <c r="BW12" s="22">
        <f t="shared" si="21"/>
        <v>0.48148148148148145</v>
      </c>
      <c r="BX12" s="22">
        <f t="shared" si="22"/>
        <v>0.65</v>
      </c>
      <c r="BY12" s="20">
        <f t="shared" si="23"/>
        <v>0.55319148936170204</v>
      </c>
      <c r="CC12" s="75" t="s">
        <v>63</v>
      </c>
      <c r="CD12">
        <f>AVERAGE(BW21:BW22)</f>
        <v>0.9</v>
      </c>
      <c r="CE12">
        <f t="shared" ref="CE12:CF12" si="32">AVERAGE(BX21:BX22)</f>
        <v>0.73051948051948057</v>
      </c>
      <c r="CF12">
        <f t="shared" si="32"/>
        <v>0.8035714285714286</v>
      </c>
    </row>
    <row r="13" spans="1:84" ht="13.5" customHeight="1" x14ac:dyDescent="0.35">
      <c r="A13" s="57" t="s">
        <v>10</v>
      </c>
      <c r="B13" s="108"/>
      <c r="C13" s="23" t="s">
        <v>21</v>
      </c>
      <c r="D13" s="24">
        <v>3</v>
      </c>
      <c r="E13" s="25">
        <v>3</v>
      </c>
      <c r="F13" s="25">
        <f t="shared" si="1"/>
        <v>0</v>
      </c>
      <c r="G13" s="23">
        <v>0</v>
      </c>
      <c r="H13" s="24">
        <v>0</v>
      </c>
      <c r="I13" s="25">
        <v>0</v>
      </c>
      <c r="J13" s="25">
        <f t="shared" si="2"/>
        <v>0</v>
      </c>
      <c r="K13" s="23">
        <v>0</v>
      </c>
      <c r="L13" s="24">
        <v>0</v>
      </c>
      <c r="M13" s="25">
        <v>0</v>
      </c>
      <c r="N13" s="25">
        <f t="shared" si="3"/>
        <v>0</v>
      </c>
      <c r="O13" s="23">
        <v>0</v>
      </c>
      <c r="P13" s="24">
        <v>5</v>
      </c>
      <c r="Q13" s="25">
        <v>5</v>
      </c>
      <c r="R13" s="25">
        <f t="shared" si="4"/>
        <v>0</v>
      </c>
      <c r="S13" s="23">
        <v>2</v>
      </c>
      <c r="T13" s="24">
        <v>0</v>
      </c>
      <c r="U13" s="25">
        <v>0</v>
      </c>
      <c r="V13" s="25">
        <f t="shared" si="5"/>
        <v>0</v>
      </c>
      <c r="W13" s="23">
        <v>7</v>
      </c>
      <c r="X13" s="24">
        <v>0</v>
      </c>
      <c r="Y13" s="25">
        <v>0</v>
      </c>
      <c r="Z13" s="25">
        <f t="shared" si="6"/>
        <v>0</v>
      </c>
      <c r="AA13" s="23">
        <v>0</v>
      </c>
      <c r="AB13" s="24">
        <v>0</v>
      </c>
      <c r="AC13" s="25">
        <v>0</v>
      </c>
      <c r="AD13" s="25">
        <f t="shared" si="7"/>
        <v>0</v>
      </c>
      <c r="AE13" s="23">
        <v>0</v>
      </c>
      <c r="AF13" s="24">
        <v>0</v>
      </c>
      <c r="AG13" s="25">
        <v>0</v>
      </c>
      <c r="AH13" s="25">
        <f t="shared" si="8"/>
        <v>0</v>
      </c>
      <c r="AI13" s="23">
        <v>0</v>
      </c>
      <c r="AJ13" s="24">
        <v>0</v>
      </c>
      <c r="AK13" s="25">
        <v>0</v>
      </c>
      <c r="AL13" s="25">
        <f t="shared" si="9"/>
        <v>0</v>
      </c>
      <c r="AM13" s="23">
        <v>0</v>
      </c>
      <c r="AN13" s="24">
        <v>0</v>
      </c>
      <c r="AO13" s="25">
        <v>0</v>
      </c>
      <c r="AP13" s="25">
        <f t="shared" si="10"/>
        <v>0</v>
      </c>
      <c r="AQ13" s="23">
        <v>0</v>
      </c>
      <c r="AR13" s="24">
        <v>2</v>
      </c>
      <c r="AS13" s="25">
        <v>0</v>
      </c>
      <c r="AT13" s="25">
        <f t="shared" si="11"/>
        <v>2</v>
      </c>
      <c r="AU13" s="23">
        <v>0</v>
      </c>
      <c r="AV13" s="24">
        <v>0</v>
      </c>
      <c r="AW13" s="25">
        <v>0</v>
      </c>
      <c r="AX13" s="25">
        <f t="shared" si="12"/>
        <v>0</v>
      </c>
      <c r="AY13" s="23">
        <v>0</v>
      </c>
      <c r="AZ13" s="24">
        <v>2</v>
      </c>
      <c r="BA13" s="25">
        <v>2</v>
      </c>
      <c r="BB13" s="25">
        <f t="shared" si="13"/>
        <v>0</v>
      </c>
      <c r="BC13" s="23">
        <v>0</v>
      </c>
      <c r="BD13" s="24">
        <v>0</v>
      </c>
      <c r="BE13" s="25">
        <v>0</v>
      </c>
      <c r="BF13" s="25">
        <f t="shared" si="14"/>
        <v>0</v>
      </c>
      <c r="BG13" s="23">
        <v>0</v>
      </c>
      <c r="BH13" s="24">
        <v>0</v>
      </c>
      <c r="BI13" s="25">
        <v>0</v>
      </c>
      <c r="BJ13" s="25">
        <f t="shared" si="15"/>
        <v>0</v>
      </c>
      <c r="BK13" s="23">
        <v>0</v>
      </c>
      <c r="BL13" s="24">
        <v>2</v>
      </c>
      <c r="BM13" s="25">
        <v>0</v>
      </c>
      <c r="BN13" s="25">
        <f t="shared" si="16"/>
        <v>2</v>
      </c>
      <c r="BO13" s="23">
        <v>0</v>
      </c>
      <c r="BP13" s="24">
        <v>0</v>
      </c>
      <c r="BQ13" s="25">
        <v>0</v>
      </c>
      <c r="BR13" s="25">
        <f t="shared" si="17"/>
        <v>0</v>
      </c>
      <c r="BS13" s="23">
        <v>2</v>
      </c>
      <c r="BT13" s="24">
        <f t="shared" si="18"/>
        <v>10</v>
      </c>
      <c r="BU13" s="25">
        <f t="shared" si="19"/>
        <v>4</v>
      </c>
      <c r="BV13" s="25">
        <f t="shared" si="20"/>
        <v>11</v>
      </c>
      <c r="BW13" s="25">
        <f t="shared" si="21"/>
        <v>0.7142857142857143</v>
      </c>
      <c r="BX13" s="25">
        <f t="shared" si="22"/>
        <v>0.47619047619047616</v>
      </c>
      <c r="BY13" s="23">
        <f t="shared" si="23"/>
        <v>0.5714285714285714</v>
      </c>
      <c r="CC13" s="75" t="s">
        <v>64</v>
      </c>
      <c r="CD13">
        <f>AVERAGE(BW23:BW24)</f>
        <v>0.72222222222222232</v>
      </c>
      <c r="CE13">
        <f t="shared" ref="CE13:CF13" si="33">AVERAGE(BX23:BX24)</f>
        <v>0.80952380952380953</v>
      </c>
      <c r="CF13">
        <f t="shared" si="33"/>
        <v>0.76041666666666674</v>
      </c>
    </row>
    <row r="14" spans="1:84" x14ac:dyDescent="0.35">
      <c r="A14" s="57" t="s">
        <v>10</v>
      </c>
      <c r="B14" s="108"/>
      <c r="C14" s="23" t="s">
        <v>22</v>
      </c>
      <c r="D14" s="24">
        <v>3</v>
      </c>
      <c r="E14" s="25">
        <v>3</v>
      </c>
      <c r="F14" s="25">
        <f t="shared" si="1"/>
        <v>0</v>
      </c>
      <c r="G14" s="23">
        <v>0</v>
      </c>
      <c r="H14" s="24">
        <v>0</v>
      </c>
      <c r="I14" s="24">
        <v>0</v>
      </c>
      <c r="J14" s="24">
        <v>0</v>
      </c>
      <c r="K14" s="23">
        <v>0</v>
      </c>
      <c r="L14" s="24">
        <v>0</v>
      </c>
      <c r="M14" s="24">
        <v>0</v>
      </c>
      <c r="N14" s="24">
        <v>0</v>
      </c>
      <c r="O14" s="23">
        <v>0</v>
      </c>
      <c r="P14" s="24">
        <v>5</v>
      </c>
      <c r="Q14" s="25">
        <v>5</v>
      </c>
      <c r="R14" s="25">
        <f t="shared" si="4"/>
        <v>0</v>
      </c>
      <c r="S14" s="23">
        <v>2</v>
      </c>
      <c r="T14" s="24">
        <v>0</v>
      </c>
      <c r="U14" s="25">
        <v>0</v>
      </c>
      <c r="V14" s="25">
        <v>0</v>
      </c>
      <c r="W14" s="23">
        <v>0</v>
      </c>
      <c r="X14" s="24">
        <v>0</v>
      </c>
      <c r="Y14" s="24">
        <v>0</v>
      </c>
      <c r="Z14" s="24">
        <f>X14-Y14</f>
        <v>0</v>
      </c>
      <c r="AA14" s="23">
        <v>0</v>
      </c>
      <c r="AB14" s="24">
        <v>0</v>
      </c>
      <c r="AC14" s="24">
        <v>0</v>
      </c>
      <c r="AD14" s="24">
        <f>AB14-AC14</f>
        <v>0</v>
      </c>
      <c r="AE14" s="23">
        <v>0</v>
      </c>
      <c r="AF14" s="24">
        <v>0</v>
      </c>
      <c r="AG14" s="24">
        <v>0</v>
      </c>
      <c r="AH14" s="24">
        <f>AF14-AG14</f>
        <v>0</v>
      </c>
      <c r="AI14" s="23">
        <v>0</v>
      </c>
      <c r="AJ14" s="24">
        <v>0</v>
      </c>
      <c r="AK14" s="24">
        <v>0</v>
      </c>
      <c r="AL14" s="24">
        <f>AJ14-AK14</f>
        <v>0</v>
      </c>
      <c r="AM14" s="23">
        <v>0</v>
      </c>
      <c r="AN14" s="24">
        <v>0</v>
      </c>
      <c r="AO14" s="24">
        <v>0</v>
      </c>
      <c r="AP14" s="24">
        <f>AN14-AO14</f>
        <v>0</v>
      </c>
      <c r="AQ14" s="23">
        <v>0</v>
      </c>
      <c r="AR14" s="24">
        <v>2</v>
      </c>
      <c r="AS14" s="25">
        <v>2</v>
      </c>
      <c r="AT14" s="25">
        <f t="shared" si="11"/>
        <v>0</v>
      </c>
      <c r="AU14" s="23">
        <v>0</v>
      </c>
      <c r="AV14" s="24">
        <v>0</v>
      </c>
      <c r="AW14" s="25">
        <v>0</v>
      </c>
      <c r="AX14" s="25">
        <f t="shared" si="12"/>
        <v>0</v>
      </c>
      <c r="AY14" s="23">
        <v>0</v>
      </c>
      <c r="AZ14" s="24">
        <v>2</v>
      </c>
      <c r="BA14" s="25">
        <v>2</v>
      </c>
      <c r="BB14" s="25">
        <f t="shared" si="13"/>
        <v>0</v>
      </c>
      <c r="BC14" s="23">
        <v>0</v>
      </c>
      <c r="BD14" s="24">
        <v>0</v>
      </c>
      <c r="BE14" s="25">
        <v>0</v>
      </c>
      <c r="BF14" s="25">
        <f t="shared" si="14"/>
        <v>0</v>
      </c>
      <c r="BG14" s="23">
        <v>0</v>
      </c>
      <c r="BH14" s="24">
        <v>0</v>
      </c>
      <c r="BI14" s="25">
        <v>0</v>
      </c>
      <c r="BJ14" s="25">
        <f t="shared" si="15"/>
        <v>0</v>
      </c>
      <c r="BK14" s="23">
        <v>0</v>
      </c>
      <c r="BL14" s="24">
        <v>2</v>
      </c>
      <c r="BM14" s="25">
        <v>0</v>
      </c>
      <c r="BN14" s="25">
        <f t="shared" si="16"/>
        <v>2</v>
      </c>
      <c r="BO14" s="23">
        <v>2</v>
      </c>
      <c r="BP14" s="24">
        <v>0</v>
      </c>
      <c r="BQ14" s="25">
        <v>0</v>
      </c>
      <c r="BR14" s="25">
        <f t="shared" si="17"/>
        <v>0</v>
      </c>
      <c r="BS14" s="23">
        <v>0</v>
      </c>
      <c r="BT14" s="24">
        <f t="shared" si="18"/>
        <v>12</v>
      </c>
      <c r="BU14" s="25">
        <f t="shared" si="19"/>
        <v>2</v>
      </c>
      <c r="BV14" s="25">
        <f t="shared" si="20"/>
        <v>4</v>
      </c>
      <c r="BW14" s="25">
        <f t="shared" si="21"/>
        <v>0.8571428571428571</v>
      </c>
      <c r="BX14" s="25">
        <f t="shared" si="22"/>
        <v>0.75</v>
      </c>
      <c r="BY14" s="23">
        <f t="shared" si="23"/>
        <v>0.79999999999999993</v>
      </c>
      <c r="CC14" s="75" t="s">
        <v>65</v>
      </c>
      <c r="CD14">
        <f>AVERAGE(BW25:BW26)</f>
        <v>1</v>
      </c>
      <c r="CE14">
        <f t="shared" ref="CE14:CF14" si="34">AVERAGE(BX25:BX26)</f>
        <v>1</v>
      </c>
      <c r="CF14">
        <f t="shared" si="34"/>
        <v>1</v>
      </c>
    </row>
    <row r="15" spans="1:84" x14ac:dyDescent="0.35">
      <c r="A15" s="58" t="s">
        <v>10</v>
      </c>
      <c r="B15" s="108"/>
      <c r="C15" s="26" t="s">
        <v>23</v>
      </c>
      <c r="D15" s="27">
        <v>2</v>
      </c>
      <c r="E15" s="28">
        <v>2</v>
      </c>
      <c r="F15" s="28">
        <f t="shared" si="1"/>
        <v>0</v>
      </c>
      <c r="G15" s="26">
        <v>0</v>
      </c>
      <c r="H15" s="27">
        <v>0</v>
      </c>
      <c r="I15" s="27">
        <v>0</v>
      </c>
      <c r="J15" s="27">
        <f t="shared" si="2"/>
        <v>0</v>
      </c>
      <c r="K15" s="26">
        <v>0</v>
      </c>
      <c r="L15" s="27">
        <v>0</v>
      </c>
      <c r="M15" s="27">
        <v>0</v>
      </c>
      <c r="N15" s="27">
        <f t="shared" si="3"/>
        <v>0</v>
      </c>
      <c r="O15" s="26">
        <v>0</v>
      </c>
      <c r="P15" s="27">
        <v>3</v>
      </c>
      <c r="Q15" s="28">
        <v>3</v>
      </c>
      <c r="R15" s="28">
        <f t="shared" si="4"/>
        <v>0</v>
      </c>
      <c r="S15" s="26">
        <v>1</v>
      </c>
      <c r="T15" s="27">
        <v>0</v>
      </c>
      <c r="U15" s="28">
        <v>0</v>
      </c>
      <c r="V15" s="28">
        <f t="shared" si="5"/>
        <v>0</v>
      </c>
      <c r="W15" s="26">
        <v>3</v>
      </c>
      <c r="X15" s="27">
        <v>0</v>
      </c>
      <c r="Y15" s="27">
        <v>0</v>
      </c>
      <c r="Z15" s="27">
        <f t="shared" si="6"/>
        <v>0</v>
      </c>
      <c r="AA15" s="26">
        <v>0</v>
      </c>
      <c r="AB15" s="27">
        <v>0</v>
      </c>
      <c r="AC15" s="27">
        <v>0</v>
      </c>
      <c r="AD15" s="27">
        <f t="shared" si="7"/>
        <v>0</v>
      </c>
      <c r="AE15" s="26">
        <v>0</v>
      </c>
      <c r="AF15" s="27">
        <v>0</v>
      </c>
      <c r="AG15" s="27">
        <v>0</v>
      </c>
      <c r="AH15" s="27">
        <f t="shared" si="8"/>
        <v>0</v>
      </c>
      <c r="AI15" s="26">
        <v>0</v>
      </c>
      <c r="AJ15" s="27">
        <v>0</v>
      </c>
      <c r="AK15" s="27">
        <v>0</v>
      </c>
      <c r="AL15" s="27">
        <f t="shared" si="9"/>
        <v>0</v>
      </c>
      <c r="AM15" s="26">
        <v>0</v>
      </c>
      <c r="AN15" s="27">
        <v>0</v>
      </c>
      <c r="AO15" s="27">
        <v>0</v>
      </c>
      <c r="AP15" s="27">
        <f t="shared" si="10"/>
        <v>0</v>
      </c>
      <c r="AQ15" s="26">
        <v>0</v>
      </c>
      <c r="AR15" s="27">
        <v>1</v>
      </c>
      <c r="AS15" s="28">
        <v>0</v>
      </c>
      <c r="AT15" s="28">
        <f t="shared" si="11"/>
        <v>1</v>
      </c>
      <c r="AU15" s="26">
        <v>0</v>
      </c>
      <c r="AV15" s="27">
        <v>0</v>
      </c>
      <c r="AW15" s="28">
        <v>0</v>
      </c>
      <c r="AX15" s="28">
        <f t="shared" si="12"/>
        <v>0</v>
      </c>
      <c r="AY15" s="26">
        <v>1</v>
      </c>
      <c r="AZ15" s="27">
        <v>1</v>
      </c>
      <c r="BA15" s="28">
        <v>1</v>
      </c>
      <c r="BB15" s="28">
        <f t="shared" si="13"/>
        <v>0</v>
      </c>
      <c r="BC15" s="26">
        <v>0</v>
      </c>
      <c r="BD15" s="27">
        <v>0</v>
      </c>
      <c r="BE15" s="28">
        <v>0</v>
      </c>
      <c r="BF15" s="28">
        <f t="shared" si="14"/>
        <v>0</v>
      </c>
      <c r="BG15" s="26">
        <v>0</v>
      </c>
      <c r="BH15" s="27">
        <v>0</v>
      </c>
      <c r="BI15" s="28">
        <v>0</v>
      </c>
      <c r="BJ15" s="28">
        <f t="shared" si="15"/>
        <v>0</v>
      </c>
      <c r="BK15" s="26">
        <v>0</v>
      </c>
      <c r="BL15" s="27">
        <v>1</v>
      </c>
      <c r="BM15" s="28">
        <v>1</v>
      </c>
      <c r="BN15" s="28">
        <f t="shared" si="16"/>
        <v>0</v>
      </c>
      <c r="BO15" s="26">
        <v>0</v>
      </c>
      <c r="BP15" s="27">
        <v>0</v>
      </c>
      <c r="BQ15" s="28">
        <v>0</v>
      </c>
      <c r="BR15" s="28">
        <f t="shared" si="17"/>
        <v>0</v>
      </c>
      <c r="BS15" s="26">
        <v>0</v>
      </c>
      <c r="BT15" s="27">
        <f t="shared" si="18"/>
        <v>7</v>
      </c>
      <c r="BU15" s="28">
        <f t="shared" si="19"/>
        <v>1</v>
      </c>
      <c r="BV15" s="28">
        <f t="shared" si="20"/>
        <v>5</v>
      </c>
      <c r="BW15" s="28">
        <f t="shared" si="21"/>
        <v>0.875</v>
      </c>
      <c r="BX15" s="28">
        <f t="shared" si="22"/>
        <v>0.58333333333333337</v>
      </c>
      <c r="BY15" s="26">
        <f t="shared" si="23"/>
        <v>0.70000000000000007</v>
      </c>
      <c r="CC15" s="75" t="s">
        <v>66</v>
      </c>
      <c r="CD15">
        <f>AVERAGE(BW27:BW28)</f>
        <v>0.70588235294117641</v>
      </c>
      <c r="CE15">
        <f t="shared" ref="CE15:CF15" si="35">AVERAGE(BX27:BX28)</f>
        <v>0.89166666666666661</v>
      </c>
      <c r="CF15">
        <f t="shared" si="35"/>
        <v>0.78556034482758619</v>
      </c>
    </row>
    <row r="16" spans="1:84" x14ac:dyDescent="0.35">
      <c r="A16" s="58" t="s">
        <v>10</v>
      </c>
      <c r="B16" s="108"/>
      <c r="C16" s="26" t="s">
        <v>24</v>
      </c>
      <c r="D16" s="27">
        <v>2</v>
      </c>
      <c r="E16" s="28">
        <v>2</v>
      </c>
      <c r="F16" s="28">
        <f t="shared" si="1"/>
        <v>0</v>
      </c>
      <c r="G16" s="26">
        <v>0</v>
      </c>
      <c r="H16" s="27">
        <v>0</v>
      </c>
      <c r="I16" s="27">
        <v>0</v>
      </c>
      <c r="J16" s="27">
        <f t="shared" si="2"/>
        <v>0</v>
      </c>
      <c r="K16" s="26">
        <v>0</v>
      </c>
      <c r="L16" s="27">
        <v>0</v>
      </c>
      <c r="M16" s="27">
        <v>0</v>
      </c>
      <c r="N16" s="27">
        <f t="shared" si="3"/>
        <v>0</v>
      </c>
      <c r="O16" s="26">
        <v>0</v>
      </c>
      <c r="P16" s="27">
        <v>3</v>
      </c>
      <c r="Q16" s="28">
        <v>3</v>
      </c>
      <c r="R16" s="28">
        <f t="shared" si="4"/>
        <v>0</v>
      </c>
      <c r="S16" s="26">
        <v>1</v>
      </c>
      <c r="T16" s="27">
        <v>0</v>
      </c>
      <c r="U16" s="28">
        <v>0</v>
      </c>
      <c r="V16" s="28">
        <f t="shared" si="5"/>
        <v>0</v>
      </c>
      <c r="W16" s="26">
        <v>3</v>
      </c>
      <c r="X16" s="27">
        <v>0</v>
      </c>
      <c r="Y16" s="27">
        <v>0</v>
      </c>
      <c r="Z16" s="27">
        <v>0</v>
      </c>
      <c r="AA16" s="26">
        <v>0</v>
      </c>
      <c r="AB16" s="27">
        <v>0</v>
      </c>
      <c r="AC16" s="27">
        <v>0</v>
      </c>
      <c r="AD16" s="27">
        <f t="shared" si="7"/>
        <v>0</v>
      </c>
      <c r="AE16" s="26">
        <v>0</v>
      </c>
      <c r="AF16" s="27">
        <v>0</v>
      </c>
      <c r="AG16" s="27">
        <v>0</v>
      </c>
      <c r="AH16" s="27">
        <f t="shared" si="8"/>
        <v>0</v>
      </c>
      <c r="AI16" s="26">
        <v>0</v>
      </c>
      <c r="AJ16" s="27">
        <v>0</v>
      </c>
      <c r="AK16" s="27">
        <v>0</v>
      </c>
      <c r="AL16" s="27">
        <f t="shared" si="9"/>
        <v>0</v>
      </c>
      <c r="AM16" s="26">
        <v>0</v>
      </c>
      <c r="AN16" s="27">
        <v>0</v>
      </c>
      <c r="AO16" s="27">
        <v>0</v>
      </c>
      <c r="AP16" s="27">
        <f t="shared" si="10"/>
        <v>0</v>
      </c>
      <c r="AQ16" s="26">
        <v>0</v>
      </c>
      <c r="AR16" s="27">
        <v>1</v>
      </c>
      <c r="AS16" s="28">
        <v>1</v>
      </c>
      <c r="AT16" s="28">
        <f t="shared" si="11"/>
        <v>0</v>
      </c>
      <c r="AU16" s="26">
        <v>0</v>
      </c>
      <c r="AV16" s="27">
        <v>0</v>
      </c>
      <c r="AW16" s="28">
        <v>0</v>
      </c>
      <c r="AX16" s="28">
        <f t="shared" si="12"/>
        <v>0</v>
      </c>
      <c r="AY16" s="26">
        <v>0</v>
      </c>
      <c r="AZ16" s="27">
        <v>1</v>
      </c>
      <c r="BA16" s="28">
        <v>1</v>
      </c>
      <c r="BB16" s="28">
        <f t="shared" si="13"/>
        <v>0</v>
      </c>
      <c r="BC16" s="26">
        <v>0</v>
      </c>
      <c r="BD16" s="27">
        <v>0</v>
      </c>
      <c r="BE16" s="28">
        <v>0</v>
      </c>
      <c r="BF16" s="28">
        <f t="shared" si="14"/>
        <v>0</v>
      </c>
      <c r="BG16" s="26">
        <v>0</v>
      </c>
      <c r="BH16" s="27">
        <v>0</v>
      </c>
      <c r="BI16" s="28">
        <v>0</v>
      </c>
      <c r="BJ16" s="28">
        <f t="shared" si="15"/>
        <v>0</v>
      </c>
      <c r="BK16" s="26">
        <v>0</v>
      </c>
      <c r="BL16" s="27">
        <v>1</v>
      </c>
      <c r="BM16" s="28">
        <v>1</v>
      </c>
      <c r="BN16" s="28">
        <f t="shared" si="16"/>
        <v>0</v>
      </c>
      <c r="BO16" s="26">
        <v>0</v>
      </c>
      <c r="BP16" s="27">
        <v>0</v>
      </c>
      <c r="BQ16" s="28">
        <v>0</v>
      </c>
      <c r="BR16" s="28">
        <f t="shared" si="17"/>
        <v>0</v>
      </c>
      <c r="BS16" s="26">
        <v>0</v>
      </c>
      <c r="BT16" s="27">
        <f t="shared" si="18"/>
        <v>8</v>
      </c>
      <c r="BU16" s="28">
        <f t="shared" si="19"/>
        <v>0</v>
      </c>
      <c r="BV16" s="28">
        <f t="shared" si="20"/>
        <v>4</v>
      </c>
      <c r="BW16" s="28">
        <f t="shared" si="21"/>
        <v>1</v>
      </c>
      <c r="BX16" s="28">
        <f t="shared" si="22"/>
        <v>0.66666666666666663</v>
      </c>
      <c r="BY16" s="26">
        <f t="shared" si="23"/>
        <v>0.8</v>
      </c>
      <c r="CC16" s="75" t="s">
        <v>67</v>
      </c>
      <c r="CD16">
        <f>AVERAGE(BW29:BW30)</f>
        <v>1</v>
      </c>
      <c r="CE16">
        <f t="shared" ref="CE16:CF16" si="36">AVERAGE(BX29:BX30)</f>
        <v>0.90909090909090906</v>
      </c>
      <c r="CF16">
        <f t="shared" si="36"/>
        <v>0.95238095238095233</v>
      </c>
    </row>
    <row r="17" spans="1:84" x14ac:dyDescent="0.35">
      <c r="A17" s="59" t="s">
        <v>10</v>
      </c>
      <c r="B17" s="108"/>
      <c r="C17" s="29" t="s">
        <v>25</v>
      </c>
      <c r="D17" s="30">
        <v>2</v>
      </c>
      <c r="E17" s="31">
        <v>2</v>
      </c>
      <c r="F17" s="31">
        <f t="shared" si="1"/>
        <v>0</v>
      </c>
      <c r="G17" s="29">
        <v>0</v>
      </c>
      <c r="H17" s="30">
        <v>0</v>
      </c>
      <c r="I17" s="31">
        <v>0</v>
      </c>
      <c r="J17" s="31">
        <f t="shared" si="2"/>
        <v>0</v>
      </c>
      <c r="K17" s="29">
        <v>0</v>
      </c>
      <c r="L17" s="30">
        <v>0</v>
      </c>
      <c r="M17" s="31">
        <v>0</v>
      </c>
      <c r="N17" s="31">
        <f t="shared" si="3"/>
        <v>0</v>
      </c>
      <c r="O17" s="29">
        <v>0</v>
      </c>
      <c r="P17" s="30">
        <v>3</v>
      </c>
      <c r="Q17" s="31">
        <v>3</v>
      </c>
      <c r="R17" s="31">
        <f t="shared" si="4"/>
        <v>0</v>
      </c>
      <c r="S17" s="29">
        <v>0</v>
      </c>
      <c r="T17" s="30">
        <v>0</v>
      </c>
      <c r="U17" s="31">
        <v>0</v>
      </c>
      <c r="V17" s="31">
        <f t="shared" si="5"/>
        <v>0</v>
      </c>
      <c r="W17" s="29">
        <v>0</v>
      </c>
      <c r="X17" s="30">
        <v>1</v>
      </c>
      <c r="Y17" s="31">
        <v>1</v>
      </c>
      <c r="Z17" s="31">
        <f t="shared" si="6"/>
        <v>0</v>
      </c>
      <c r="AA17" s="29">
        <v>0</v>
      </c>
      <c r="AB17" s="30">
        <v>1</v>
      </c>
      <c r="AC17" s="31">
        <v>1</v>
      </c>
      <c r="AD17" s="31">
        <f t="shared" si="7"/>
        <v>0</v>
      </c>
      <c r="AE17" s="29">
        <v>0</v>
      </c>
      <c r="AF17" s="30">
        <v>1</v>
      </c>
      <c r="AG17" s="31">
        <v>1</v>
      </c>
      <c r="AH17" s="31">
        <f t="shared" si="8"/>
        <v>0</v>
      </c>
      <c r="AI17" s="29">
        <v>0</v>
      </c>
      <c r="AJ17" s="30">
        <v>0</v>
      </c>
      <c r="AK17" s="31">
        <v>0</v>
      </c>
      <c r="AL17" s="31">
        <f t="shared" si="9"/>
        <v>0</v>
      </c>
      <c r="AM17" s="29">
        <v>0</v>
      </c>
      <c r="AN17" s="30">
        <v>0</v>
      </c>
      <c r="AO17" s="31">
        <v>0</v>
      </c>
      <c r="AP17" s="31">
        <f t="shared" si="10"/>
        <v>0</v>
      </c>
      <c r="AQ17" s="29">
        <v>0</v>
      </c>
      <c r="AR17" s="30">
        <v>0</v>
      </c>
      <c r="AS17" s="31">
        <v>0</v>
      </c>
      <c r="AT17" s="31">
        <f t="shared" si="11"/>
        <v>0</v>
      </c>
      <c r="AU17" s="29">
        <v>0</v>
      </c>
      <c r="AV17" s="30">
        <v>0</v>
      </c>
      <c r="AW17" s="31">
        <v>0</v>
      </c>
      <c r="AX17" s="31">
        <f t="shared" si="12"/>
        <v>0</v>
      </c>
      <c r="AY17" s="29">
        <v>0</v>
      </c>
      <c r="AZ17" s="30">
        <v>1</v>
      </c>
      <c r="BA17" s="31">
        <v>1</v>
      </c>
      <c r="BB17" s="31">
        <f t="shared" si="13"/>
        <v>0</v>
      </c>
      <c r="BC17" s="29">
        <v>0</v>
      </c>
      <c r="BD17" s="30">
        <v>0</v>
      </c>
      <c r="BE17" s="31">
        <v>0</v>
      </c>
      <c r="BF17" s="31">
        <f t="shared" si="14"/>
        <v>0</v>
      </c>
      <c r="BG17" s="29">
        <v>0</v>
      </c>
      <c r="BH17" s="30">
        <v>0</v>
      </c>
      <c r="BI17" s="31">
        <v>0</v>
      </c>
      <c r="BJ17" s="31">
        <f t="shared" si="15"/>
        <v>0</v>
      </c>
      <c r="BK17" s="29">
        <v>0</v>
      </c>
      <c r="BL17" s="30">
        <v>0</v>
      </c>
      <c r="BM17" s="31">
        <v>0</v>
      </c>
      <c r="BN17" s="31">
        <f t="shared" si="16"/>
        <v>0</v>
      </c>
      <c r="BO17" s="29">
        <v>0</v>
      </c>
      <c r="BP17" s="30">
        <v>1</v>
      </c>
      <c r="BQ17" s="31">
        <v>1</v>
      </c>
      <c r="BR17" s="31">
        <f t="shared" si="17"/>
        <v>0</v>
      </c>
      <c r="BS17" s="29">
        <v>0</v>
      </c>
      <c r="BT17" s="30">
        <f t="shared" si="18"/>
        <v>10</v>
      </c>
      <c r="BU17" s="31">
        <f t="shared" si="19"/>
        <v>0</v>
      </c>
      <c r="BV17" s="31">
        <f t="shared" si="20"/>
        <v>0</v>
      </c>
      <c r="BW17" s="31">
        <f t="shared" si="21"/>
        <v>1</v>
      </c>
      <c r="BX17" s="31">
        <f t="shared" si="22"/>
        <v>1</v>
      </c>
      <c r="BY17" s="29">
        <f t="shared" si="23"/>
        <v>1</v>
      </c>
      <c r="CC17" s="75" t="s">
        <v>42</v>
      </c>
      <c r="CD17">
        <f>AVERAGE(CD3:CD16)</f>
        <v>0.88141109007705654</v>
      </c>
      <c r="CE17">
        <f t="shared" ref="CE17:CF17" si="37">AVERAGE(CE3:CE16)</f>
        <v>0.82564663152770346</v>
      </c>
      <c r="CF17">
        <f t="shared" si="37"/>
        <v>0.84379027682090524</v>
      </c>
    </row>
    <row r="18" spans="1:84" x14ac:dyDescent="0.35">
      <c r="A18" s="59" t="s">
        <v>10</v>
      </c>
      <c r="B18" s="108"/>
      <c r="C18" s="29" t="s">
        <v>26</v>
      </c>
      <c r="D18" s="30">
        <v>2</v>
      </c>
      <c r="E18" s="31">
        <v>2</v>
      </c>
      <c r="F18" s="31">
        <f t="shared" si="1"/>
        <v>0</v>
      </c>
      <c r="G18" s="29">
        <v>0</v>
      </c>
      <c r="H18" s="30">
        <v>0</v>
      </c>
      <c r="I18" s="31">
        <v>0</v>
      </c>
      <c r="J18" s="31">
        <f t="shared" si="2"/>
        <v>0</v>
      </c>
      <c r="K18" s="29">
        <v>0</v>
      </c>
      <c r="L18" s="30">
        <v>0</v>
      </c>
      <c r="M18" s="31">
        <v>0</v>
      </c>
      <c r="N18" s="31">
        <f t="shared" si="3"/>
        <v>0</v>
      </c>
      <c r="O18" s="29">
        <v>0</v>
      </c>
      <c r="P18" s="30">
        <v>3</v>
      </c>
      <c r="Q18" s="31">
        <v>3</v>
      </c>
      <c r="R18" s="31">
        <f t="shared" si="4"/>
        <v>0</v>
      </c>
      <c r="S18" s="29">
        <v>0</v>
      </c>
      <c r="T18" s="30">
        <v>0</v>
      </c>
      <c r="U18" s="31">
        <v>0</v>
      </c>
      <c r="V18" s="31">
        <f t="shared" si="5"/>
        <v>0</v>
      </c>
      <c r="W18" s="29">
        <v>0</v>
      </c>
      <c r="X18" s="30">
        <v>1</v>
      </c>
      <c r="Y18" s="31">
        <v>1</v>
      </c>
      <c r="Z18" s="31">
        <f t="shared" si="6"/>
        <v>0</v>
      </c>
      <c r="AA18" s="29">
        <v>0</v>
      </c>
      <c r="AB18" s="30">
        <v>1</v>
      </c>
      <c r="AC18" s="31">
        <v>1</v>
      </c>
      <c r="AD18" s="31">
        <f t="shared" si="7"/>
        <v>0</v>
      </c>
      <c r="AE18" s="29">
        <v>0</v>
      </c>
      <c r="AF18" s="30">
        <v>1</v>
      </c>
      <c r="AG18" s="31">
        <v>1</v>
      </c>
      <c r="AH18" s="31">
        <f t="shared" si="8"/>
        <v>0</v>
      </c>
      <c r="AI18" s="29">
        <v>0</v>
      </c>
      <c r="AJ18" s="30">
        <v>0</v>
      </c>
      <c r="AK18" s="31">
        <v>0</v>
      </c>
      <c r="AL18" s="31">
        <f t="shared" si="9"/>
        <v>0</v>
      </c>
      <c r="AM18" s="29">
        <v>0</v>
      </c>
      <c r="AN18" s="30">
        <v>0</v>
      </c>
      <c r="AO18" s="31">
        <v>0</v>
      </c>
      <c r="AP18" s="31">
        <f t="shared" si="10"/>
        <v>0</v>
      </c>
      <c r="AQ18" s="29">
        <v>0</v>
      </c>
      <c r="AR18" s="30">
        <v>0</v>
      </c>
      <c r="AS18" s="31">
        <v>0</v>
      </c>
      <c r="AT18" s="31">
        <f t="shared" si="11"/>
        <v>0</v>
      </c>
      <c r="AU18" s="29">
        <v>0</v>
      </c>
      <c r="AV18" s="30">
        <v>0</v>
      </c>
      <c r="AW18" s="31">
        <v>0</v>
      </c>
      <c r="AX18" s="31">
        <f t="shared" si="12"/>
        <v>0</v>
      </c>
      <c r="AY18" s="29">
        <v>0</v>
      </c>
      <c r="AZ18" s="30">
        <v>1</v>
      </c>
      <c r="BA18" s="31">
        <v>1</v>
      </c>
      <c r="BB18" s="31">
        <f t="shared" si="13"/>
        <v>0</v>
      </c>
      <c r="BC18" s="29">
        <v>0</v>
      </c>
      <c r="BD18" s="30">
        <v>0</v>
      </c>
      <c r="BE18" s="31">
        <v>0</v>
      </c>
      <c r="BF18" s="31">
        <f t="shared" si="14"/>
        <v>0</v>
      </c>
      <c r="BG18" s="29">
        <v>0</v>
      </c>
      <c r="BH18" s="30">
        <v>0</v>
      </c>
      <c r="BI18" s="31">
        <v>0</v>
      </c>
      <c r="BJ18" s="31">
        <f t="shared" si="15"/>
        <v>0</v>
      </c>
      <c r="BK18" s="29">
        <v>0</v>
      </c>
      <c r="BL18" s="30">
        <v>0</v>
      </c>
      <c r="BM18" s="31">
        <v>0</v>
      </c>
      <c r="BN18" s="31">
        <f>BL18-BM18</f>
        <v>0</v>
      </c>
      <c r="BO18" s="29">
        <v>0</v>
      </c>
      <c r="BP18" s="30">
        <v>1</v>
      </c>
      <c r="BQ18" s="31">
        <v>1</v>
      </c>
      <c r="BR18" s="31">
        <f t="shared" si="17"/>
        <v>0</v>
      </c>
      <c r="BS18" s="29">
        <v>0</v>
      </c>
      <c r="BT18" s="30">
        <f t="shared" si="18"/>
        <v>10</v>
      </c>
      <c r="BU18" s="31">
        <f t="shared" si="19"/>
        <v>0</v>
      </c>
      <c r="BV18" s="31">
        <f t="shared" si="20"/>
        <v>0</v>
      </c>
      <c r="BW18" s="31">
        <f t="shared" si="21"/>
        <v>1</v>
      </c>
      <c r="BX18" s="31">
        <f t="shared" si="22"/>
        <v>1</v>
      </c>
      <c r="BY18" s="29">
        <f t="shared" si="23"/>
        <v>1</v>
      </c>
    </row>
    <row r="19" spans="1:84" x14ac:dyDescent="0.35">
      <c r="A19" s="60" t="s">
        <v>10</v>
      </c>
      <c r="B19" s="108"/>
      <c r="C19" s="32" t="s">
        <v>27</v>
      </c>
      <c r="D19" s="33">
        <v>3</v>
      </c>
      <c r="E19" s="34">
        <v>3</v>
      </c>
      <c r="F19" s="34">
        <f t="shared" si="1"/>
        <v>0</v>
      </c>
      <c r="G19" s="32">
        <v>0</v>
      </c>
      <c r="H19" s="33">
        <v>0</v>
      </c>
      <c r="I19" s="34">
        <v>0</v>
      </c>
      <c r="J19" s="34">
        <f t="shared" si="2"/>
        <v>0</v>
      </c>
      <c r="K19" s="32">
        <v>0</v>
      </c>
      <c r="L19" s="33">
        <v>0</v>
      </c>
      <c r="M19" s="34">
        <v>0</v>
      </c>
      <c r="N19" s="34">
        <f t="shared" si="3"/>
        <v>0</v>
      </c>
      <c r="O19" s="32">
        <v>0</v>
      </c>
      <c r="P19" s="33">
        <v>3</v>
      </c>
      <c r="Q19" s="34">
        <v>3</v>
      </c>
      <c r="R19" s="34">
        <f t="shared" si="4"/>
        <v>0</v>
      </c>
      <c r="S19" s="32">
        <v>0</v>
      </c>
      <c r="T19" s="33">
        <v>0</v>
      </c>
      <c r="U19" s="34">
        <v>0</v>
      </c>
      <c r="V19" s="34">
        <f t="shared" si="5"/>
        <v>0</v>
      </c>
      <c r="W19" s="32">
        <v>0</v>
      </c>
      <c r="X19" s="33">
        <v>2</v>
      </c>
      <c r="Y19" s="34">
        <v>2</v>
      </c>
      <c r="Z19" s="34">
        <f t="shared" si="6"/>
        <v>0</v>
      </c>
      <c r="AA19" s="32">
        <v>0</v>
      </c>
      <c r="AB19" s="33">
        <v>2</v>
      </c>
      <c r="AC19" s="34">
        <v>2</v>
      </c>
      <c r="AD19" s="34">
        <f t="shared" si="7"/>
        <v>0</v>
      </c>
      <c r="AE19" s="32">
        <v>0</v>
      </c>
      <c r="AF19" s="33">
        <v>2</v>
      </c>
      <c r="AG19" s="34">
        <v>2</v>
      </c>
      <c r="AH19" s="34">
        <f t="shared" si="8"/>
        <v>0</v>
      </c>
      <c r="AI19" s="32">
        <v>0</v>
      </c>
      <c r="AJ19" s="33">
        <v>0</v>
      </c>
      <c r="AK19" s="34">
        <v>0</v>
      </c>
      <c r="AL19" s="34">
        <f t="shared" si="9"/>
        <v>0</v>
      </c>
      <c r="AM19" s="32">
        <v>0</v>
      </c>
      <c r="AN19" s="33">
        <v>0</v>
      </c>
      <c r="AO19" s="34">
        <v>0</v>
      </c>
      <c r="AP19" s="34">
        <f t="shared" si="10"/>
        <v>0</v>
      </c>
      <c r="AQ19" s="32">
        <v>0</v>
      </c>
      <c r="AR19" s="33">
        <v>0</v>
      </c>
      <c r="AS19" s="34">
        <v>0</v>
      </c>
      <c r="AT19" s="34">
        <f t="shared" si="11"/>
        <v>0</v>
      </c>
      <c r="AU19" s="32">
        <v>1</v>
      </c>
      <c r="AV19" s="33">
        <v>0</v>
      </c>
      <c r="AW19" s="34">
        <v>0</v>
      </c>
      <c r="AX19" s="34">
        <f t="shared" si="12"/>
        <v>0</v>
      </c>
      <c r="AY19" s="32">
        <v>0</v>
      </c>
      <c r="AZ19" s="33">
        <v>2</v>
      </c>
      <c r="BA19" s="34">
        <v>1</v>
      </c>
      <c r="BB19" s="34">
        <f t="shared" si="13"/>
        <v>1</v>
      </c>
      <c r="BC19" s="32">
        <v>0</v>
      </c>
      <c r="BD19" s="33">
        <v>0</v>
      </c>
      <c r="BE19" s="34">
        <v>0</v>
      </c>
      <c r="BF19" s="34">
        <f t="shared" si="14"/>
        <v>0</v>
      </c>
      <c r="BG19" s="32">
        <v>0</v>
      </c>
      <c r="BH19" s="33">
        <v>1</v>
      </c>
      <c r="BI19" s="34">
        <v>1</v>
      </c>
      <c r="BJ19" s="34">
        <f t="shared" si="15"/>
        <v>0</v>
      </c>
      <c r="BK19" s="32">
        <v>0</v>
      </c>
      <c r="BL19" s="33">
        <v>0</v>
      </c>
      <c r="BM19" s="34">
        <v>0</v>
      </c>
      <c r="BN19" s="34">
        <f t="shared" si="16"/>
        <v>0</v>
      </c>
      <c r="BO19" s="32">
        <v>1</v>
      </c>
      <c r="BP19" s="33">
        <v>2</v>
      </c>
      <c r="BQ19" s="34">
        <v>0</v>
      </c>
      <c r="BR19" s="34">
        <f t="shared" si="17"/>
        <v>2</v>
      </c>
      <c r="BS19" s="32">
        <v>0</v>
      </c>
      <c r="BT19" s="33">
        <f t="shared" si="18"/>
        <v>14</v>
      </c>
      <c r="BU19" s="34">
        <f t="shared" si="19"/>
        <v>3</v>
      </c>
      <c r="BV19" s="34">
        <f t="shared" si="20"/>
        <v>2</v>
      </c>
      <c r="BW19" s="34">
        <f t="shared" si="21"/>
        <v>0.82352941176470584</v>
      </c>
      <c r="BX19" s="34">
        <f t="shared" si="22"/>
        <v>0.875</v>
      </c>
      <c r="BY19" s="32">
        <f t="shared" si="23"/>
        <v>0.84848484848484851</v>
      </c>
    </row>
    <row r="20" spans="1:84" x14ac:dyDescent="0.35">
      <c r="A20" s="60" t="s">
        <v>10</v>
      </c>
      <c r="B20" s="108"/>
      <c r="C20" s="32" t="s">
        <v>28</v>
      </c>
      <c r="D20" s="33">
        <v>3</v>
      </c>
      <c r="E20" s="34">
        <v>2</v>
      </c>
      <c r="F20" s="34">
        <f t="shared" si="1"/>
        <v>1</v>
      </c>
      <c r="G20" s="32">
        <v>0</v>
      </c>
      <c r="H20" s="33">
        <v>0</v>
      </c>
      <c r="I20" s="34">
        <v>0</v>
      </c>
      <c r="J20" s="34">
        <f t="shared" si="2"/>
        <v>0</v>
      </c>
      <c r="K20" s="32">
        <v>0</v>
      </c>
      <c r="L20" s="33">
        <v>0</v>
      </c>
      <c r="M20" s="34">
        <v>0</v>
      </c>
      <c r="N20" s="34">
        <f t="shared" si="3"/>
        <v>0</v>
      </c>
      <c r="O20" s="32">
        <v>0</v>
      </c>
      <c r="P20" s="33">
        <v>3</v>
      </c>
      <c r="Q20" s="34">
        <v>3</v>
      </c>
      <c r="R20" s="34">
        <f t="shared" si="4"/>
        <v>0</v>
      </c>
      <c r="S20" s="32">
        <v>0</v>
      </c>
      <c r="T20" s="33">
        <v>0</v>
      </c>
      <c r="U20" s="34">
        <v>0</v>
      </c>
      <c r="V20" s="34">
        <f t="shared" si="5"/>
        <v>0</v>
      </c>
      <c r="W20" s="32">
        <v>0</v>
      </c>
      <c r="X20" s="33">
        <v>2</v>
      </c>
      <c r="Y20" s="34">
        <v>1</v>
      </c>
      <c r="Z20" s="34">
        <f t="shared" si="6"/>
        <v>1</v>
      </c>
      <c r="AA20" s="32">
        <v>0</v>
      </c>
      <c r="AB20" s="33">
        <v>2</v>
      </c>
      <c r="AC20" s="34">
        <v>1</v>
      </c>
      <c r="AD20" s="34">
        <f t="shared" si="7"/>
        <v>1</v>
      </c>
      <c r="AE20" s="32">
        <v>0</v>
      </c>
      <c r="AF20" s="33">
        <v>2</v>
      </c>
      <c r="AG20" s="34">
        <v>1</v>
      </c>
      <c r="AH20" s="34">
        <f t="shared" si="8"/>
        <v>1</v>
      </c>
      <c r="AI20" s="32">
        <v>0</v>
      </c>
      <c r="AJ20" s="33">
        <v>0</v>
      </c>
      <c r="AK20" s="34">
        <v>0</v>
      </c>
      <c r="AL20" s="34">
        <f t="shared" si="9"/>
        <v>0</v>
      </c>
      <c r="AM20" s="32">
        <v>0</v>
      </c>
      <c r="AN20" s="33">
        <v>0</v>
      </c>
      <c r="AO20" s="34">
        <v>0</v>
      </c>
      <c r="AP20" s="34">
        <f t="shared" si="10"/>
        <v>0</v>
      </c>
      <c r="AQ20" s="32">
        <v>0</v>
      </c>
      <c r="AR20" s="33">
        <v>0</v>
      </c>
      <c r="AS20" s="34">
        <v>0</v>
      </c>
      <c r="AT20" s="34">
        <f t="shared" si="11"/>
        <v>0</v>
      </c>
      <c r="AU20" s="32">
        <v>0</v>
      </c>
      <c r="AV20" s="33">
        <v>0</v>
      </c>
      <c r="AW20" s="34">
        <v>0</v>
      </c>
      <c r="AX20" s="34">
        <f t="shared" si="12"/>
        <v>0</v>
      </c>
      <c r="AY20" s="32">
        <v>1</v>
      </c>
      <c r="AZ20" s="33">
        <v>2</v>
      </c>
      <c r="BA20" s="34">
        <v>1</v>
      </c>
      <c r="BB20" s="34">
        <f t="shared" si="13"/>
        <v>1</v>
      </c>
      <c r="BC20" s="32">
        <v>0</v>
      </c>
      <c r="BD20" s="33">
        <v>0</v>
      </c>
      <c r="BE20" s="34">
        <v>0</v>
      </c>
      <c r="BF20" s="34">
        <f t="shared" si="14"/>
        <v>0</v>
      </c>
      <c r="BG20" s="32">
        <v>0</v>
      </c>
      <c r="BH20" s="33">
        <v>1</v>
      </c>
      <c r="BI20" s="34">
        <v>0</v>
      </c>
      <c r="BJ20" s="34">
        <f t="shared" si="15"/>
        <v>1</v>
      </c>
      <c r="BK20" s="32">
        <v>1</v>
      </c>
      <c r="BL20" s="33">
        <v>0</v>
      </c>
      <c r="BM20" s="34">
        <v>0</v>
      </c>
      <c r="BN20" s="34">
        <f t="shared" si="16"/>
        <v>0</v>
      </c>
      <c r="BO20" s="32">
        <v>1</v>
      </c>
      <c r="BP20" s="33">
        <v>2</v>
      </c>
      <c r="BQ20" s="34">
        <v>0</v>
      </c>
      <c r="BR20" s="34">
        <f t="shared" si="17"/>
        <v>2</v>
      </c>
      <c r="BS20" s="32">
        <v>0</v>
      </c>
      <c r="BT20" s="33">
        <f t="shared" si="18"/>
        <v>9</v>
      </c>
      <c r="BU20" s="34">
        <f t="shared" si="19"/>
        <v>8</v>
      </c>
      <c r="BV20" s="34">
        <f t="shared" si="20"/>
        <v>3</v>
      </c>
      <c r="BW20" s="34">
        <f t="shared" si="21"/>
        <v>0.52941176470588236</v>
      </c>
      <c r="BX20" s="34">
        <f t="shared" si="22"/>
        <v>0.75</v>
      </c>
      <c r="BY20" s="32">
        <f t="shared" si="23"/>
        <v>0.62068965517241392</v>
      </c>
    </row>
    <row r="21" spans="1:84" x14ac:dyDescent="0.35">
      <c r="A21" s="61" t="s">
        <v>10</v>
      </c>
      <c r="B21" s="108"/>
      <c r="C21" s="35" t="s">
        <v>29</v>
      </c>
      <c r="D21" s="36">
        <v>2</v>
      </c>
      <c r="E21" s="37">
        <v>2</v>
      </c>
      <c r="F21" s="37">
        <f t="shared" si="1"/>
        <v>0</v>
      </c>
      <c r="G21" s="35">
        <v>0</v>
      </c>
      <c r="H21" s="36">
        <v>0</v>
      </c>
      <c r="I21" s="37">
        <v>0</v>
      </c>
      <c r="J21" s="37">
        <f t="shared" si="2"/>
        <v>0</v>
      </c>
      <c r="K21" s="35">
        <v>0</v>
      </c>
      <c r="L21" s="36">
        <v>0</v>
      </c>
      <c r="M21" s="37">
        <v>0</v>
      </c>
      <c r="N21" s="37">
        <f t="shared" si="3"/>
        <v>0</v>
      </c>
      <c r="O21" s="35">
        <v>0</v>
      </c>
      <c r="P21" s="36">
        <v>3</v>
      </c>
      <c r="Q21" s="37">
        <v>3</v>
      </c>
      <c r="R21" s="37">
        <f t="shared" si="4"/>
        <v>0</v>
      </c>
      <c r="S21" s="35">
        <v>0</v>
      </c>
      <c r="T21" s="36">
        <v>0</v>
      </c>
      <c r="U21" s="37">
        <v>0</v>
      </c>
      <c r="V21" s="37">
        <f t="shared" si="5"/>
        <v>0</v>
      </c>
      <c r="W21" s="35">
        <v>3</v>
      </c>
      <c r="X21" s="36">
        <v>1</v>
      </c>
      <c r="Y21" s="37">
        <v>1</v>
      </c>
      <c r="Z21" s="37">
        <f t="shared" si="6"/>
        <v>0</v>
      </c>
      <c r="AA21" s="35">
        <v>0</v>
      </c>
      <c r="AB21" s="36">
        <v>1</v>
      </c>
      <c r="AC21" s="37">
        <v>1</v>
      </c>
      <c r="AD21" s="37">
        <f t="shared" si="7"/>
        <v>0</v>
      </c>
      <c r="AE21" s="35">
        <v>0</v>
      </c>
      <c r="AF21" s="36">
        <v>1</v>
      </c>
      <c r="AG21" s="37">
        <v>1</v>
      </c>
      <c r="AH21" s="37">
        <f t="shared" si="8"/>
        <v>0</v>
      </c>
      <c r="AI21" s="35">
        <v>0</v>
      </c>
      <c r="AJ21" s="36">
        <v>0</v>
      </c>
      <c r="AK21" s="37">
        <v>0</v>
      </c>
      <c r="AL21" s="37">
        <f t="shared" si="9"/>
        <v>0</v>
      </c>
      <c r="AM21" s="35">
        <v>0</v>
      </c>
      <c r="AN21" s="36">
        <v>0</v>
      </c>
      <c r="AO21" s="37">
        <v>0</v>
      </c>
      <c r="AP21" s="37">
        <f t="shared" si="10"/>
        <v>0</v>
      </c>
      <c r="AQ21" s="35">
        <v>0</v>
      </c>
      <c r="AR21" s="36">
        <v>0</v>
      </c>
      <c r="AS21" s="37">
        <v>0</v>
      </c>
      <c r="AT21" s="37">
        <f t="shared" si="11"/>
        <v>0</v>
      </c>
      <c r="AU21" s="35">
        <v>1</v>
      </c>
      <c r="AV21" s="36">
        <v>0</v>
      </c>
      <c r="AW21" s="37">
        <v>0</v>
      </c>
      <c r="AX21" s="37">
        <f t="shared" si="12"/>
        <v>0</v>
      </c>
      <c r="AY21" s="35">
        <v>0</v>
      </c>
      <c r="AZ21" s="36">
        <v>1</v>
      </c>
      <c r="BA21" s="37">
        <v>1</v>
      </c>
      <c r="BB21" s="37">
        <f t="shared" si="13"/>
        <v>0</v>
      </c>
      <c r="BC21" s="35">
        <v>0</v>
      </c>
      <c r="BD21" s="36">
        <v>0</v>
      </c>
      <c r="BE21" s="37">
        <v>0</v>
      </c>
      <c r="BF21" s="37">
        <f t="shared" si="14"/>
        <v>0</v>
      </c>
      <c r="BG21" s="35">
        <v>0</v>
      </c>
      <c r="BH21" s="36">
        <v>0</v>
      </c>
      <c r="BI21" s="37">
        <v>0</v>
      </c>
      <c r="BJ21" s="37">
        <f t="shared" si="15"/>
        <v>0</v>
      </c>
      <c r="BK21" s="35">
        <v>0</v>
      </c>
      <c r="BL21" s="36">
        <v>0</v>
      </c>
      <c r="BM21" s="37">
        <v>0</v>
      </c>
      <c r="BN21" s="37">
        <f t="shared" si="16"/>
        <v>0</v>
      </c>
      <c r="BO21" s="35">
        <v>1</v>
      </c>
      <c r="BP21" s="36">
        <v>1</v>
      </c>
      <c r="BQ21" s="37">
        <v>0</v>
      </c>
      <c r="BR21" s="37">
        <f t="shared" si="17"/>
        <v>1</v>
      </c>
      <c r="BS21" s="35">
        <v>0</v>
      </c>
      <c r="BT21" s="36">
        <f t="shared" si="18"/>
        <v>9</v>
      </c>
      <c r="BU21" s="37">
        <f t="shared" si="19"/>
        <v>1</v>
      </c>
      <c r="BV21" s="37">
        <f t="shared" si="20"/>
        <v>5</v>
      </c>
      <c r="BW21" s="37">
        <f t="shared" si="21"/>
        <v>0.9</v>
      </c>
      <c r="BX21" s="37">
        <f t="shared" si="22"/>
        <v>0.6428571428571429</v>
      </c>
      <c r="BY21" s="35">
        <f t="shared" si="23"/>
        <v>0.75</v>
      </c>
    </row>
    <row r="22" spans="1:84" x14ac:dyDescent="0.35">
      <c r="A22" s="61" t="s">
        <v>10</v>
      </c>
      <c r="B22" s="108"/>
      <c r="C22" s="35" t="s">
        <v>30</v>
      </c>
      <c r="D22" s="36">
        <v>2</v>
      </c>
      <c r="E22" s="37">
        <v>2</v>
      </c>
      <c r="F22" s="37">
        <f t="shared" si="1"/>
        <v>0</v>
      </c>
      <c r="G22" s="35">
        <v>0</v>
      </c>
      <c r="H22" s="36">
        <v>0</v>
      </c>
      <c r="I22" s="37">
        <v>0</v>
      </c>
      <c r="J22" s="37">
        <f t="shared" si="2"/>
        <v>0</v>
      </c>
      <c r="K22" s="35">
        <v>0</v>
      </c>
      <c r="L22" s="36">
        <v>0</v>
      </c>
      <c r="M22" s="37">
        <v>0</v>
      </c>
      <c r="N22" s="37">
        <f t="shared" si="3"/>
        <v>0</v>
      </c>
      <c r="O22" s="35">
        <v>0</v>
      </c>
      <c r="P22" s="36">
        <v>3</v>
      </c>
      <c r="Q22" s="37">
        <v>3</v>
      </c>
      <c r="R22" s="37">
        <f t="shared" si="4"/>
        <v>0</v>
      </c>
      <c r="S22" s="35">
        <v>0</v>
      </c>
      <c r="T22" s="36">
        <v>0</v>
      </c>
      <c r="U22" s="37">
        <v>0</v>
      </c>
      <c r="V22" s="37">
        <f t="shared" si="5"/>
        <v>0</v>
      </c>
      <c r="W22" s="35">
        <v>0</v>
      </c>
      <c r="X22" s="36">
        <v>1</v>
      </c>
      <c r="Y22" s="37">
        <v>1</v>
      </c>
      <c r="Z22" s="37">
        <f t="shared" si="6"/>
        <v>0</v>
      </c>
      <c r="AA22" s="35">
        <v>0</v>
      </c>
      <c r="AB22" s="36">
        <v>1</v>
      </c>
      <c r="AC22" s="37">
        <v>1</v>
      </c>
      <c r="AD22" s="37">
        <f t="shared" si="7"/>
        <v>0</v>
      </c>
      <c r="AE22" s="35">
        <v>0</v>
      </c>
      <c r="AF22" s="36">
        <v>1</v>
      </c>
      <c r="AG22" s="37">
        <v>1</v>
      </c>
      <c r="AH22" s="37">
        <f t="shared" si="8"/>
        <v>0</v>
      </c>
      <c r="AI22" s="35">
        <v>0</v>
      </c>
      <c r="AJ22" s="36">
        <v>0</v>
      </c>
      <c r="AK22" s="37">
        <v>0</v>
      </c>
      <c r="AL22" s="37">
        <f t="shared" si="9"/>
        <v>0</v>
      </c>
      <c r="AM22" s="35">
        <v>0</v>
      </c>
      <c r="AN22" s="36">
        <v>0</v>
      </c>
      <c r="AO22" s="37">
        <v>0</v>
      </c>
      <c r="AP22" s="37">
        <f t="shared" si="10"/>
        <v>0</v>
      </c>
      <c r="AQ22" s="35">
        <v>0</v>
      </c>
      <c r="AR22" s="36">
        <v>0</v>
      </c>
      <c r="AS22" s="37">
        <v>0</v>
      </c>
      <c r="AT22" s="37">
        <f t="shared" si="11"/>
        <v>0</v>
      </c>
      <c r="AU22" s="35">
        <v>0</v>
      </c>
      <c r="AV22" s="36">
        <v>0</v>
      </c>
      <c r="AW22" s="37">
        <v>0</v>
      </c>
      <c r="AX22" s="37">
        <f t="shared" si="12"/>
        <v>0</v>
      </c>
      <c r="AY22" s="35">
        <v>1</v>
      </c>
      <c r="AZ22" s="36">
        <v>1</v>
      </c>
      <c r="BA22" s="37">
        <v>1</v>
      </c>
      <c r="BB22" s="37">
        <f t="shared" si="13"/>
        <v>0</v>
      </c>
      <c r="BC22" s="35">
        <v>0</v>
      </c>
      <c r="BD22" s="36">
        <v>0</v>
      </c>
      <c r="BE22" s="37">
        <v>0</v>
      </c>
      <c r="BF22" s="37">
        <f t="shared" si="14"/>
        <v>0</v>
      </c>
      <c r="BG22" s="35">
        <v>0</v>
      </c>
      <c r="BH22" s="36">
        <v>0</v>
      </c>
      <c r="BI22" s="37">
        <v>0</v>
      </c>
      <c r="BJ22" s="37">
        <f t="shared" si="15"/>
        <v>0</v>
      </c>
      <c r="BK22" s="35">
        <v>0</v>
      </c>
      <c r="BL22" s="36">
        <v>0</v>
      </c>
      <c r="BM22" s="37">
        <v>0</v>
      </c>
      <c r="BN22" s="37">
        <f t="shared" si="16"/>
        <v>0</v>
      </c>
      <c r="BO22" s="35">
        <v>1</v>
      </c>
      <c r="BP22" s="36">
        <v>1</v>
      </c>
      <c r="BQ22" s="37">
        <v>0</v>
      </c>
      <c r="BR22" s="37">
        <f t="shared" si="17"/>
        <v>1</v>
      </c>
      <c r="BS22" s="35">
        <v>0</v>
      </c>
      <c r="BT22" s="36">
        <f t="shared" si="18"/>
        <v>9</v>
      </c>
      <c r="BU22" s="37">
        <f t="shared" si="19"/>
        <v>1</v>
      </c>
      <c r="BV22" s="37">
        <f t="shared" si="20"/>
        <v>2</v>
      </c>
      <c r="BW22" s="37">
        <f t="shared" si="21"/>
        <v>0.9</v>
      </c>
      <c r="BX22" s="37">
        <f t="shared" si="22"/>
        <v>0.81818181818181823</v>
      </c>
      <c r="BY22" s="35">
        <f t="shared" si="23"/>
        <v>0.85714285714285721</v>
      </c>
    </row>
    <row r="23" spans="1:84" x14ac:dyDescent="0.35">
      <c r="A23" s="62" t="s">
        <v>10</v>
      </c>
      <c r="B23" s="108"/>
      <c r="C23" s="38" t="s">
        <v>31</v>
      </c>
      <c r="D23" s="39">
        <v>4</v>
      </c>
      <c r="E23" s="40">
        <v>3</v>
      </c>
      <c r="F23" s="40">
        <f t="shared" si="1"/>
        <v>1</v>
      </c>
      <c r="G23" s="38">
        <v>0</v>
      </c>
      <c r="H23" s="39">
        <v>0</v>
      </c>
      <c r="I23" s="40">
        <v>0</v>
      </c>
      <c r="J23" s="40">
        <f t="shared" si="2"/>
        <v>0</v>
      </c>
      <c r="K23" s="38">
        <v>0</v>
      </c>
      <c r="L23" s="39">
        <v>0</v>
      </c>
      <c r="M23" s="40">
        <v>0</v>
      </c>
      <c r="N23" s="40">
        <f t="shared" si="3"/>
        <v>0</v>
      </c>
      <c r="O23" s="38">
        <v>0</v>
      </c>
      <c r="P23" s="39">
        <v>0</v>
      </c>
      <c r="Q23" s="40">
        <v>0</v>
      </c>
      <c r="R23" s="40">
        <f t="shared" si="4"/>
        <v>0</v>
      </c>
      <c r="S23" s="38">
        <v>0</v>
      </c>
      <c r="T23" s="39">
        <v>0</v>
      </c>
      <c r="U23" s="40">
        <v>0</v>
      </c>
      <c r="V23" s="40">
        <f t="shared" si="5"/>
        <v>0</v>
      </c>
      <c r="W23" s="38">
        <v>0</v>
      </c>
      <c r="X23" s="39">
        <v>4</v>
      </c>
      <c r="Y23" s="40">
        <v>3</v>
      </c>
      <c r="Z23" s="40">
        <f t="shared" si="6"/>
        <v>1</v>
      </c>
      <c r="AA23" s="38">
        <v>1</v>
      </c>
      <c r="AB23" s="39">
        <v>1</v>
      </c>
      <c r="AC23" s="40">
        <v>0</v>
      </c>
      <c r="AD23" s="40">
        <f t="shared" si="7"/>
        <v>1</v>
      </c>
      <c r="AE23" s="38">
        <v>0</v>
      </c>
      <c r="AF23" s="39">
        <v>2</v>
      </c>
      <c r="AG23" s="40">
        <v>1</v>
      </c>
      <c r="AH23" s="40">
        <f t="shared" si="8"/>
        <v>1</v>
      </c>
      <c r="AI23" s="38">
        <v>2</v>
      </c>
      <c r="AJ23" s="39">
        <v>1</v>
      </c>
      <c r="AK23" s="40">
        <v>1</v>
      </c>
      <c r="AL23" s="40">
        <f t="shared" si="9"/>
        <v>0</v>
      </c>
      <c r="AM23" s="38">
        <v>0</v>
      </c>
      <c r="AN23" s="39">
        <v>1</v>
      </c>
      <c r="AO23" s="40">
        <v>1</v>
      </c>
      <c r="AP23" s="40">
        <f t="shared" si="10"/>
        <v>0</v>
      </c>
      <c r="AQ23" s="38">
        <v>0</v>
      </c>
      <c r="AR23" s="39">
        <v>0</v>
      </c>
      <c r="AS23" s="40">
        <v>0</v>
      </c>
      <c r="AT23" s="40">
        <f t="shared" si="11"/>
        <v>0</v>
      </c>
      <c r="AU23" s="38">
        <v>0</v>
      </c>
      <c r="AV23" s="39">
        <v>0</v>
      </c>
      <c r="AW23" s="40">
        <v>0</v>
      </c>
      <c r="AX23" s="40">
        <f t="shared" si="12"/>
        <v>0</v>
      </c>
      <c r="AY23" s="38">
        <v>0</v>
      </c>
      <c r="AZ23" s="39">
        <v>3</v>
      </c>
      <c r="BA23" s="40">
        <v>2</v>
      </c>
      <c r="BB23" s="40">
        <f t="shared" si="13"/>
        <v>1</v>
      </c>
      <c r="BC23" s="38">
        <v>0</v>
      </c>
      <c r="BD23" s="39">
        <v>0</v>
      </c>
      <c r="BE23" s="40">
        <v>0</v>
      </c>
      <c r="BF23" s="40">
        <f t="shared" si="14"/>
        <v>0</v>
      </c>
      <c r="BG23" s="38">
        <v>0</v>
      </c>
      <c r="BH23" s="39">
        <v>1</v>
      </c>
      <c r="BI23" s="40">
        <v>0</v>
      </c>
      <c r="BJ23" s="40">
        <f t="shared" si="15"/>
        <v>1</v>
      </c>
      <c r="BK23" s="38">
        <v>0</v>
      </c>
      <c r="BL23" s="39">
        <v>0</v>
      </c>
      <c r="BM23" s="40">
        <v>0</v>
      </c>
      <c r="BN23" s="40">
        <f t="shared" si="16"/>
        <v>0</v>
      </c>
      <c r="BO23" s="38">
        <v>0</v>
      </c>
      <c r="BP23" s="39">
        <v>1</v>
      </c>
      <c r="BQ23" s="40">
        <v>0</v>
      </c>
      <c r="BR23" s="40">
        <f t="shared" si="17"/>
        <v>1</v>
      </c>
      <c r="BS23" s="38">
        <v>0</v>
      </c>
      <c r="BT23" s="39">
        <f t="shared" si="18"/>
        <v>11</v>
      </c>
      <c r="BU23" s="40">
        <f t="shared" si="19"/>
        <v>7</v>
      </c>
      <c r="BV23" s="40">
        <f t="shared" si="20"/>
        <v>3</v>
      </c>
      <c r="BW23" s="40">
        <f t="shared" si="21"/>
        <v>0.61111111111111116</v>
      </c>
      <c r="BX23" s="40">
        <f t="shared" si="22"/>
        <v>0.7857142857142857</v>
      </c>
      <c r="BY23" s="38">
        <f t="shared" si="23"/>
        <v>0.68750000000000011</v>
      </c>
    </row>
    <row r="24" spans="1:84" x14ac:dyDescent="0.35">
      <c r="A24" s="62" t="s">
        <v>10</v>
      </c>
      <c r="B24" s="108"/>
      <c r="C24" s="38" t="s">
        <v>32</v>
      </c>
      <c r="D24" s="39">
        <v>4</v>
      </c>
      <c r="E24" s="40">
        <v>4</v>
      </c>
      <c r="F24" s="40">
        <f t="shared" si="1"/>
        <v>0</v>
      </c>
      <c r="G24" s="38">
        <v>0</v>
      </c>
      <c r="H24" s="39">
        <v>0</v>
      </c>
      <c r="I24" s="40">
        <v>0</v>
      </c>
      <c r="J24" s="40">
        <v>0</v>
      </c>
      <c r="K24" s="38">
        <v>0</v>
      </c>
      <c r="L24" s="39">
        <v>0</v>
      </c>
      <c r="M24" s="40">
        <v>0</v>
      </c>
      <c r="N24" s="40">
        <f t="shared" si="3"/>
        <v>0</v>
      </c>
      <c r="O24" s="38">
        <v>0</v>
      </c>
      <c r="P24" s="39">
        <v>0</v>
      </c>
      <c r="Q24" s="40">
        <v>0</v>
      </c>
      <c r="R24" s="40">
        <f t="shared" si="4"/>
        <v>0</v>
      </c>
      <c r="S24" s="38">
        <v>0</v>
      </c>
      <c r="T24" s="39">
        <v>0</v>
      </c>
      <c r="U24" s="40">
        <v>0</v>
      </c>
      <c r="V24" s="40">
        <f t="shared" si="5"/>
        <v>0</v>
      </c>
      <c r="W24" s="38">
        <v>0</v>
      </c>
      <c r="X24" s="39">
        <v>4</v>
      </c>
      <c r="Y24" s="40">
        <v>4</v>
      </c>
      <c r="Z24" s="40">
        <f t="shared" si="6"/>
        <v>0</v>
      </c>
      <c r="AA24" s="38">
        <v>0</v>
      </c>
      <c r="AB24" s="39">
        <v>1</v>
      </c>
      <c r="AC24" s="40">
        <v>1</v>
      </c>
      <c r="AD24" s="40">
        <f t="shared" si="7"/>
        <v>0</v>
      </c>
      <c r="AE24" s="38">
        <v>0</v>
      </c>
      <c r="AF24" s="39">
        <v>2</v>
      </c>
      <c r="AG24" s="40">
        <v>1</v>
      </c>
      <c r="AH24" s="40">
        <f t="shared" si="8"/>
        <v>1</v>
      </c>
      <c r="AI24" s="38">
        <v>0</v>
      </c>
      <c r="AJ24" s="39">
        <v>1</v>
      </c>
      <c r="AK24" s="40">
        <v>1</v>
      </c>
      <c r="AL24" s="40">
        <f t="shared" si="9"/>
        <v>0</v>
      </c>
      <c r="AM24" s="38">
        <v>0</v>
      </c>
      <c r="AN24" s="39">
        <v>1</v>
      </c>
      <c r="AO24" s="40">
        <v>1</v>
      </c>
      <c r="AP24" s="40">
        <f t="shared" si="10"/>
        <v>0</v>
      </c>
      <c r="AQ24" s="38">
        <v>0</v>
      </c>
      <c r="AR24" s="39">
        <v>0</v>
      </c>
      <c r="AS24" s="40">
        <v>0</v>
      </c>
      <c r="AT24" s="40">
        <f t="shared" si="11"/>
        <v>0</v>
      </c>
      <c r="AU24" s="38">
        <v>1</v>
      </c>
      <c r="AV24" s="39">
        <v>0</v>
      </c>
      <c r="AW24" s="40">
        <v>0</v>
      </c>
      <c r="AX24" s="40">
        <f t="shared" si="12"/>
        <v>0</v>
      </c>
      <c r="AY24" s="38">
        <v>0</v>
      </c>
      <c r="AZ24" s="39">
        <v>3</v>
      </c>
      <c r="BA24" s="40">
        <v>3</v>
      </c>
      <c r="BB24" s="40">
        <f t="shared" si="13"/>
        <v>0</v>
      </c>
      <c r="BC24" s="38">
        <v>0</v>
      </c>
      <c r="BD24" s="39">
        <v>0</v>
      </c>
      <c r="BE24" s="40">
        <v>0</v>
      </c>
      <c r="BF24" s="40">
        <f t="shared" si="14"/>
        <v>0</v>
      </c>
      <c r="BG24" s="38">
        <v>0</v>
      </c>
      <c r="BH24" s="39">
        <v>1</v>
      </c>
      <c r="BI24" s="40">
        <v>0</v>
      </c>
      <c r="BJ24" s="40">
        <f t="shared" si="15"/>
        <v>1</v>
      </c>
      <c r="BK24" s="38">
        <v>1</v>
      </c>
      <c r="BL24" s="39">
        <v>0</v>
      </c>
      <c r="BM24" s="40">
        <v>0</v>
      </c>
      <c r="BN24" s="40">
        <f t="shared" si="16"/>
        <v>0</v>
      </c>
      <c r="BO24" s="38">
        <v>1</v>
      </c>
      <c r="BP24" s="39">
        <v>1</v>
      </c>
      <c r="BQ24" s="40">
        <v>0</v>
      </c>
      <c r="BR24" s="40">
        <f t="shared" si="17"/>
        <v>1</v>
      </c>
      <c r="BS24" s="38">
        <v>0</v>
      </c>
      <c r="BT24" s="39">
        <f t="shared" si="18"/>
        <v>15</v>
      </c>
      <c r="BU24" s="40">
        <f t="shared" si="19"/>
        <v>3</v>
      </c>
      <c r="BV24" s="40">
        <f t="shared" si="20"/>
        <v>3</v>
      </c>
      <c r="BW24" s="40">
        <f t="shared" si="21"/>
        <v>0.83333333333333337</v>
      </c>
      <c r="BX24" s="40">
        <f t="shared" si="22"/>
        <v>0.83333333333333337</v>
      </c>
      <c r="BY24" s="38">
        <f t="shared" si="23"/>
        <v>0.83333333333333337</v>
      </c>
    </row>
    <row r="25" spans="1:84" x14ac:dyDescent="0.35">
      <c r="A25" s="63" t="s">
        <v>10</v>
      </c>
      <c r="B25" s="108"/>
      <c r="C25" s="41" t="s">
        <v>33</v>
      </c>
      <c r="D25" s="42">
        <v>1</v>
      </c>
      <c r="E25" s="43">
        <v>1</v>
      </c>
      <c r="F25" s="43">
        <f t="shared" si="1"/>
        <v>0</v>
      </c>
      <c r="G25" s="41">
        <v>0</v>
      </c>
      <c r="H25" s="42">
        <v>0</v>
      </c>
      <c r="I25" s="43">
        <v>0</v>
      </c>
      <c r="J25" s="43">
        <f t="shared" si="2"/>
        <v>0</v>
      </c>
      <c r="K25" s="41">
        <v>0</v>
      </c>
      <c r="L25" s="42">
        <v>0</v>
      </c>
      <c r="M25" s="43">
        <v>0</v>
      </c>
      <c r="N25" s="43">
        <f t="shared" si="3"/>
        <v>0</v>
      </c>
      <c r="O25" s="41">
        <v>0</v>
      </c>
      <c r="P25" s="42">
        <v>0</v>
      </c>
      <c r="Q25" s="43">
        <v>0</v>
      </c>
      <c r="R25" s="43">
        <f t="shared" si="4"/>
        <v>0</v>
      </c>
      <c r="S25" s="41">
        <v>0</v>
      </c>
      <c r="T25" s="42">
        <v>0</v>
      </c>
      <c r="U25" s="43">
        <v>0</v>
      </c>
      <c r="V25" s="43">
        <f t="shared" si="5"/>
        <v>0</v>
      </c>
      <c r="W25" s="41">
        <v>0</v>
      </c>
      <c r="X25" s="42">
        <v>2</v>
      </c>
      <c r="Y25" s="43">
        <v>2</v>
      </c>
      <c r="Z25" s="43">
        <f t="shared" si="6"/>
        <v>0</v>
      </c>
      <c r="AA25" s="41">
        <v>0</v>
      </c>
      <c r="AB25" s="42">
        <v>0</v>
      </c>
      <c r="AC25" s="43">
        <v>0</v>
      </c>
      <c r="AD25" s="43">
        <f t="shared" si="7"/>
        <v>0</v>
      </c>
      <c r="AE25" s="41">
        <v>0</v>
      </c>
      <c r="AF25" s="42">
        <v>2</v>
      </c>
      <c r="AG25" s="43">
        <v>2</v>
      </c>
      <c r="AH25" s="43">
        <f t="shared" si="8"/>
        <v>0</v>
      </c>
      <c r="AI25" s="41">
        <v>0</v>
      </c>
      <c r="AJ25" s="42">
        <v>0</v>
      </c>
      <c r="AK25" s="43">
        <v>0</v>
      </c>
      <c r="AL25" s="43">
        <f t="shared" si="9"/>
        <v>0</v>
      </c>
      <c r="AM25" s="41">
        <v>0</v>
      </c>
      <c r="AN25" s="42">
        <v>0</v>
      </c>
      <c r="AO25" s="43">
        <v>0</v>
      </c>
      <c r="AP25" s="43">
        <f t="shared" si="10"/>
        <v>0</v>
      </c>
      <c r="AQ25" s="41">
        <v>0</v>
      </c>
      <c r="AR25" s="42">
        <v>0</v>
      </c>
      <c r="AS25" s="43">
        <v>0</v>
      </c>
      <c r="AT25" s="43">
        <f t="shared" si="11"/>
        <v>0</v>
      </c>
      <c r="AU25" s="41">
        <v>0</v>
      </c>
      <c r="AV25" s="42">
        <v>0</v>
      </c>
      <c r="AW25" s="43">
        <v>0</v>
      </c>
      <c r="AX25" s="43">
        <f t="shared" si="12"/>
        <v>0</v>
      </c>
      <c r="AY25" s="41">
        <v>0</v>
      </c>
      <c r="AZ25" s="42">
        <v>0</v>
      </c>
      <c r="BA25" s="43">
        <v>0</v>
      </c>
      <c r="BB25" s="43">
        <f t="shared" si="13"/>
        <v>0</v>
      </c>
      <c r="BC25" s="41">
        <v>0</v>
      </c>
      <c r="BD25" s="42">
        <v>2</v>
      </c>
      <c r="BE25" s="43">
        <v>2</v>
      </c>
      <c r="BF25" s="43">
        <f t="shared" si="14"/>
        <v>0</v>
      </c>
      <c r="BG25" s="41">
        <v>0</v>
      </c>
      <c r="BH25" s="42">
        <v>0</v>
      </c>
      <c r="BI25" s="43">
        <v>0</v>
      </c>
      <c r="BJ25" s="43">
        <f t="shared" si="15"/>
        <v>0</v>
      </c>
      <c r="BK25" s="41">
        <v>0</v>
      </c>
      <c r="BL25" s="42">
        <v>0</v>
      </c>
      <c r="BM25" s="43">
        <v>0</v>
      </c>
      <c r="BN25" s="43">
        <f t="shared" si="16"/>
        <v>0</v>
      </c>
      <c r="BO25" s="41">
        <v>0</v>
      </c>
      <c r="BP25" s="42">
        <v>0</v>
      </c>
      <c r="BQ25" s="43">
        <v>0</v>
      </c>
      <c r="BR25" s="43">
        <f t="shared" si="17"/>
        <v>0</v>
      </c>
      <c r="BS25" s="41">
        <v>0</v>
      </c>
      <c r="BT25" s="42">
        <f t="shared" si="18"/>
        <v>7</v>
      </c>
      <c r="BU25" s="43">
        <f t="shared" si="19"/>
        <v>0</v>
      </c>
      <c r="BV25" s="43">
        <f t="shared" si="20"/>
        <v>0</v>
      </c>
      <c r="BW25" s="43">
        <f t="shared" si="21"/>
        <v>1</v>
      </c>
      <c r="BX25" s="43">
        <f t="shared" si="22"/>
        <v>1</v>
      </c>
      <c r="BY25" s="41">
        <f t="shared" si="23"/>
        <v>1</v>
      </c>
    </row>
    <row r="26" spans="1:84" x14ac:dyDescent="0.35">
      <c r="A26" s="63" t="s">
        <v>10</v>
      </c>
      <c r="B26" s="108"/>
      <c r="C26" s="41" t="s">
        <v>34</v>
      </c>
      <c r="D26" s="42">
        <v>1</v>
      </c>
      <c r="E26" s="43">
        <v>1</v>
      </c>
      <c r="F26" s="43">
        <f t="shared" si="1"/>
        <v>0</v>
      </c>
      <c r="G26" s="41">
        <v>0</v>
      </c>
      <c r="H26" s="42">
        <v>0</v>
      </c>
      <c r="I26" s="43">
        <v>0</v>
      </c>
      <c r="J26" s="43">
        <f t="shared" si="2"/>
        <v>0</v>
      </c>
      <c r="K26" s="41">
        <v>0</v>
      </c>
      <c r="L26" s="42">
        <v>0</v>
      </c>
      <c r="M26" s="43">
        <v>0</v>
      </c>
      <c r="N26" s="43">
        <f t="shared" si="3"/>
        <v>0</v>
      </c>
      <c r="O26" s="41">
        <v>0</v>
      </c>
      <c r="P26" s="42">
        <v>0</v>
      </c>
      <c r="Q26" s="43">
        <v>0</v>
      </c>
      <c r="R26" s="43">
        <f t="shared" si="4"/>
        <v>0</v>
      </c>
      <c r="S26" s="41">
        <v>0</v>
      </c>
      <c r="T26" s="42">
        <v>0</v>
      </c>
      <c r="U26" s="43">
        <v>0</v>
      </c>
      <c r="V26" s="43">
        <f t="shared" si="5"/>
        <v>0</v>
      </c>
      <c r="W26" s="41">
        <v>0</v>
      </c>
      <c r="X26" s="42">
        <v>2</v>
      </c>
      <c r="Y26" s="43">
        <v>2</v>
      </c>
      <c r="Z26" s="43">
        <f t="shared" si="6"/>
        <v>0</v>
      </c>
      <c r="AA26" s="41">
        <v>0</v>
      </c>
      <c r="AB26" s="42">
        <v>0</v>
      </c>
      <c r="AC26" s="43">
        <v>0</v>
      </c>
      <c r="AD26" s="43">
        <f t="shared" si="7"/>
        <v>0</v>
      </c>
      <c r="AE26" s="41">
        <v>0</v>
      </c>
      <c r="AF26" s="42">
        <v>2</v>
      </c>
      <c r="AG26" s="43">
        <v>2</v>
      </c>
      <c r="AH26" s="43">
        <f t="shared" si="8"/>
        <v>0</v>
      </c>
      <c r="AI26" s="41">
        <v>0</v>
      </c>
      <c r="AJ26" s="42">
        <v>0</v>
      </c>
      <c r="AK26" s="43">
        <v>0</v>
      </c>
      <c r="AL26" s="43">
        <f t="shared" si="9"/>
        <v>0</v>
      </c>
      <c r="AM26" s="41">
        <v>0</v>
      </c>
      <c r="AN26" s="42">
        <v>0</v>
      </c>
      <c r="AO26" s="43">
        <v>0</v>
      </c>
      <c r="AP26" s="43">
        <f t="shared" si="10"/>
        <v>0</v>
      </c>
      <c r="AQ26" s="41">
        <v>0</v>
      </c>
      <c r="AR26" s="42">
        <v>0</v>
      </c>
      <c r="AS26" s="43">
        <v>0</v>
      </c>
      <c r="AT26" s="43">
        <f t="shared" si="11"/>
        <v>0</v>
      </c>
      <c r="AU26" s="41">
        <v>0</v>
      </c>
      <c r="AV26" s="42">
        <v>0</v>
      </c>
      <c r="AW26" s="43">
        <v>0</v>
      </c>
      <c r="AX26" s="43">
        <f t="shared" si="12"/>
        <v>0</v>
      </c>
      <c r="AY26" s="41">
        <v>0</v>
      </c>
      <c r="AZ26" s="42">
        <v>0</v>
      </c>
      <c r="BA26" s="43">
        <v>0</v>
      </c>
      <c r="BB26" s="43">
        <f t="shared" si="13"/>
        <v>0</v>
      </c>
      <c r="BC26" s="41">
        <v>0</v>
      </c>
      <c r="BD26" s="42">
        <v>2</v>
      </c>
      <c r="BE26" s="43">
        <v>2</v>
      </c>
      <c r="BF26" s="43">
        <f t="shared" si="14"/>
        <v>0</v>
      </c>
      <c r="BG26" s="41">
        <v>0</v>
      </c>
      <c r="BH26" s="42">
        <v>0</v>
      </c>
      <c r="BI26" s="43">
        <v>0</v>
      </c>
      <c r="BJ26" s="43">
        <f t="shared" si="15"/>
        <v>0</v>
      </c>
      <c r="BK26" s="41">
        <v>0</v>
      </c>
      <c r="BL26" s="42">
        <v>0</v>
      </c>
      <c r="BM26" s="43">
        <v>0</v>
      </c>
      <c r="BN26" s="43">
        <f t="shared" si="16"/>
        <v>0</v>
      </c>
      <c r="BO26" s="41">
        <v>0</v>
      </c>
      <c r="BP26" s="42">
        <v>0</v>
      </c>
      <c r="BQ26" s="43">
        <v>0</v>
      </c>
      <c r="BR26" s="43">
        <f t="shared" si="17"/>
        <v>0</v>
      </c>
      <c r="BS26" s="41">
        <v>0</v>
      </c>
      <c r="BT26" s="42">
        <f t="shared" si="18"/>
        <v>7</v>
      </c>
      <c r="BU26" s="43">
        <f t="shared" si="19"/>
        <v>0</v>
      </c>
      <c r="BV26" s="43">
        <f>SUM(BS26,BO26,BK26,BG26,AY26,AU26,AQ26,AM26,AI26,AE26,AA26,W26,S26,O26,K26,G26, BC26)</f>
        <v>0</v>
      </c>
      <c r="BW26" s="43">
        <f t="shared" si="21"/>
        <v>1</v>
      </c>
      <c r="BX26" s="43">
        <f t="shared" si="22"/>
        <v>1</v>
      </c>
      <c r="BY26" s="41">
        <f t="shared" si="23"/>
        <v>1</v>
      </c>
    </row>
    <row r="27" spans="1:84" x14ac:dyDescent="0.35">
      <c r="A27" s="47" t="s">
        <v>10</v>
      </c>
      <c r="B27" s="108"/>
      <c r="C27" s="44" t="s">
        <v>35</v>
      </c>
      <c r="D27" s="45">
        <v>2</v>
      </c>
      <c r="E27" s="46">
        <v>2</v>
      </c>
      <c r="F27" s="46">
        <f t="shared" si="1"/>
        <v>0</v>
      </c>
      <c r="G27" s="44">
        <v>0</v>
      </c>
      <c r="H27" s="45">
        <v>2</v>
      </c>
      <c r="I27" s="46">
        <v>2</v>
      </c>
      <c r="J27" s="46">
        <f t="shared" si="2"/>
        <v>0</v>
      </c>
      <c r="K27" s="44">
        <v>0</v>
      </c>
      <c r="L27" s="45">
        <v>2</v>
      </c>
      <c r="M27" s="46">
        <v>2</v>
      </c>
      <c r="N27" s="46">
        <f t="shared" si="3"/>
        <v>0</v>
      </c>
      <c r="O27" s="44">
        <v>0</v>
      </c>
      <c r="P27" s="45">
        <v>2</v>
      </c>
      <c r="Q27" s="46">
        <v>2</v>
      </c>
      <c r="R27" s="46">
        <f t="shared" si="4"/>
        <v>0</v>
      </c>
      <c r="S27" s="44">
        <v>0</v>
      </c>
      <c r="T27" s="45">
        <v>2</v>
      </c>
      <c r="U27" s="46">
        <v>2</v>
      </c>
      <c r="V27" s="46">
        <f t="shared" si="5"/>
        <v>0</v>
      </c>
      <c r="W27" s="44">
        <v>0</v>
      </c>
      <c r="X27" s="45">
        <v>1</v>
      </c>
      <c r="Y27" s="46">
        <v>1</v>
      </c>
      <c r="Z27" s="46">
        <f t="shared" si="6"/>
        <v>0</v>
      </c>
      <c r="AA27" s="44">
        <v>1</v>
      </c>
      <c r="AB27" s="45">
        <v>0</v>
      </c>
      <c r="AC27" s="46">
        <v>0</v>
      </c>
      <c r="AD27" s="46">
        <f t="shared" si="7"/>
        <v>0</v>
      </c>
      <c r="AE27" s="44">
        <v>0</v>
      </c>
      <c r="AF27" s="45">
        <v>3</v>
      </c>
      <c r="AG27" s="46">
        <v>0</v>
      </c>
      <c r="AH27" s="46">
        <f t="shared" si="8"/>
        <v>3</v>
      </c>
      <c r="AI27" s="44">
        <v>0</v>
      </c>
      <c r="AJ27" s="45">
        <v>0</v>
      </c>
      <c r="AK27" s="46">
        <v>0</v>
      </c>
      <c r="AL27" s="46">
        <f t="shared" si="9"/>
        <v>0</v>
      </c>
      <c r="AM27" s="44">
        <v>0</v>
      </c>
      <c r="AN27" s="45">
        <v>0</v>
      </c>
      <c r="AO27" s="46">
        <v>0</v>
      </c>
      <c r="AP27" s="46">
        <f t="shared" si="10"/>
        <v>0</v>
      </c>
      <c r="AQ27" s="44">
        <v>0</v>
      </c>
      <c r="AR27" s="45">
        <v>0</v>
      </c>
      <c r="AS27" s="46">
        <v>0</v>
      </c>
      <c r="AT27" s="46">
        <f t="shared" si="11"/>
        <v>0</v>
      </c>
      <c r="AU27" s="44">
        <v>0</v>
      </c>
      <c r="AV27" s="45">
        <v>1</v>
      </c>
      <c r="AW27" s="46">
        <v>0</v>
      </c>
      <c r="AX27" s="46">
        <f t="shared" si="12"/>
        <v>1</v>
      </c>
      <c r="AY27" s="44">
        <v>0</v>
      </c>
      <c r="AZ27" s="45">
        <v>1</v>
      </c>
      <c r="BA27" s="46">
        <v>0</v>
      </c>
      <c r="BB27" s="46">
        <f t="shared" si="13"/>
        <v>1</v>
      </c>
      <c r="BC27" s="44">
        <v>0</v>
      </c>
      <c r="BD27" s="45">
        <v>0</v>
      </c>
      <c r="BE27" s="46">
        <v>0</v>
      </c>
      <c r="BF27" s="46">
        <f t="shared" si="14"/>
        <v>0</v>
      </c>
      <c r="BG27" s="44">
        <v>0</v>
      </c>
      <c r="BH27" s="45">
        <v>0</v>
      </c>
      <c r="BI27" s="46">
        <v>0</v>
      </c>
      <c r="BJ27" s="46">
        <f t="shared" si="15"/>
        <v>0</v>
      </c>
      <c r="BK27" s="44">
        <v>0</v>
      </c>
      <c r="BL27" s="45">
        <v>1</v>
      </c>
      <c r="BM27" s="46">
        <v>0</v>
      </c>
      <c r="BN27" s="46">
        <f t="shared" si="16"/>
        <v>1</v>
      </c>
      <c r="BO27" s="44">
        <v>0</v>
      </c>
      <c r="BP27" s="45">
        <v>0</v>
      </c>
      <c r="BQ27" s="46">
        <v>0</v>
      </c>
      <c r="BR27" s="46">
        <f t="shared" si="17"/>
        <v>0</v>
      </c>
      <c r="BS27" s="44">
        <v>0</v>
      </c>
      <c r="BT27" s="45">
        <f>SUM(E27,I27,M27,Q27,U27,Y27,AC27,AG27,AK27,AO27,AS27,AW27,BE27,BI27,BM27,BQ27,BA27)</f>
        <v>11</v>
      </c>
      <c r="BU27" s="46">
        <f>SUM(BR27,BN27,BJ27,BF27,AX27,AT27,AP27,AL27,AH27,AD27,Z27,V27,R27,N27,J27,F27,BB27)</f>
        <v>6</v>
      </c>
      <c r="BV27" s="46">
        <f>SUM(BS27,BO27,BK27,BG27,AY27,AU27,AQ27,AM27,AI27,AE27,AA27,W27,S27,O27,K27,G27, BC27)</f>
        <v>1</v>
      </c>
      <c r="BW27" s="46">
        <f t="shared" si="21"/>
        <v>0.6470588235294118</v>
      </c>
      <c r="BX27" s="46">
        <f t="shared" si="22"/>
        <v>0.91666666666666663</v>
      </c>
      <c r="BY27" s="44">
        <f t="shared" si="23"/>
        <v>0.75862068965517238</v>
      </c>
    </row>
    <row r="28" spans="1:84" x14ac:dyDescent="0.35">
      <c r="A28" s="47" t="s">
        <v>10</v>
      </c>
      <c r="B28" s="108"/>
      <c r="C28" s="44" t="s">
        <v>36</v>
      </c>
      <c r="D28" s="45">
        <v>2</v>
      </c>
      <c r="E28" s="46">
        <v>2</v>
      </c>
      <c r="F28" s="46">
        <f t="shared" si="1"/>
        <v>0</v>
      </c>
      <c r="G28" s="44">
        <v>0</v>
      </c>
      <c r="H28" s="45">
        <v>2</v>
      </c>
      <c r="I28" s="46">
        <v>2</v>
      </c>
      <c r="J28" s="46">
        <f t="shared" si="2"/>
        <v>0</v>
      </c>
      <c r="K28" s="44">
        <v>0</v>
      </c>
      <c r="L28" s="45">
        <v>2</v>
      </c>
      <c r="M28" s="46">
        <v>2</v>
      </c>
      <c r="N28" s="46">
        <f t="shared" si="3"/>
        <v>0</v>
      </c>
      <c r="O28" s="44">
        <v>0</v>
      </c>
      <c r="P28" s="45">
        <v>2</v>
      </c>
      <c r="Q28" s="46">
        <v>2</v>
      </c>
      <c r="R28" s="46">
        <f t="shared" si="4"/>
        <v>0</v>
      </c>
      <c r="S28" s="44">
        <v>0</v>
      </c>
      <c r="T28" s="45">
        <v>2</v>
      </c>
      <c r="U28" s="46">
        <v>2</v>
      </c>
      <c r="V28" s="46">
        <f t="shared" si="5"/>
        <v>0</v>
      </c>
      <c r="W28" s="44">
        <v>0</v>
      </c>
      <c r="X28" s="45">
        <v>1</v>
      </c>
      <c r="Y28" s="46">
        <v>1</v>
      </c>
      <c r="Z28" s="46">
        <f t="shared" si="6"/>
        <v>0</v>
      </c>
      <c r="AA28" s="44">
        <v>0</v>
      </c>
      <c r="AB28" s="45">
        <v>0</v>
      </c>
      <c r="AC28" s="46">
        <v>0</v>
      </c>
      <c r="AD28" s="46">
        <f t="shared" si="7"/>
        <v>0</v>
      </c>
      <c r="AE28" s="44">
        <v>0</v>
      </c>
      <c r="AF28" s="45">
        <v>3</v>
      </c>
      <c r="AG28" s="46">
        <v>1</v>
      </c>
      <c r="AH28" s="46">
        <f t="shared" si="8"/>
        <v>2</v>
      </c>
      <c r="AI28" s="44">
        <v>0</v>
      </c>
      <c r="AJ28" s="45">
        <v>0</v>
      </c>
      <c r="AK28" s="46">
        <v>0</v>
      </c>
      <c r="AL28" s="46">
        <f t="shared" si="9"/>
        <v>0</v>
      </c>
      <c r="AM28" s="44">
        <v>0</v>
      </c>
      <c r="AN28" s="45">
        <v>0</v>
      </c>
      <c r="AO28" s="46">
        <v>0</v>
      </c>
      <c r="AP28" s="46">
        <f t="shared" si="10"/>
        <v>0</v>
      </c>
      <c r="AQ28" s="44">
        <v>0</v>
      </c>
      <c r="AR28" s="45">
        <v>0</v>
      </c>
      <c r="AS28" s="46">
        <v>0</v>
      </c>
      <c r="AT28" s="46">
        <f t="shared" si="11"/>
        <v>0</v>
      </c>
      <c r="AU28" s="44">
        <v>0</v>
      </c>
      <c r="AV28" s="45">
        <v>1</v>
      </c>
      <c r="AW28" s="46">
        <v>0</v>
      </c>
      <c r="AX28" s="46">
        <f t="shared" si="12"/>
        <v>1</v>
      </c>
      <c r="AY28" s="44">
        <v>1</v>
      </c>
      <c r="AZ28" s="45">
        <v>1</v>
      </c>
      <c r="BA28" s="46">
        <v>0</v>
      </c>
      <c r="BB28" s="46">
        <f t="shared" si="13"/>
        <v>1</v>
      </c>
      <c r="BC28" s="44">
        <v>1</v>
      </c>
      <c r="BD28" s="45">
        <v>0</v>
      </c>
      <c r="BE28" s="46">
        <v>0</v>
      </c>
      <c r="BF28" s="46">
        <f t="shared" si="14"/>
        <v>0</v>
      </c>
      <c r="BG28" s="44">
        <v>0</v>
      </c>
      <c r="BH28" s="45">
        <v>0</v>
      </c>
      <c r="BI28" s="46">
        <v>0</v>
      </c>
      <c r="BJ28" s="46">
        <f t="shared" si="15"/>
        <v>0</v>
      </c>
      <c r="BK28" s="44">
        <v>0</v>
      </c>
      <c r="BL28" s="45">
        <v>1</v>
      </c>
      <c r="BM28" s="46">
        <v>1</v>
      </c>
      <c r="BN28" s="46">
        <f t="shared" si="16"/>
        <v>0</v>
      </c>
      <c r="BO28" s="44">
        <v>0</v>
      </c>
      <c r="BP28" s="45">
        <v>0</v>
      </c>
      <c r="BQ28" s="46">
        <v>0</v>
      </c>
      <c r="BR28" s="46">
        <f t="shared" si="17"/>
        <v>0</v>
      </c>
      <c r="BS28" s="44">
        <v>0</v>
      </c>
      <c r="BT28" s="45">
        <f t="shared" si="18"/>
        <v>13</v>
      </c>
      <c r="BU28" s="46">
        <f t="shared" si="19"/>
        <v>4</v>
      </c>
      <c r="BV28" s="46">
        <f t="shared" si="20"/>
        <v>2</v>
      </c>
      <c r="BW28" s="46">
        <f t="shared" si="21"/>
        <v>0.76470588235294112</v>
      </c>
      <c r="BX28" s="46">
        <f t="shared" si="22"/>
        <v>0.8666666666666667</v>
      </c>
      <c r="BY28" s="44">
        <f t="shared" si="23"/>
        <v>0.8125</v>
      </c>
    </row>
    <row r="29" spans="1:84" x14ac:dyDescent="0.35">
      <c r="A29" s="64" t="s">
        <v>10</v>
      </c>
      <c r="B29" s="108"/>
      <c r="C29" s="48" t="s">
        <v>37</v>
      </c>
      <c r="D29" s="49">
        <v>1</v>
      </c>
      <c r="E29" s="50">
        <v>1</v>
      </c>
      <c r="F29" s="50">
        <f t="shared" si="1"/>
        <v>0</v>
      </c>
      <c r="G29" s="48">
        <v>0</v>
      </c>
      <c r="H29" s="49">
        <v>0</v>
      </c>
      <c r="I29" s="50">
        <v>0</v>
      </c>
      <c r="J29" s="50">
        <f t="shared" si="2"/>
        <v>0</v>
      </c>
      <c r="K29" s="48">
        <v>0</v>
      </c>
      <c r="L29" s="49">
        <v>0</v>
      </c>
      <c r="M29" s="50">
        <v>0</v>
      </c>
      <c r="N29" s="50">
        <f t="shared" si="3"/>
        <v>0</v>
      </c>
      <c r="O29" s="48">
        <v>0</v>
      </c>
      <c r="P29" s="49">
        <v>4</v>
      </c>
      <c r="Q29" s="50">
        <v>4</v>
      </c>
      <c r="R29" s="50">
        <f t="shared" si="4"/>
        <v>0</v>
      </c>
      <c r="S29" s="48">
        <v>0</v>
      </c>
      <c r="T29" s="49">
        <v>3</v>
      </c>
      <c r="U29" s="50">
        <v>3</v>
      </c>
      <c r="V29" s="50">
        <f t="shared" si="5"/>
        <v>0</v>
      </c>
      <c r="W29" s="48">
        <v>1</v>
      </c>
      <c r="X29" s="49">
        <v>1</v>
      </c>
      <c r="Y29" s="50">
        <v>1</v>
      </c>
      <c r="Z29" s="50">
        <f t="shared" si="6"/>
        <v>0</v>
      </c>
      <c r="AA29" s="48">
        <v>0</v>
      </c>
      <c r="AB29" s="49">
        <v>0</v>
      </c>
      <c r="AC29" s="50">
        <v>0</v>
      </c>
      <c r="AD29" s="50">
        <f t="shared" si="7"/>
        <v>0</v>
      </c>
      <c r="AE29" s="48">
        <v>0</v>
      </c>
      <c r="AF29" s="49">
        <v>1</v>
      </c>
      <c r="AG29" s="50">
        <v>1</v>
      </c>
      <c r="AH29" s="50">
        <f t="shared" si="8"/>
        <v>0</v>
      </c>
      <c r="AI29" s="48">
        <v>0</v>
      </c>
      <c r="AJ29" s="49">
        <v>0</v>
      </c>
      <c r="AK29" s="50">
        <v>0</v>
      </c>
      <c r="AL29" s="50">
        <f t="shared" si="9"/>
        <v>0</v>
      </c>
      <c r="AM29" s="48">
        <v>0</v>
      </c>
      <c r="AN29" s="49">
        <v>0</v>
      </c>
      <c r="AO29" s="50">
        <v>0</v>
      </c>
      <c r="AP29" s="50">
        <f t="shared" si="10"/>
        <v>0</v>
      </c>
      <c r="AQ29" s="48">
        <v>0</v>
      </c>
      <c r="AR29" s="49">
        <v>0</v>
      </c>
      <c r="AS29" s="50">
        <v>0</v>
      </c>
      <c r="AT29" s="50">
        <f t="shared" si="11"/>
        <v>0</v>
      </c>
      <c r="AU29" s="48">
        <v>0</v>
      </c>
      <c r="AV29" s="49">
        <v>0</v>
      </c>
      <c r="AW29" s="50">
        <v>0</v>
      </c>
      <c r="AX29" s="50">
        <f t="shared" si="12"/>
        <v>0</v>
      </c>
      <c r="AY29" s="48">
        <v>0</v>
      </c>
      <c r="AZ29" s="49">
        <v>0</v>
      </c>
      <c r="BA29" s="50">
        <v>0</v>
      </c>
      <c r="BB29" s="50">
        <f t="shared" si="13"/>
        <v>0</v>
      </c>
      <c r="BC29" s="48">
        <v>0</v>
      </c>
      <c r="BD29" s="49">
        <v>0</v>
      </c>
      <c r="BE29" s="50">
        <v>0</v>
      </c>
      <c r="BF29" s="50">
        <f t="shared" si="14"/>
        <v>0</v>
      </c>
      <c r="BG29" s="48">
        <v>0</v>
      </c>
      <c r="BH29" s="49">
        <v>0</v>
      </c>
      <c r="BI29" s="50">
        <v>0</v>
      </c>
      <c r="BJ29" s="50">
        <f t="shared" si="15"/>
        <v>0</v>
      </c>
      <c r="BK29" s="48">
        <v>0</v>
      </c>
      <c r="BL29" s="49">
        <v>0</v>
      </c>
      <c r="BM29" s="50">
        <v>0</v>
      </c>
      <c r="BN29" s="50">
        <f t="shared" si="16"/>
        <v>0</v>
      </c>
      <c r="BO29" s="48">
        <v>0</v>
      </c>
      <c r="BP29" s="49">
        <v>0</v>
      </c>
      <c r="BQ29" s="50">
        <v>0</v>
      </c>
      <c r="BR29" s="50">
        <f t="shared" si="17"/>
        <v>0</v>
      </c>
      <c r="BS29" s="48">
        <v>0</v>
      </c>
      <c r="BT29" s="49">
        <f t="shared" si="18"/>
        <v>10</v>
      </c>
      <c r="BU29" s="50">
        <f t="shared" si="19"/>
        <v>0</v>
      </c>
      <c r="BV29" s="50">
        <f t="shared" si="20"/>
        <v>1</v>
      </c>
      <c r="BW29" s="50">
        <f t="shared" si="21"/>
        <v>1</v>
      </c>
      <c r="BX29" s="50">
        <f t="shared" si="22"/>
        <v>0.90909090909090906</v>
      </c>
      <c r="BY29" s="48">
        <f t="shared" si="23"/>
        <v>0.95238095238095233</v>
      </c>
    </row>
    <row r="30" spans="1:84" ht="15" thickBot="1" x14ac:dyDescent="0.4">
      <c r="A30" s="50" t="s">
        <v>10</v>
      </c>
      <c r="B30" s="108"/>
      <c r="C30" s="72" t="s">
        <v>38</v>
      </c>
      <c r="D30" s="73">
        <v>1</v>
      </c>
      <c r="E30" s="74">
        <v>1</v>
      </c>
      <c r="F30" s="74">
        <f t="shared" si="1"/>
        <v>0</v>
      </c>
      <c r="G30" s="72">
        <v>0</v>
      </c>
      <c r="H30" s="73">
        <v>0</v>
      </c>
      <c r="I30" s="74">
        <v>0</v>
      </c>
      <c r="J30" s="74">
        <f t="shared" si="2"/>
        <v>0</v>
      </c>
      <c r="K30" s="72">
        <v>0</v>
      </c>
      <c r="L30" s="73">
        <v>0</v>
      </c>
      <c r="M30" s="74">
        <v>0</v>
      </c>
      <c r="N30" s="74">
        <f t="shared" si="3"/>
        <v>0</v>
      </c>
      <c r="O30" s="72">
        <v>0</v>
      </c>
      <c r="P30" s="73">
        <v>4</v>
      </c>
      <c r="Q30" s="74">
        <v>4</v>
      </c>
      <c r="R30" s="74">
        <f t="shared" si="4"/>
        <v>0</v>
      </c>
      <c r="S30" s="72">
        <v>0</v>
      </c>
      <c r="T30" s="73">
        <v>3</v>
      </c>
      <c r="U30" s="74">
        <v>3</v>
      </c>
      <c r="V30" s="74">
        <f t="shared" si="5"/>
        <v>0</v>
      </c>
      <c r="W30" s="72">
        <v>1</v>
      </c>
      <c r="X30" s="73">
        <v>1</v>
      </c>
      <c r="Y30" s="74">
        <v>1</v>
      </c>
      <c r="Z30" s="74">
        <f t="shared" si="6"/>
        <v>0</v>
      </c>
      <c r="AA30" s="72">
        <v>0</v>
      </c>
      <c r="AB30" s="73">
        <v>0</v>
      </c>
      <c r="AC30" s="74">
        <v>0</v>
      </c>
      <c r="AD30" s="74">
        <v>0</v>
      </c>
      <c r="AE30" s="72">
        <v>0</v>
      </c>
      <c r="AF30" s="73">
        <v>1</v>
      </c>
      <c r="AG30" s="74">
        <v>1</v>
      </c>
      <c r="AH30" s="74">
        <f t="shared" si="8"/>
        <v>0</v>
      </c>
      <c r="AI30" s="72">
        <v>0</v>
      </c>
      <c r="AJ30" s="73">
        <v>0</v>
      </c>
      <c r="AK30" s="74">
        <v>0</v>
      </c>
      <c r="AL30" s="74">
        <f t="shared" si="9"/>
        <v>0</v>
      </c>
      <c r="AM30" s="72">
        <v>0</v>
      </c>
      <c r="AN30" s="73">
        <v>0</v>
      </c>
      <c r="AO30" s="74">
        <v>0</v>
      </c>
      <c r="AP30" s="74">
        <f t="shared" si="10"/>
        <v>0</v>
      </c>
      <c r="AQ30" s="72">
        <v>0</v>
      </c>
      <c r="AR30" s="73">
        <v>0</v>
      </c>
      <c r="AS30" s="74">
        <v>0</v>
      </c>
      <c r="AT30" s="74">
        <f t="shared" si="11"/>
        <v>0</v>
      </c>
      <c r="AU30" s="72">
        <v>0</v>
      </c>
      <c r="AV30" s="73">
        <v>0</v>
      </c>
      <c r="AW30" s="74">
        <v>0</v>
      </c>
      <c r="AX30" s="74">
        <f t="shared" si="12"/>
        <v>0</v>
      </c>
      <c r="AY30" s="72">
        <v>0</v>
      </c>
      <c r="AZ30" s="73">
        <v>0</v>
      </c>
      <c r="BA30" s="74">
        <v>0</v>
      </c>
      <c r="BB30" s="74">
        <f t="shared" si="13"/>
        <v>0</v>
      </c>
      <c r="BC30" s="72">
        <v>0</v>
      </c>
      <c r="BD30" s="73">
        <v>0</v>
      </c>
      <c r="BE30" s="74">
        <v>0</v>
      </c>
      <c r="BF30" s="74">
        <f t="shared" si="14"/>
        <v>0</v>
      </c>
      <c r="BG30" s="72">
        <v>0</v>
      </c>
      <c r="BH30" s="73">
        <v>0</v>
      </c>
      <c r="BI30" s="74">
        <v>0</v>
      </c>
      <c r="BJ30" s="74">
        <f t="shared" si="15"/>
        <v>0</v>
      </c>
      <c r="BK30" s="72">
        <v>0</v>
      </c>
      <c r="BL30" s="73">
        <v>0</v>
      </c>
      <c r="BM30" s="74">
        <v>0</v>
      </c>
      <c r="BN30" s="74">
        <f t="shared" si="16"/>
        <v>0</v>
      </c>
      <c r="BO30" s="72">
        <v>0</v>
      </c>
      <c r="BP30" s="73">
        <v>0</v>
      </c>
      <c r="BQ30" s="74">
        <v>0</v>
      </c>
      <c r="BR30" s="74">
        <f t="shared" si="17"/>
        <v>0</v>
      </c>
      <c r="BS30" s="72">
        <v>0</v>
      </c>
      <c r="BT30" s="73">
        <f t="shared" si="18"/>
        <v>10</v>
      </c>
      <c r="BU30" s="74">
        <f t="shared" si="19"/>
        <v>0</v>
      </c>
      <c r="BV30" s="74">
        <f t="shared" si="20"/>
        <v>1</v>
      </c>
      <c r="BW30" s="74">
        <f t="shared" si="21"/>
        <v>1</v>
      </c>
      <c r="BX30" s="74">
        <f t="shared" si="22"/>
        <v>0.90909090909090906</v>
      </c>
      <c r="BY30" s="72">
        <f t="shared" si="23"/>
        <v>0.95238095238095233</v>
      </c>
    </row>
    <row r="31" spans="1:84" ht="15" thickTop="1" x14ac:dyDescent="0.35">
      <c r="C31" s="4" t="s">
        <v>88</v>
      </c>
      <c r="D31" s="51">
        <f>SUM(D3:D30)</f>
        <v>74</v>
      </c>
      <c r="E31" s="51">
        <f t="shared" ref="E31:BP31" si="38">SUM(E3:E30)</f>
        <v>72</v>
      </c>
      <c r="F31" s="51">
        <f t="shared" si="38"/>
        <v>2</v>
      </c>
      <c r="G31" s="51">
        <f t="shared" si="38"/>
        <v>0</v>
      </c>
      <c r="H31" s="51">
        <f t="shared" si="38"/>
        <v>8</v>
      </c>
      <c r="I31" s="51">
        <f t="shared" si="38"/>
        <v>7</v>
      </c>
      <c r="J31" s="51">
        <f t="shared" si="38"/>
        <v>1</v>
      </c>
      <c r="K31" s="51">
        <f t="shared" si="38"/>
        <v>0</v>
      </c>
      <c r="L31" s="51">
        <f t="shared" si="38"/>
        <v>20</v>
      </c>
      <c r="M31" s="51">
        <f t="shared" si="38"/>
        <v>16</v>
      </c>
      <c r="N31" s="51">
        <f t="shared" si="38"/>
        <v>4</v>
      </c>
      <c r="O31" s="51">
        <f t="shared" si="38"/>
        <v>0</v>
      </c>
      <c r="P31" s="51">
        <f t="shared" si="38"/>
        <v>100</v>
      </c>
      <c r="Q31" s="51">
        <f t="shared" si="38"/>
        <v>96.5</v>
      </c>
      <c r="R31" s="51">
        <f t="shared" si="38"/>
        <v>3.5</v>
      </c>
      <c r="S31" s="51">
        <f t="shared" si="38"/>
        <v>12</v>
      </c>
      <c r="T31" s="51">
        <f t="shared" si="38"/>
        <v>14</v>
      </c>
      <c r="U31" s="51">
        <f t="shared" si="38"/>
        <v>14</v>
      </c>
      <c r="V31" s="51">
        <f t="shared" si="38"/>
        <v>0</v>
      </c>
      <c r="W31" s="51">
        <f t="shared" si="38"/>
        <v>45</v>
      </c>
      <c r="X31" s="51">
        <f t="shared" si="38"/>
        <v>34</v>
      </c>
      <c r="Y31" s="51">
        <f t="shared" si="38"/>
        <v>30.5</v>
      </c>
      <c r="Z31" s="51">
        <f t="shared" si="38"/>
        <v>3.5</v>
      </c>
      <c r="AA31" s="51">
        <f t="shared" si="38"/>
        <v>2</v>
      </c>
      <c r="AB31" s="51">
        <f t="shared" si="38"/>
        <v>16</v>
      </c>
      <c r="AC31" s="51">
        <f t="shared" si="38"/>
        <v>14</v>
      </c>
      <c r="AD31" s="51">
        <f t="shared" si="38"/>
        <v>2</v>
      </c>
      <c r="AE31" s="51">
        <f t="shared" si="38"/>
        <v>0</v>
      </c>
      <c r="AF31" s="51">
        <f t="shared" si="38"/>
        <v>36</v>
      </c>
      <c r="AG31" s="51">
        <f t="shared" si="38"/>
        <v>25</v>
      </c>
      <c r="AH31" s="51">
        <f t="shared" si="38"/>
        <v>11</v>
      </c>
      <c r="AI31" s="51">
        <f t="shared" si="38"/>
        <v>2</v>
      </c>
      <c r="AJ31" s="51">
        <f t="shared" si="38"/>
        <v>22</v>
      </c>
      <c r="AK31" s="51">
        <f t="shared" si="38"/>
        <v>22</v>
      </c>
      <c r="AL31" s="51">
        <f t="shared" si="38"/>
        <v>0</v>
      </c>
      <c r="AM31" s="51">
        <f t="shared" si="38"/>
        <v>1</v>
      </c>
      <c r="AN31" s="51">
        <f t="shared" si="38"/>
        <v>2</v>
      </c>
      <c r="AO31" s="51">
        <f t="shared" si="38"/>
        <v>2</v>
      </c>
      <c r="AP31" s="51">
        <f t="shared" si="38"/>
        <v>0</v>
      </c>
      <c r="AQ31" s="51">
        <f t="shared" si="38"/>
        <v>0</v>
      </c>
      <c r="AR31" s="51">
        <f t="shared" si="38"/>
        <v>8</v>
      </c>
      <c r="AS31" s="51">
        <f t="shared" si="38"/>
        <v>5</v>
      </c>
      <c r="AT31" s="51">
        <f t="shared" si="38"/>
        <v>3</v>
      </c>
      <c r="AU31" s="51">
        <f t="shared" si="38"/>
        <v>5</v>
      </c>
      <c r="AV31" s="51">
        <f t="shared" si="38"/>
        <v>4</v>
      </c>
      <c r="AW31" s="51">
        <f t="shared" si="38"/>
        <v>0</v>
      </c>
      <c r="AX31" s="51">
        <f t="shared" si="38"/>
        <v>4</v>
      </c>
      <c r="AY31" s="51">
        <f t="shared" si="38"/>
        <v>6</v>
      </c>
      <c r="AZ31" s="51">
        <f t="shared" si="38"/>
        <v>46</v>
      </c>
      <c r="BA31" s="51">
        <f t="shared" si="38"/>
        <v>41</v>
      </c>
      <c r="BB31" s="51">
        <f t="shared" si="38"/>
        <v>5</v>
      </c>
      <c r="BC31" s="51">
        <f t="shared" si="38"/>
        <v>3</v>
      </c>
      <c r="BD31" s="51">
        <f t="shared" si="38"/>
        <v>6</v>
      </c>
      <c r="BE31" s="51">
        <f t="shared" si="38"/>
        <v>6</v>
      </c>
      <c r="BF31" s="51">
        <f t="shared" si="38"/>
        <v>0</v>
      </c>
      <c r="BG31" s="51">
        <f t="shared" si="38"/>
        <v>1</v>
      </c>
      <c r="BH31" s="51">
        <f t="shared" si="38"/>
        <v>4</v>
      </c>
      <c r="BI31" s="51">
        <f t="shared" si="38"/>
        <v>1</v>
      </c>
      <c r="BJ31" s="51">
        <f t="shared" si="38"/>
        <v>3</v>
      </c>
      <c r="BK31" s="51">
        <f t="shared" si="38"/>
        <v>2</v>
      </c>
      <c r="BL31" s="51">
        <f t="shared" si="38"/>
        <v>12</v>
      </c>
      <c r="BM31" s="51">
        <f t="shared" si="38"/>
        <v>4</v>
      </c>
      <c r="BN31" s="51">
        <f t="shared" si="38"/>
        <v>8</v>
      </c>
      <c r="BO31" s="51">
        <f t="shared" si="38"/>
        <v>13</v>
      </c>
      <c r="BP31" s="51">
        <f t="shared" si="38"/>
        <v>10</v>
      </c>
      <c r="BQ31" s="51">
        <f t="shared" ref="BQ31:BS31" si="39">SUM(BQ3:BQ30)</f>
        <v>2</v>
      </c>
      <c r="BR31" s="51">
        <f t="shared" si="39"/>
        <v>8</v>
      </c>
      <c r="BS31" s="51">
        <f t="shared" si="39"/>
        <v>2</v>
      </c>
    </row>
    <row r="33" spans="3:71" x14ac:dyDescent="0.35">
      <c r="C33" s="76" t="s">
        <v>7</v>
      </c>
      <c r="D33" s="112">
        <f>IFERROR(E31/(E31+F31),"")</f>
        <v>0.97297297297297303</v>
      </c>
      <c r="E33" s="113"/>
      <c r="F33" s="113"/>
      <c r="G33" s="114"/>
      <c r="H33" s="112">
        <f t="shared" ref="H33" si="40">IFERROR(I31/(I31+J31),"")</f>
        <v>0.875</v>
      </c>
      <c r="I33" s="113"/>
      <c r="J33" s="113"/>
      <c r="K33" s="114"/>
      <c r="L33" s="112">
        <f t="shared" ref="L33" si="41">IFERROR(M31/(M31+N31),"")</f>
        <v>0.8</v>
      </c>
      <c r="M33" s="113"/>
      <c r="N33" s="113"/>
      <c r="O33" s="114"/>
      <c r="P33" s="112">
        <f t="shared" ref="P33" si="42">IFERROR(Q31/(Q31+R31),"")</f>
        <v>0.96499999999999997</v>
      </c>
      <c r="Q33" s="113"/>
      <c r="R33" s="113"/>
      <c r="S33" s="114"/>
      <c r="T33" s="112">
        <f t="shared" ref="T33" si="43">IFERROR(U31/(U31+V31),"")</f>
        <v>1</v>
      </c>
      <c r="U33" s="113"/>
      <c r="V33" s="113"/>
      <c r="W33" s="114"/>
      <c r="X33" s="112">
        <f t="shared" ref="X33" si="44">IFERROR(Y31/(Y31+Z31),"")</f>
        <v>0.8970588235294118</v>
      </c>
      <c r="Y33" s="113"/>
      <c r="Z33" s="113"/>
      <c r="AA33" s="114"/>
      <c r="AB33" s="112">
        <f t="shared" ref="AB33" si="45">IFERROR(AC31/(AC31+AD31),"")</f>
        <v>0.875</v>
      </c>
      <c r="AC33" s="113"/>
      <c r="AD33" s="113"/>
      <c r="AE33" s="114"/>
      <c r="AF33" s="112">
        <f t="shared" ref="AF33" si="46">IFERROR(AG31/(AG31+AH31),"")</f>
        <v>0.69444444444444442</v>
      </c>
      <c r="AG33" s="113"/>
      <c r="AH33" s="113"/>
      <c r="AI33" s="114"/>
      <c r="AJ33" s="112">
        <f t="shared" ref="AJ33" si="47">IFERROR(AK31/(AK31+AL31),"")</f>
        <v>1</v>
      </c>
      <c r="AK33" s="113"/>
      <c r="AL33" s="113"/>
      <c r="AM33" s="114"/>
      <c r="AN33" s="112">
        <f t="shared" ref="AN33" si="48">IFERROR(AO31/(AO31+AP31),"")</f>
        <v>1</v>
      </c>
      <c r="AO33" s="113"/>
      <c r="AP33" s="113"/>
      <c r="AQ33" s="114"/>
      <c r="AR33" s="112">
        <f t="shared" ref="AR33" si="49">IFERROR(AS31/(AS31+AT31),"")</f>
        <v>0.625</v>
      </c>
      <c r="AS33" s="113"/>
      <c r="AT33" s="113"/>
      <c r="AU33" s="114"/>
      <c r="AV33" s="112">
        <f t="shared" ref="AV33" si="50">IFERROR(AW31/(AW31+AX31),"")</f>
        <v>0</v>
      </c>
      <c r="AW33" s="113"/>
      <c r="AX33" s="113"/>
      <c r="AY33" s="114"/>
      <c r="AZ33" s="112">
        <f t="shared" ref="AZ33" si="51">IFERROR(BA31/(BA31+BB31),"")</f>
        <v>0.89130434782608692</v>
      </c>
      <c r="BA33" s="113"/>
      <c r="BB33" s="113"/>
      <c r="BC33" s="114"/>
      <c r="BD33" s="112">
        <f t="shared" ref="BD33" si="52">IFERROR(BE31/(BE31+BF31),"")</f>
        <v>1</v>
      </c>
      <c r="BE33" s="113"/>
      <c r="BF33" s="113"/>
      <c r="BG33" s="114"/>
      <c r="BH33" s="112">
        <f t="shared" ref="BH33" si="53">IFERROR(BI31/(BI31+BJ31),"")</f>
        <v>0.25</v>
      </c>
      <c r="BI33" s="113"/>
      <c r="BJ33" s="113"/>
      <c r="BK33" s="114"/>
      <c r="BL33" s="112">
        <f t="shared" ref="BL33" si="54">IFERROR(BM31/(BM31+BN31),"")</f>
        <v>0.33333333333333331</v>
      </c>
      <c r="BM33" s="113"/>
      <c r="BN33" s="113"/>
      <c r="BO33" s="114"/>
      <c r="BP33" s="112">
        <f t="shared" ref="BP33" si="55">IFERROR(BQ31/(BQ31+BR31),"")</f>
        <v>0.2</v>
      </c>
      <c r="BQ33" s="113"/>
      <c r="BR33" s="113"/>
      <c r="BS33" s="114"/>
    </row>
    <row r="34" spans="3:71" x14ac:dyDescent="0.35">
      <c r="C34" s="76" t="s">
        <v>117</v>
      </c>
      <c r="D34" s="112">
        <f>IFERROR(E31/(E31+G31),"")</f>
        <v>1</v>
      </c>
      <c r="E34" s="113"/>
      <c r="F34" s="113"/>
      <c r="G34" s="114"/>
      <c r="H34" s="112">
        <f t="shared" ref="H34" si="56">IFERROR(I31/(I31+K31),"")</f>
        <v>1</v>
      </c>
      <c r="I34" s="113"/>
      <c r="J34" s="113"/>
      <c r="K34" s="114"/>
      <c r="L34" s="112">
        <f t="shared" ref="L34" si="57">IFERROR(M31/(M31+O31),"")</f>
        <v>1</v>
      </c>
      <c r="M34" s="113"/>
      <c r="N34" s="113"/>
      <c r="O34" s="114"/>
      <c r="P34" s="112">
        <f t="shared" ref="P34" si="58">IFERROR(Q31/(Q31+S31),"")</f>
        <v>0.88940092165898621</v>
      </c>
      <c r="Q34" s="113"/>
      <c r="R34" s="113"/>
      <c r="S34" s="114"/>
      <c r="T34" s="112">
        <f t="shared" ref="T34" si="59">IFERROR(U31/(U31+W31),"")</f>
        <v>0.23728813559322035</v>
      </c>
      <c r="U34" s="113"/>
      <c r="V34" s="113"/>
      <c r="W34" s="114"/>
      <c r="X34" s="112">
        <f t="shared" ref="X34" si="60">IFERROR(Y31/(Y31+AA31),"")</f>
        <v>0.93846153846153846</v>
      </c>
      <c r="Y34" s="113"/>
      <c r="Z34" s="113"/>
      <c r="AA34" s="114"/>
      <c r="AB34" s="112">
        <f t="shared" ref="AB34" si="61">IFERROR(AC31/(AC31+AE31),"")</f>
        <v>1</v>
      </c>
      <c r="AC34" s="113"/>
      <c r="AD34" s="113"/>
      <c r="AE34" s="114"/>
      <c r="AF34" s="112">
        <f t="shared" ref="AF34" si="62">IFERROR(AG31/(AG31+AI31),"")</f>
        <v>0.92592592592592593</v>
      </c>
      <c r="AG34" s="113"/>
      <c r="AH34" s="113"/>
      <c r="AI34" s="114"/>
      <c r="AJ34" s="112">
        <f t="shared" ref="AJ34" si="63">IFERROR(AK31/(AK31+AM31),"")</f>
        <v>0.95652173913043481</v>
      </c>
      <c r="AK34" s="113"/>
      <c r="AL34" s="113"/>
      <c r="AM34" s="114"/>
      <c r="AN34" s="112">
        <f t="shared" ref="AN34" si="64">IFERROR(AO31/(AO31+AQ31),"")</f>
        <v>1</v>
      </c>
      <c r="AO34" s="113"/>
      <c r="AP34" s="113"/>
      <c r="AQ34" s="114"/>
      <c r="AR34" s="112">
        <f t="shared" ref="AR34" si="65">IFERROR(AS31/(AS31+AU31),"")</f>
        <v>0.5</v>
      </c>
      <c r="AS34" s="113"/>
      <c r="AT34" s="113"/>
      <c r="AU34" s="114"/>
      <c r="AV34" s="112">
        <f t="shared" ref="AV34" si="66">IFERROR(AW31/(AW31+AY31),"")</f>
        <v>0</v>
      </c>
      <c r="AW34" s="113"/>
      <c r="AX34" s="113"/>
      <c r="AY34" s="114"/>
      <c r="AZ34" s="112">
        <f t="shared" ref="AZ34" si="67">IFERROR(BA31/(BA31+BC31),"")</f>
        <v>0.93181818181818177</v>
      </c>
      <c r="BA34" s="113"/>
      <c r="BB34" s="113"/>
      <c r="BC34" s="114"/>
      <c r="BD34" s="112">
        <f t="shared" ref="BD34" si="68">IFERROR(BE31/(BE31+BG31),"")</f>
        <v>0.8571428571428571</v>
      </c>
      <c r="BE34" s="113"/>
      <c r="BF34" s="113"/>
      <c r="BG34" s="114"/>
      <c r="BH34" s="112">
        <f t="shared" ref="BH34" si="69">IFERROR(BI31/(BI31+BK31),"")</f>
        <v>0.33333333333333331</v>
      </c>
      <c r="BI34" s="113"/>
      <c r="BJ34" s="113"/>
      <c r="BK34" s="114"/>
      <c r="BL34" s="112">
        <f t="shared" ref="BL34" si="70">IFERROR(BM31/(BM31+BO31),"")</f>
        <v>0.23529411764705882</v>
      </c>
      <c r="BM34" s="113"/>
      <c r="BN34" s="113"/>
      <c r="BO34" s="114"/>
      <c r="BP34" s="112">
        <f t="shared" ref="BP34" si="71">IFERROR(BQ31/(BQ31+BS31),"")</f>
        <v>0.5</v>
      </c>
      <c r="BQ34" s="113"/>
      <c r="BR34" s="113"/>
      <c r="BS34" s="114"/>
    </row>
    <row r="35" spans="3:71" x14ac:dyDescent="0.35">
      <c r="C35" s="76" t="s">
        <v>8</v>
      </c>
      <c r="D35" s="112">
        <f>IFERROR(2*D33*D34/(D33+D34),IF(AND(D33=0,D34=0),0,""))</f>
        <v>0.98630136986301375</v>
      </c>
      <c r="E35" s="113"/>
      <c r="F35" s="113"/>
      <c r="G35" s="114"/>
      <c r="H35" s="112">
        <f t="shared" ref="H35" si="72">IFERROR(2*H33*H34/(H33+H34),IF(AND(H33=0,H34=0),0,""))</f>
        <v>0.93333333333333335</v>
      </c>
      <c r="I35" s="113"/>
      <c r="J35" s="113"/>
      <c r="K35" s="114"/>
      <c r="L35" s="112">
        <f t="shared" ref="L35" si="73">IFERROR(2*L33*L34/(L33+L34),IF(AND(L33=0,L34=0),0,""))</f>
        <v>0.88888888888888895</v>
      </c>
      <c r="M35" s="113"/>
      <c r="N35" s="113"/>
      <c r="O35" s="114"/>
      <c r="P35" s="112">
        <f t="shared" ref="P35" si="74">IFERROR(2*P33*P34/(P33+P34),IF(AND(P33=0,P34=0),0,""))</f>
        <v>0.92565947242206248</v>
      </c>
      <c r="Q35" s="113"/>
      <c r="R35" s="113"/>
      <c r="S35" s="114"/>
      <c r="T35" s="112">
        <f t="shared" ref="T35" si="75">IFERROR(2*T33*T34/(T33+T34),IF(AND(T33=0,T34=0),0,""))</f>
        <v>0.38356164383561642</v>
      </c>
      <c r="U35" s="113"/>
      <c r="V35" s="113"/>
      <c r="W35" s="114"/>
      <c r="X35" s="112">
        <f t="shared" ref="X35" si="76">IFERROR(2*X33*X34/(X33+X34),IF(AND(X33=0,X34=0),0,""))</f>
        <v>0.91729323308270672</v>
      </c>
      <c r="Y35" s="113"/>
      <c r="Z35" s="113"/>
      <c r="AA35" s="114"/>
      <c r="AB35" s="112">
        <f t="shared" ref="AB35" si="77">IFERROR(2*AB33*AB34/(AB33+AB34),IF(AND(AB33=0,AB34=0),0,""))</f>
        <v>0.93333333333333335</v>
      </c>
      <c r="AC35" s="113"/>
      <c r="AD35" s="113"/>
      <c r="AE35" s="114"/>
      <c r="AF35" s="112">
        <f t="shared" ref="AF35" si="78">IFERROR(2*AF33*AF34/(AF33+AF34),IF(AND(AF33=0,AF34=0),0,""))</f>
        <v>0.79365079365079361</v>
      </c>
      <c r="AG35" s="113"/>
      <c r="AH35" s="113"/>
      <c r="AI35" s="114"/>
      <c r="AJ35" s="112">
        <f t="shared" ref="AJ35" si="79">IFERROR(2*AJ33*AJ34/(AJ33+AJ34),IF(AND(AJ33=0,AJ34=0),0,""))</f>
        <v>0.97777777777777775</v>
      </c>
      <c r="AK35" s="113"/>
      <c r="AL35" s="113"/>
      <c r="AM35" s="114"/>
      <c r="AN35" s="112">
        <f t="shared" ref="AN35" si="80">IFERROR(2*AN33*AN34/(AN33+AN34),IF(AND(AN33=0,AN34=0),0,""))</f>
        <v>1</v>
      </c>
      <c r="AO35" s="113"/>
      <c r="AP35" s="113"/>
      <c r="AQ35" s="114"/>
      <c r="AR35" s="112">
        <f t="shared" ref="AR35" si="81">IFERROR(2*AR33*AR34/(AR33+AR34),IF(AND(AR33=0,AR34=0),0,""))</f>
        <v>0.55555555555555558</v>
      </c>
      <c r="AS35" s="113"/>
      <c r="AT35" s="113"/>
      <c r="AU35" s="114"/>
      <c r="AV35" s="112">
        <f t="shared" ref="AV35" si="82">IFERROR(2*AV33*AV34/(AV33+AV34),IF(AND(AV33=0,AV34=0),0,""))</f>
        <v>0</v>
      </c>
      <c r="AW35" s="113"/>
      <c r="AX35" s="113"/>
      <c r="AY35" s="114"/>
      <c r="AZ35" s="112">
        <f t="shared" ref="AZ35" si="83">IFERROR(2*AZ33*AZ34/(AZ33+AZ34),IF(AND(AZ33=0,AZ34=0),0,""))</f>
        <v>0.91111111111111109</v>
      </c>
      <c r="BA35" s="113"/>
      <c r="BB35" s="113"/>
      <c r="BC35" s="114"/>
      <c r="BD35" s="112">
        <f t="shared" ref="BD35" si="84">IFERROR(2*BD33*BD34/(BD33+BD34),IF(AND(BD33=0,BD34=0),0,""))</f>
        <v>0.92307692307692302</v>
      </c>
      <c r="BE35" s="113"/>
      <c r="BF35" s="113"/>
      <c r="BG35" s="114"/>
      <c r="BH35" s="112">
        <f t="shared" ref="BH35" si="85">IFERROR(2*BH33*BH34/(BH33+BH34),IF(AND(BH33=0,BH34=0),0,""))</f>
        <v>0.28571428571428575</v>
      </c>
      <c r="BI35" s="113"/>
      <c r="BJ35" s="113"/>
      <c r="BK35" s="114"/>
      <c r="BL35" s="112">
        <f t="shared" ref="BL35" si="86">IFERROR(2*BL33*BL34/(BL33+BL34),IF(AND(BL33=0,BL34=0),0,""))</f>
        <v>0.27586206896551724</v>
      </c>
      <c r="BM35" s="113"/>
      <c r="BN35" s="113"/>
      <c r="BO35" s="114"/>
      <c r="BP35" s="112">
        <f t="shared" ref="BP35" si="87">IFERROR(2*BP33*BP34/(BP33+BP34),IF(AND(BP33=0,BP34=0),0,""))</f>
        <v>0.28571428571428575</v>
      </c>
      <c r="BQ35" s="113"/>
      <c r="BR35" s="113"/>
      <c r="BS35" s="114"/>
    </row>
  </sheetData>
  <mergeCells count="82">
    <mergeCell ref="BL35:BO35"/>
    <mergeCell ref="BP35:BS35"/>
    <mergeCell ref="BH34:BK34"/>
    <mergeCell ref="BL34:BO34"/>
    <mergeCell ref="BP34:BS34"/>
    <mergeCell ref="D35:G35"/>
    <mergeCell ref="H35:K35"/>
    <mergeCell ref="L35:O35"/>
    <mergeCell ref="P35:S35"/>
    <mergeCell ref="T35:W35"/>
    <mergeCell ref="X35:AA35"/>
    <mergeCell ref="AB35:AE35"/>
    <mergeCell ref="AF35:AI35"/>
    <mergeCell ref="AJ35:AM35"/>
    <mergeCell ref="AN35:AQ35"/>
    <mergeCell ref="AR35:AU35"/>
    <mergeCell ref="AV35:AY35"/>
    <mergeCell ref="AZ35:BC35"/>
    <mergeCell ref="BL33:BO33"/>
    <mergeCell ref="BP33:BS33"/>
    <mergeCell ref="AR34:AU34"/>
    <mergeCell ref="AV34:AY34"/>
    <mergeCell ref="AZ34:BC34"/>
    <mergeCell ref="BD34:BG34"/>
    <mergeCell ref="AR33:AU33"/>
    <mergeCell ref="AV33:AY33"/>
    <mergeCell ref="AZ33:BC33"/>
    <mergeCell ref="BD33:BG33"/>
    <mergeCell ref="BH33:BK33"/>
    <mergeCell ref="BD35:BG35"/>
    <mergeCell ref="BH35:BK35"/>
    <mergeCell ref="D34:G34"/>
    <mergeCell ref="H34:K34"/>
    <mergeCell ref="L34:O34"/>
    <mergeCell ref="P34:S34"/>
    <mergeCell ref="T34:W34"/>
    <mergeCell ref="X34:AA34"/>
    <mergeCell ref="AB34:AE34"/>
    <mergeCell ref="AF34:AI34"/>
    <mergeCell ref="AJ34:AM34"/>
    <mergeCell ref="AN34:AQ34"/>
    <mergeCell ref="X33:AA33"/>
    <mergeCell ref="AB33:AE33"/>
    <mergeCell ref="AF33:AI33"/>
    <mergeCell ref="AJ33:AM33"/>
    <mergeCell ref="AN33:AQ33"/>
    <mergeCell ref="D33:G33"/>
    <mergeCell ref="H33:K33"/>
    <mergeCell ref="L33:O33"/>
    <mergeCell ref="P33:S33"/>
    <mergeCell ref="T33:W33"/>
    <mergeCell ref="B3:B30"/>
    <mergeCell ref="A1:A2"/>
    <mergeCell ref="B1:B2"/>
    <mergeCell ref="C1:C2"/>
    <mergeCell ref="D1:G1"/>
    <mergeCell ref="H1:K1"/>
    <mergeCell ref="AV1:AY1"/>
    <mergeCell ref="L1:O1"/>
    <mergeCell ref="P1:S1"/>
    <mergeCell ref="T1:W1"/>
    <mergeCell ref="X1:AA1"/>
    <mergeCell ref="AB1:AE1"/>
    <mergeCell ref="AF1:AI1"/>
    <mergeCell ref="AJ1:AM1"/>
    <mergeCell ref="AN1:AQ1"/>
    <mergeCell ref="AR1:AU1"/>
    <mergeCell ref="CC1:CC2"/>
    <mergeCell ref="CD1:CD2"/>
    <mergeCell ref="CE1:CE2"/>
    <mergeCell ref="CF1:CF2"/>
    <mergeCell ref="AZ1:BC1"/>
    <mergeCell ref="BD1:BG1"/>
    <mergeCell ref="BH1:BK1"/>
    <mergeCell ref="BL1:BO1"/>
    <mergeCell ref="BP1:BS1"/>
    <mergeCell ref="BY1:BY2"/>
    <mergeCell ref="BT1:BT2"/>
    <mergeCell ref="BU1:BU2"/>
    <mergeCell ref="BV1:BV2"/>
    <mergeCell ref="BW1:BW2"/>
    <mergeCell ref="BX1:BX2"/>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FA01-0702-4938-8E75-5598DCFE92DD}">
  <dimension ref="A1:CF35"/>
  <sheetViews>
    <sheetView zoomScale="86" zoomScaleNormal="104" workbookViewId="0">
      <pane ySplit="2" topLeftCell="A3" activePane="bottomLeft" state="frozen"/>
      <selection activeCell="BT40" sqref="BT40"/>
      <selection pane="bottomLeft" activeCell="D34" sqref="D34"/>
    </sheetView>
  </sheetViews>
  <sheetFormatPr defaultRowHeight="14.5" x14ac:dyDescent="0.35"/>
  <cols>
    <col min="2" max="4" width="30.54296875" customWidth="1"/>
    <col min="5" max="5" width="12.90625" bestFit="1" customWidth="1"/>
    <col min="77" max="77" width="12.54296875" bestFit="1" customWidth="1"/>
    <col min="81" max="81" width="13" customWidth="1"/>
    <col min="83" max="83" width="12.453125" bestFit="1" customWidth="1"/>
    <col min="84" max="84" width="8.7265625" customWidth="1"/>
  </cols>
  <sheetData>
    <row r="1" spans="1:84" ht="15.5" thickTop="1" thickBot="1" x14ac:dyDescent="0.4">
      <c r="A1" s="92" t="s">
        <v>0</v>
      </c>
      <c r="B1" s="119" t="s">
        <v>47</v>
      </c>
      <c r="C1" s="121" t="s">
        <v>48</v>
      </c>
      <c r="D1" s="96" t="s">
        <v>2</v>
      </c>
      <c r="E1" s="98" t="s">
        <v>3</v>
      </c>
      <c r="F1" s="99"/>
      <c r="G1" s="99"/>
      <c r="H1" s="100"/>
      <c r="I1" s="101" t="s">
        <v>71</v>
      </c>
      <c r="J1" s="101"/>
      <c r="K1" s="101"/>
      <c r="L1" s="102"/>
      <c r="M1" s="92" t="s">
        <v>72</v>
      </c>
      <c r="N1" s="103"/>
      <c r="O1" s="103"/>
      <c r="P1" s="96"/>
      <c r="Q1" s="92" t="s">
        <v>73</v>
      </c>
      <c r="R1" s="103"/>
      <c r="S1" s="103"/>
      <c r="T1" s="96"/>
      <c r="U1" s="92" t="s">
        <v>74</v>
      </c>
      <c r="V1" s="103"/>
      <c r="W1" s="103"/>
      <c r="X1" s="96"/>
      <c r="Y1" s="92" t="s">
        <v>75</v>
      </c>
      <c r="Z1" s="103"/>
      <c r="AA1" s="103"/>
      <c r="AB1" s="96"/>
      <c r="AC1" s="92" t="s">
        <v>76</v>
      </c>
      <c r="AD1" s="103"/>
      <c r="AE1" s="103"/>
      <c r="AF1" s="96"/>
      <c r="AG1" s="92" t="s">
        <v>77</v>
      </c>
      <c r="AH1" s="103"/>
      <c r="AI1" s="103"/>
      <c r="AJ1" s="96"/>
      <c r="AK1" s="92" t="s">
        <v>78</v>
      </c>
      <c r="AL1" s="103"/>
      <c r="AM1" s="103"/>
      <c r="AN1" s="96"/>
      <c r="AO1" s="92" t="s">
        <v>79</v>
      </c>
      <c r="AP1" s="103"/>
      <c r="AQ1" s="103"/>
      <c r="AR1" s="96"/>
      <c r="AS1" s="92" t="s">
        <v>80</v>
      </c>
      <c r="AT1" s="103"/>
      <c r="AU1" s="103"/>
      <c r="AV1" s="96"/>
      <c r="AW1" s="92" t="s">
        <v>81</v>
      </c>
      <c r="AX1" s="103"/>
      <c r="AY1" s="103"/>
      <c r="AZ1" s="111"/>
      <c r="BA1" s="104" t="s">
        <v>82</v>
      </c>
      <c r="BB1" s="101"/>
      <c r="BC1" s="101"/>
      <c r="BD1" s="102"/>
      <c r="BE1" s="92" t="s">
        <v>83</v>
      </c>
      <c r="BF1" s="103"/>
      <c r="BG1" s="103"/>
      <c r="BH1" s="96"/>
      <c r="BI1" s="92" t="s">
        <v>84</v>
      </c>
      <c r="BJ1" s="103"/>
      <c r="BK1" s="103"/>
      <c r="BL1" s="96"/>
      <c r="BM1" s="92" t="s">
        <v>85</v>
      </c>
      <c r="BN1" s="103"/>
      <c r="BO1" s="103"/>
      <c r="BP1" s="96"/>
      <c r="BQ1" s="92" t="s">
        <v>86</v>
      </c>
      <c r="BR1" s="103"/>
      <c r="BS1" s="103"/>
      <c r="BT1" s="96"/>
      <c r="BU1" s="109" t="s">
        <v>4</v>
      </c>
      <c r="BV1" s="103" t="s">
        <v>5</v>
      </c>
      <c r="BW1" s="103" t="s">
        <v>6</v>
      </c>
      <c r="BX1" s="103" t="s">
        <v>7</v>
      </c>
      <c r="BY1" s="103" t="s">
        <v>117</v>
      </c>
      <c r="BZ1" s="96" t="s">
        <v>8</v>
      </c>
      <c r="CC1" s="91" t="s">
        <v>2</v>
      </c>
      <c r="CD1" s="91" t="str">
        <f>BX1</f>
        <v>Recall</v>
      </c>
      <c r="CE1" s="91" t="str">
        <f>BY1</f>
        <v>Precision</v>
      </c>
      <c r="CF1" s="91" t="str">
        <f>BZ1</f>
        <v>F1</v>
      </c>
    </row>
    <row r="2" spans="1:84" ht="15.5" thickTop="1" thickBot="1" x14ac:dyDescent="0.4">
      <c r="A2" s="93"/>
      <c r="B2" s="120"/>
      <c r="C2" s="117"/>
      <c r="D2" s="97"/>
      <c r="E2" s="5" t="s">
        <v>9</v>
      </c>
      <c r="F2" s="1" t="s">
        <v>4</v>
      </c>
      <c r="G2" s="1" t="s">
        <v>5</v>
      </c>
      <c r="H2" s="2" t="s">
        <v>6</v>
      </c>
      <c r="I2" s="1" t="s">
        <v>9</v>
      </c>
      <c r="J2" s="3" t="s">
        <v>4</v>
      </c>
      <c r="K2" s="3" t="s">
        <v>5</v>
      </c>
      <c r="L2" s="2" t="s">
        <v>6</v>
      </c>
      <c r="M2" s="1" t="s">
        <v>9</v>
      </c>
      <c r="N2" s="3" t="s">
        <v>4</v>
      </c>
      <c r="O2" s="3" t="s">
        <v>5</v>
      </c>
      <c r="P2" s="2" t="s">
        <v>6</v>
      </c>
      <c r="Q2" s="1" t="s">
        <v>9</v>
      </c>
      <c r="R2" s="3" t="s">
        <v>4</v>
      </c>
      <c r="S2" s="3" t="s">
        <v>5</v>
      </c>
      <c r="T2" s="2" t="s">
        <v>6</v>
      </c>
      <c r="U2" s="1" t="s">
        <v>9</v>
      </c>
      <c r="V2" s="3" t="s">
        <v>4</v>
      </c>
      <c r="W2" s="3" t="s">
        <v>5</v>
      </c>
      <c r="X2" s="2" t="s">
        <v>6</v>
      </c>
      <c r="Y2" s="1" t="s">
        <v>9</v>
      </c>
      <c r="Z2" s="3" t="s">
        <v>4</v>
      </c>
      <c r="AA2" s="3" t="s">
        <v>5</v>
      </c>
      <c r="AB2" s="2" t="s">
        <v>6</v>
      </c>
      <c r="AC2" s="1" t="s">
        <v>9</v>
      </c>
      <c r="AD2" s="3" t="s">
        <v>4</v>
      </c>
      <c r="AE2" s="3" t="s">
        <v>5</v>
      </c>
      <c r="AF2" s="2" t="s">
        <v>6</v>
      </c>
      <c r="AG2" s="1" t="s">
        <v>9</v>
      </c>
      <c r="AH2" s="3" t="s">
        <v>4</v>
      </c>
      <c r="AI2" s="3" t="s">
        <v>5</v>
      </c>
      <c r="AJ2" s="2" t="s">
        <v>6</v>
      </c>
      <c r="AK2" s="1" t="s">
        <v>9</v>
      </c>
      <c r="AL2" s="3" t="s">
        <v>4</v>
      </c>
      <c r="AM2" s="3" t="s">
        <v>5</v>
      </c>
      <c r="AN2" s="2" t="s">
        <v>6</v>
      </c>
      <c r="AO2" s="1" t="s">
        <v>9</v>
      </c>
      <c r="AP2" s="3" t="s">
        <v>4</v>
      </c>
      <c r="AQ2" s="3" t="s">
        <v>5</v>
      </c>
      <c r="AR2" s="2" t="s">
        <v>6</v>
      </c>
      <c r="AS2" s="1" t="s">
        <v>9</v>
      </c>
      <c r="AT2" s="3" t="s">
        <v>4</v>
      </c>
      <c r="AU2" s="3" t="s">
        <v>5</v>
      </c>
      <c r="AV2" s="2" t="s">
        <v>6</v>
      </c>
      <c r="AW2" s="1" t="s">
        <v>9</v>
      </c>
      <c r="AX2" s="3" t="s">
        <v>4</v>
      </c>
      <c r="AY2" s="3" t="s">
        <v>5</v>
      </c>
      <c r="AZ2" s="68" t="s">
        <v>6</v>
      </c>
      <c r="BA2" s="66" t="s">
        <v>9</v>
      </c>
      <c r="BB2" s="67" t="s">
        <v>4</v>
      </c>
      <c r="BC2" s="67" t="s">
        <v>5</v>
      </c>
      <c r="BD2" s="68" t="s">
        <v>6</v>
      </c>
      <c r="BE2" s="5" t="s">
        <v>9</v>
      </c>
      <c r="BF2" s="3" t="s">
        <v>4</v>
      </c>
      <c r="BG2" s="3" t="s">
        <v>5</v>
      </c>
      <c r="BH2" s="2" t="s">
        <v>6</v>
      </c>
      <c r="BI2" s="1" t="s">
        <v>9</v>
      </c>
      <c r="BJ2" s="3" t="s">
        <v>4</v>
      </c>
      <c r="BK2" s="3" t="s">
        <v>5</v>
      </c>
      <c r="BL2" s="2" t="s">
        <v>6</v>
      </c>
      <c r="BM2" s="1" t="s">
        <v>9</v>
      </c>
      <c r="BN2" s="3" t="s">
        <v>4</v>
      </c>
      <c r="BO2" s="3" t="s">
        <v>5</v>
      </c>
      <c r="BP2" s="2" t="s">
        <v>6</v>
      </c>
      <c r="BQ2" s="1" t="s">
        <v>9</v>
      </c>
      <c r="BR2" s="3" t="s">
        <v>4</v>
      </c>
      <c r="BS2" s="3" t="s">
        <v>5</v>
      </c>
      <c r="BT2" s="2" t="s">
        <v>6</v>
      </c>
      <c r="BU2" s="110"/>
      <c r="BV2" s="105"/>
      <c r="BW2" s="105"/>
      <c r="BX2" s="105"/>
      <c r="BY2" s="105"/>
      <c r="BZ2" s="106"/>
      <c r="CC2" s="91"/>
      <c r="CD2" s="91"/>
      <c r="CE2" s="91"/>
      <c r="CF2" s="91"/>
    </row>
    <row r="3" spans="1:84" ht="15" thickTop="1" x14ac:dyDescent="0.35">
      <c r="A3" s="52" t="s">
        <v>10</v>
      </c>
      <c r="B3" s="107" t="s">
        <v>52</v>
      </c>
      <c r="C3" s="107" t="s">
        <v>53</v>
      </c>
      <c r="D3" s="6" t="s">
        <v>11</v>
      </c>
      <c r="E3" s="7">
        <v>2</v>
      </c>
      <c r="F3" s="8">
        <v>2</v>
      </c>
      <c r="G3" s="8">
        <f t="shared" ref="G3:G30" si="0">E3-F3</f>
        <v>0</v>
      </c>
      <c r="H3" s="6">
        <v>0</v>
      </c>
      <c r="I3" s="9">
        <v>0</v>
      </c>
      <c r="J3" s="8">
        <v>0</v>
      </c>
      <c r="K3" s="8">
        <f t="shared" ref="K3:K13" si="1">I3-J3</f>
        <v>0</v>
      </c>
      <c r="L3" s="6">
        <v>0</v>
      </c>
      <c r="M3" s="9">
        <v>0</v>
      </c>
      <c r="N3" s="8">
        <v>0</v>
      </c>
      <c r="O3" s="8">
        <f t="shared" ref="O3:O13" si="2">M3-N3</f>
        <v>0</v>
      </c>
      <c r="P3" s="6">
        <v>0</v>
      </c>
      <c r="Q3" s="9">
        <v>2</v>
      </c>
      <c r="R3" s="8">
        <v>2</v>
      </c>
      <c r="S3" s="8">
        <f t="shared" ref="S3:S30" si="3">Q3-R3</f>
        <v>0</v>
      </c>
      <c r="T3" s="6">
        <v>0</v>
      </c>
      <c r="U3" s="9">
        <v>2</v>
      </c>
      <c r="V3" s="8">
        <v>2</v>
      </c>
      <c r="W3" s="8">
        <f t="shared" ref="W3:W13" si="4">U3-V3</f>
        <v>0</v>
      </c>
      <c r="X3" s="6">
        <v>0</v>
      </c>
      <c r="Y3" s="9">
        <v>3</v>
      </c>
      <c r="Z3" s="8">
        <v>3</v>
      </c>
      <c r="AA3" s="8">
        <f t="shared" ref="AA3:AA15" si="5">Y3-Z3</f>
        <v>0</v>
      </c>
      <c r="AB3" s="6">
        <v>0</v>
      </c>
      <c r="AC3" s="9">
        <v>2</v>
      </c>
      <c r="AD3" s="8">
        <v>2</v>
      </c>
      <c r="AE3" s="8">
        <f t="shared" ref="AE3:AE29" si="6">AC3-AD3</f>
        <v>0</v>
      </c>
      <c r="AF3" s="6">
        <v>0</v>
      </c>
      <c r="AG3" s="9">
        <v>3</v>
      </c>
      <c r="AH3" s="8">
        <v>3</v>
      </c>
      <c r="AI3" s="8">
        <f t="shared" ref="AI3:AI30" si="7">AG3-AH3</f>
        <v>0</v>
      </c>
      <c r="AJ3" s="6">
        <v>0</v>
      </c>
      <c r="AK3" s="9">
        <v>1</v>
      </c>
      <c r="AL3" s="8">
        <v>1</v>
      </c>
      <c r="AM3" s="8">
        <f t="shared" ref="AM3:AM30" si="8">AK3-AL3</f>
        <v>0</v>
      </c>
      <c r="AN3" s="6">
        <v>0</v>
      </c>
      <c r="AO3" s="9">
        <v>0</v>
      </c>
      <c r="AP3" s="8">
        <v>0</v>
      </c>
      <c r="AQ3" s="8">
        <f t="shared" ref="AQ3:AQ30" si="9">AO3-AP3</f>
        <v>0</v>
      </c>
      <c r="AR3" s="6">
        <v>0</v>
      </c>
      <c r="AS3" s="9">
        <v>0</v>
      </c>
      <c r="AT3" s="8">
        <v>0</v>
      </c>
      <c r="AU3" s="8">
        <f t="shared" ref="AU3:AU30" si="10">AS3-AT3</f>
        <v>0</v>
      </c>
      <c r="AV3" s="6">
        <v>0</v>
      </c>
      <c r="AW3" s="9">
        <v>0</v>
      </c>
      <c r="AX3" s="8">
        <v>0</v>
      </c>
      <c r="AY3" s="8">
        <f t="shared" ref="AY3:AY30" si="11">AW3-AX3</f>
        <v>0</v>
      </c>
      <c r="AZ3" s="6">
        <v>0</v>
      </c>
      <c r="BA3" s="7">
        <v>1</v>
      </c>
      <c r="BB3" s="10">
        <v>1</v>
      </c>
      <c r="BC3" s="10">
        <f t="shared" ref="BC3:BC30" si="12">BA3-BB3</f>
        <v>0</v>
      </c>
      <c r="BD3" s="70">
        <v>0</v>
      </c>
      <c r="BE3" s="7">
        <v>1</v>
      </c>
      <c r="BF3" s="8">
        <v>0</v>
      </c>
      <c r="BG3" s="8">
        <f t="shared" ref="BG3:BG30" si="13">BE3-BF3</f>
        <v>1</v>
      </c>
      <c r="BH3" s="6">
        <v>1</v>
      </c>
      <c r="BI3" s="9">
        <v>0</v>
      </c>
      <c r="BJ3" s="8">
        <v>0</v>
      </c>
      <c r="BK3" s="8">
        <f t="shared" ref="BK3:BK30" si="14">BI3-BJ3</f>
        <v>0</v>
      </c>
      <c r="BL3" s="6">
        <v>0</v>
      </c>
      <c r="BM3" s="9">
        <v>0</v>
      </c>
      <c r="BN3" s="8">
        <v>0</v>
      </c>
      <c r="BO3" s="8">
        <f t="shared" ref="BO3:BO30" si="15">BM3-BN3</f>
        <v>0</v>
      </c>
      <c r="BP3" s="6">
        <v>0</v>
      </c>
      <c r="BQ3" s="9">
        <v>0</v>
      </c>
      <c r="BR3" s="8">
        <v>0</v>
      </c>
      <c r="BS3" s="8">
        <f t="shared" ref="BS3:BS30" si="16">BQ3-BR3</f>
        <v>0</v>
      </c>
      <c r="BT3" s="6">
        <v>0</v>
      </c>
      <c r="BU3" s="9">
        <f t="shared" ref="BU3:BU30" si="17">SUM(F3,J3,N3,R3,V3,Z3,AD3,AH3,AL3,AP3,AT3,AX3,BF3,BJ3,BN3,BR3,BB3)</f>
        <v>16</v>
      </c>
      <c r="BV3" s="8">
        <f t="shared" ref="BV3:BV30" si="18">SUM(BS3,BO3,BK3,BG3,AY3,AU3,AQ3,AM3,AI3,AE3,AA3,W3,S3,O3,K3,G3,BC3)</f>
        <v>1</v>
      </c>
      <c r="BW3" s="10">
        <f t="shared" ref="BW3:BW30" si="19">SUM(BT3,BP3,BL3,BH3,AZ3,AV3,AR3,AN3,AJ3,AF3,AB3,X3,T3,P3,L3,H3, BD3)</f>
        <v>1</v>
      </c>
      <c r="BX3" s="8">
        <f t="shared" ref="BX3:BX30" si="20">BU3/(BU3+BV3)</f>
        <v>0.94117647058823528</v>
      </c>
      <c r="BY3" s="8">
        <f t="shared" ref="BY3:BY30" si="21">BU3/(BU3+BW3)</f>
        <v>0.94117647058823528</v>
      </c>
      <c r="BZ3" s="6">
        <f t="shared" ref="BZ3:BZ30" si="22">2*(BY3*BX3)/(BY3+BX3)</f>
        <v>0.94117647058823528</v>
      </c>
      <c r="CC3" s="75" t="s">
        <v>54</v>
      </c>
      <c r="CD3">
        <f>AVERAGE(BX3:BX4)</f>
        <v>0.94117647058823528</v>
      </c>
      <c r="CE3">
        <f t="shared" ref="CE3:CF3" si="23">AVERAGE(BY3:BY4)</f>
        <v>0.94117647058823528</v>
      </c>
      <c r="CF3">
        <f t="shared" si="23"/>
        <v>0.94117647058823528</v>
      </c>
    </row>
    <row r="4" spans="1:84" x14ac:dyDescent="0.35">
      <c r="A4" s="52" t="s">
        <v>10</v>
      </c>
      <c r="B4" s="108"/>
      <c r="C4" s="108"/>
      <c r="D4" s="70" t="s">
        <v>12</v>
      </c>
      <c r="E4" s="7">
        <v>2</v>
      </c>
      <c r="F4" s="10">
        <v>2</v>
      </c>
      <c r="G4" s="10">
        <f t="shared" si="0"/>
        <v>0</v>
      </c>
      <c r="H4" s="70">
        <v>0</v>
      </c>
      <c r="I4" s="7">
        <v>0</v>
      </c>
      <c r="J4" s="10">
        <v>0</v>
      </c>
      <c r="K4" s="10">
        <f t="shared" si="1"/>
        <v>0</v>
      </c>
      <c r="L4" s="70">
        <v>0</v>
      </c>
      <c r="M4" s="7">
        <v>0</v>
      </c>
      <c r="N4" s="10">
        <v>0</v>
      </c>
      <c r="O4" s="10">
        <f t="shared" si="2"/>
        <v>0</v>
      </c>
      <c r="P4" s="70">
        <v>0</v>
      </c>
      <c r="Q4" s="7">
        <v>2</v>
      </c>
      <c r="R4" s="10">
        <v>2</v>
      </c>
      <c r="S4" s="10">
        <f t="shared" si="3"/>
        <v>0</v>
      </c>
      <c r="T4" s="70">
        <v>0</v>
      </c>
      <c r="U4" s="7">
        <v>2</v>
      </c>
      <c r="V4" s="10">
        <v>2</v>
      </c>
      <c r="W4" s="10">
        <f t="shared" si="4"/>
        <v>0</v>
      </c>
      <c r="X4" s="70">
        <v>0</v>
      </c>
      <c r="Y4" s="7">
        <v>3</v>
      </c>
      <c r="Z4" s="10">
        <v>3</v>
      </c>
      <c r="AA4" s="10">
        <f t="shared" si="5"/>
        <v>0</v>
      </c>
      <c r="AB4" s="70">
        <v>0</v>
      </c>
      <c r="AC4" s="7">
        <v>2</v>
      </c>
      <c r="AD4" s="10">
        <v>2</v>
      </c>
      <c r="AE4" s="10">
        <f t="shared" si="6"/>
        <v>0</v>
      </c>
      <c r="AF4" s="70">
        <v>0</v>
      </c>
      <c r="AG4" s="7">
        <v>3</v>
      </c>
      <c r="AH4" s="10">
        <v>3</v>
      </c>
      <c r="AI4" s="10">
        <f t="shared" si="7"/>
        <v>0</v>
      </c>
      <c r="AJ4" s="70">
        <v>0</v>
      </c>
      <c r="AK4" s="7">
        <v>1</v>
      </c>
      <c r="AL4" s="10">
        <v>1</v>
      </c>
      <c r="AM4" s="10">
        <f t="shared" si="8"/>
        <v>0</v>
      </c>
      <c r="AN4" s="70">
        <v>0</v>
      </c>
      <c r="AO4" s="7">
        <v>0</v>
      </c>
      <c r="AP4" s="10">
        <v>0</v>
      </c>
      <c r="AQ4" s="10">
        <f t="shared" si="9"/>
        <v>0</v>
      </c>
      <c r="AR4" s="70">
        <v>0</v>
      </c>
      <c r="AS4" s="7">
        <v>0</v>
      </c>
      <c r="AT4" s="10">
        <v>0</v>
      </c>
      <c r="AU4" s="10">
        <f t="shared" si="10"/>
        <v>0</v>
      </c>
      <c r="AV4" s="70">
        <v>0</v>
      </c>
      <c r="AW4" s="7">
        <v>0</v>
      </c>
      <c r="AX4" s="10">
        <v>0</v>
      </c>
      <c r="AY4" s="10">
        <f t="shared" si="11"/>
        <v>0</v>
      </c>
      <c r="AZ4" s="70">
        <v>0</v>
      </c>
      <c r="BA4" s="7">
        <v>1</v>
      </c>
      <c r="BB4" s="10">
        <v>1</v>
      </c>
      <c r="BC4" s="10">
        <f t="shared" si="12"/>
        <v>0</v>
      </c>
      <c r="BD4" s="70">
        <v>0</v>
      </c>
      <c r="BE4" s="7">
        <v>1</v>
      </c>
      <c r="BF4" s="10">
        <v>0</v>
      </c>
      <c r="BG4" s="10">
        <f t="shared" si="13"/>
        <v>1</v>
      </c>
      <c r="BH4" s="70">
        <v>1</v>
      </c>
      <c r="BI4" s="7">
        <v>0</v>
      </c>
      <c r="BJ4" s="10">
        <v>0</v>
      </c>
      <c r="BK4" s="10">
        <f t="shared" si="14"/>
        <v>0</v>
      </c>
      <c r="BL4" s="70">
        <v>0</v>
      </c>
      <c r="BM4" s="7">
        <v>0</v>
      </c>
      <c r="BN4" s="10">
        <v>0</v>
      </c>
      <c r="BO4" s="10">
        <f t="shared" si="15"/>
        <v>0</v>
      </c>
      <c r="BP4" s="70">
        <v>0</v>
      </c>
      <c r="BQ4" s="7">
        <v>0</v>
      </c>
      <c r="BR4" s="10">
        <v>0</v>
      </c>
      <c r="BS4" s="10">
        <f t="shared" si="16"/>
        <v>0</v>
      </c>
      <c r="BT4" s="70">
        <v>0</v>
      </c>
      <c r="BU4" s="7">
        <f t="shared" si="17"/>
        <v>16</v>
      </c>
      <c r="BV4" s="10">
        <f t="shared" si="18"/>
        <v>1</v>
      </c>
      <c r="BW4" s="10">
        <f t="shared" si="19"/>
        <v>1</v>
      </c>
      <c r="BX4" s="10">
        <f t="shared" si="20"/>
        <v>0.94117647058823528</v>
      </c>
      <c r="BY4" s="10">
        <f t="shared" si="21"/>
        <v>0.94117647058823528</v>
      </c>
      <c r="BZ4" s="70">
        <f t="shared" si="22"/>
        <v>0.94117647058823528</v>
      </c>
      <c r="CC4" s="75" t="s">
        <v>55</v>
      </c>
      <c r="CD4">
        <f>AVERAGE(BX5:BX6)</f>
        <v>1</v>
      </c>
      <c r="CE4">
        <f t="shared" ref="CE4:CF4" si="24">AVERAGE(BY5:BY6)</f>
        <v>1</v>
      </c>
      <c r="CF4">
        <f t="shared" si="24"/>
        <v>1</v>
      </c>
    </row>
    <row r="5" spans="1:84" x14ac:dyDescent="0.35">
      <c r="A5" s="53" t="s">
        <v>10</v>
      </c>
      <c r="B5" s="108"/>
      <c r="C5" s="108"/>
      <c r="D5" s="11" t="s">
        <v>13</v>
      </c>
      <c r="E5" s="12">
        <v>4</v>
      </c>
      <c r="F5" s="13">
        <v>4</v>
      </c>
      <c r="G5" s="13">
        <f t="shared" si="0"/>
        <v>0</v>
      </c>
      <c r="H5" s="11">
        <v>0</v>
      </c>
      <c r="I5" s="12">
        <v>0</v>
      </c>
      <c r="J5" s="13">
        <v>0</v>
      </c>
      <c r="K5" s="13">
        <f t="shared" si="1"/>
        <v>0</v>
      </c>
      <c r="L5" s="11">
        <v>0</v>
      </c>
      <c r="M5" s="12">
        <v>0</v>
      </c>
      <c r="N5" s="13">
        <v>0</v>
      </c>
      <c r="O5" s="13">
        <f t="shared" si="2"/>
        <v>0</v>
      </c>
      <c r="P5" s="11">
        <v>0</v>
      </c>
      <c r="Q5" s="12">
        <v>4</v>
      </c>
      <c r="R5" s="13">
        <v>4</v>
      </c>
      <c r="S5" s="13">
        <f t="shared" si="3"/>
        <v>0</v>
      </c>
      <c r="T5" s="11">
        <v>0</v>
      </c>
      <c r="U5" s="12">
        <v>0</v>
      </c>
      <c r="V5" s="13">
        <v>0</v>
      </c>
      <c r="W5" s="13">
        <f t="shared" si="4"/>
        <v>0</v>
      </c>
      <c r="X5" s="11">
        <v>0</v>
      </c>
      <c r="Y5" s="12">
        <v>1</v>
      </c>
      <c r="Z5" s="13">
        <v>1</v>
      </c>
      <c r="AA5" s="13">
        <f t="shared" si="5"/>
        <v>0</v>
      </c>
      <c r="AB5" s="11">
        <v>0</v>
      </c>
      <c r="AC5" s="12">
        <v>0</v>
      </c>
      <c r="AD5" s="13">
        <v>0</v>
      </c>
      <c r="AE5" s="13">
        <f t="shared" si="6"/>
        <v>0</v>
      </c>
      <c r="AF5" s="11">
        <v>0</v>
      </c>
      <c r="AG5" s="12">
        <v>0</v>
      </c>
      <c r="AH5" s="13">
        <v>0</v>
      </c>
      <c r="AI5" s="13">
        <f t="shared" si="7"/>
        <v>0</v>
      </c>
      <c r="AJ5" s="11">
        <v>0</v>
      </c>
      <c r="AK5" s="12">
        <v>3</v>
      </c>
      <c r="AL5" s="13">
        <v>3</v>
      </c>
      <c r="AM5" s="13">
        <f t="shared" si="8"/>
        <v>0</v>
      </c>
      <c r="AN5" s="11">
        <v>0</v>
      </c>
      <c r="AO5" s="12">
        <v>0</v>
      </c>
      <c r="AP5" s="13">
        <v>0</v>
      </c>
      <c r="AQ5" s="13">
        <f t="shared" si="9"/>
        <v>0</v>
      </c>
      <c r="AR5" s="11">
        <v>0</v>
      </c>
      <c r="AS5" s="12">
        <v>0</v>
      </c>
      <c r="AT5" s="13">
        <v>0</v>
      </c>
      <c r="AU5" s="13">
        <f t="shared" si="10"/>
        <v>0</v>
      </c>
      <c r="AV5" s="11">
        <v>0</v>
      </c>
      <c r="AW5" s="12">
        <v>0</v>
      </c>
      <c r="AX5" s="13">
        <v>0</v>
      </c>
      <c r="AY5" s="13">
        <f t="shared" si="11"/>
        <v>0</v>
      </c>
      <c r="AZ5" s="11">
        <v>0</v>
      </c>
      <c r="BA5" s="12">
        <v>3</v>
      </c>
      <c r="BB5" s="13">
        <v>3</v>
      </c>
      <c r="BC5" s="13">
        <f t="shared" si="12"/>
        <v>0</v>
      </c>
      <c r="BD5" s="11">
        <v>0</v>
      </c>
      <c r="BE5" s="12">
        <v>0</v>
      </c>
      <c r="BF5" s="13">
        <v>0</v>
      </c>
      <c r="BG5" s="13">
        <f t="shared" si="13"/>
        <v>0</v>
      </c>
      <c r="BH5" s="11">
        <v>0</v>
      </c>
      <c r="BI5" s="12">
        <v>0</v>
      </c>
      <c r="BJ5" s="13">
        <v>0</v>
      </c>
      <c r="BK5" s="13">
        <f t="shared" si="14"/>
        <v>0</v>
      </c>
      <c r="BL5" s="11">
        <v>0</v>
      </c>
      <c r="BM5" s="12">
        <v>0</v>
      </c>
      <c r="BN5" s="13">
        <v>0</v>
      </c>
      <c r="BO5" s="13">
        <f t="shared" si="15"/>
        <v>0</v>
      </c>
      <c r="BP5" s="11">
        <v>0</v>
      </c>
      <c r="BQ5" s="12">
        <v>0</v>
      </c>
      <c r="BR5" s="13">
        <v>0</v>
      </c>
      <c r="BS5" s="13">
        <f t="shared" si="16"/>
        <v>0</v>
      </c>
      <c r="BT5" s="11">
        <v>0</v>
      </c>
      <c r="BU5" s="12">
        <f t="shared" si="17"/>
        <v>15</v>
      </c>
      <c r="BV5" s="13">
        <f t="shared" si="18"/>
        <v>0</v>
      </c>
      <c r="BW5" s="13">
        <f t="shared" si="19"/>
        <v>0</v>
      </c>
      <c r="BX5" s="13">
        <f t="shared" si="20"/>
        <v>1</v>
      </c>
      <c r="BY5" s="13">
        <f t="shared" si="21"/>
        <v>1</v>
      </c>
      <c r="BZ5" s="11">
        <f t="shared" si="22"/>
        <v>1</v>
      </c>
      <c r="CC5" s="75" t="s">
        <v>56</v>
      </c>
      <c r="CD5">
        <f>AVERAGE(BX7:BX8)</f>
        <v>1</v>
      </c>
      <c r="CE5">
        <f t="shared" ref="CE5:CF5" si="25">AVERAGE(BY7:BY8)</f>
        <v>0.96296296296296302</v>
      </c>
      <c r="CF5">
        <f t="shared" si="25"/>
        <v>0.98076923076923073</v>
      </c>
    </row>
    <row r="6" spans="1:84" x14ac:dyDescent="0.35">
      <c r="A6" s="53" t="s">
        <v>10</v>
      </c>
      <c r="B6" s="108"/>
      <c r="C6" s="108"/>
      <c r="D6" s="11" t="s">
        <v>14</v>
      </c>
      <c r="E6" s="12">
        <v>4</v>
      </c>
      <c r="F6" s="13">
        <v>4</v>
      </c>
      <c r="G6" s="13">
        <f t="shared" si="0"/>
        <v>0</v>
      </c>
      <c r="H6" s="11">
        <v>0</v>
      </c>
      <c r="I6" s="12">
        <v>0</v>
      </c>
      <c r="J6" s="13">
        <v>0</v>
      </c>
      <c r="K6" s="13">
        <f t="shared" si="1"/>
        <v>0</v>
      </c>
      <c r="L6" s="11">
        <v>0</v>
      </c>
      <c r="M6" s="12">
        <v>0</v>
      </c>
      <c r="N6" s="13">
        <v>0</v>
      </c>
      <c r="O6" s="13">
        <f t="shared" si="2"/>
        <v>0</v>
      </c>
      <c r="P6" s="11">
        <v>0</v>
      </c>
      <c r="Q6" s="12">
        <v>4</v>
      </c>
      <c r="R6" s="13">
        <v>4</v>
      </c>
      <c r="S6" s="13">
        <f t="shared" si="3"/>
        <v>0</v>
      </c>
      <c r="T6" s="11">
        <v>0</v>
      </c>
      <c r="U6" s="12">
        <v>0</v>
      </c>
      <c r="V6" s="13">
        <v>0</v>
      </c>
      <c r="W6" s="13">
        <f t="shared" si="4"/>
        <v>0</v>
      </c>
      <c r="X6" s="11">
        <v>0</v>
      </c>
      <c r="Y6" s="12">
        <v>1</v>
      </c>
      <c r="Z6" s="13">
        <v>1</v>
      </c>
      <c r="AA6" s="13">
        <f t="shared" si="5"/>
        <v>0</v>
      </c>
      <c r="AB6" s="11">
        <v>0</v>
      </c>
      <c r="AC6" s="12">
        <v>0</v>
      </c>
      <c r="AD6" s="13">
        <v>0</v>
      </c>
      <c r="AE6" s="13">
        <f t="shared" si="6"/>
        <v>0</v>
      </c>
      <c r="AF6" s="11">
        <v>0</v>
      </c>
      <c r="AG6" s="12">
        <v>0</v>
      </c>
      <c r="AH6" s="13">
        <v>0</v>
      </c>
      <c r="AI6" s="13">
        <f t="shared" si="7"/>
        <v>0</v>
      </c>
      <c r="AJ6" s="11">
        <v>0</v>
      </c>
      <c r="AK6" s="12">
        <v>3</v>
      </c>
      <c r="AL6" s="13">
        <v>3</v>
      </c>
      <c r="AM6" s="13">
        <f t="shared" si="8"/>
        <v>0</v>
      </c>
      <c r="AN6" s="11">
        <v>0</v>
      </c>
      <c r="AO6" s="12">
        <v>0</v>
      </c>
      <c r="AP6" s="13">
        <v>0</v>
      </c>
      <c r="AQ6" s="13">
        <f t="shared" si="9"/>
        <v>0</v>
      </c>
      <c r="AR6" s="11">
        <v>0</v>
      </c>
      <c r="AS6" s="12">
        <v>0</v>
      </c>
      <c r="AT6" s="13">
        <v>0</v>
      </c>
      <c r="AU6" s="13">
        <f t="shared" si="10"/>
        <v>0</v>
      </c>
      <c r="AV6" s="11">
        <v>0</v>
      </c>
      <c r="AW6" s="12">
        <v>0</v>
      </c>
      <c r="AX6" s="13">
        <v>0</v>
      </c>
      <c r="AY6" s="13">
        <f t="shared" si="11"/>
        <v>0</v>
      </c>
      <c r="AZ6" s="11">
        <v>0</v>
      </c>
      <c r="BA6" s="12">
        <v>3</v>
      </c>
      <c r="BB6" s="13">
        <v>3</v>
      </c>
      <c r="BC6" s="13">
        <f t="shared" si="12"/>
        <v>0</v>
      </c>
      <c r="BD6" s="11">
        <v>0</v>
      </c>
      <c r="BE6" s="12">
        <v>0</v>
      </c>
      <c r="BF6" s="13">
        <v>0</v>
      </c>
      <c r="BG6" s="13">
        <f t="shared" si="13"/>
        <v>0</v>
      </c>
      <c r="BH6" s="11">
        <v>0</v>
      </c>
      <c r="BI6" s="12">
        <v>0</v>
      </c>
      <c r="BJ6" s="13">
        <v>0</v>
      </c>
      <c r="BK6" s="13">
        <f t="shared" si="14"/>
        <v>0</v>
      </c>
      <c r="BL6" s="11">
        <v>0</v>
      </c>
      <c r="BM6" s="12">
        <v>0</v>
      </c>
      <c r="BN6" s="13">
        <v>0</v>
      </c>
      <c r="BO6" s="13">
        <f t="shared" si="15"/>
        <v>0</v>
      </c>
      <c r="BP6" s="11">
        <v>0</v>
      </c>
      <c r="BQ6" s="12">
        <v>0</v>
      </c>
      <c r="BR6" s="13">
        <v>0</v>
      </c>
      <c r="BS6" s="13">
        <f t="shared" si="16"/>
        <v>0</v>
      </c>
      <c r="BT6" s="11">
        <v>0</v>
      </c>
      <c r="BU6" s="12">
        <f t="shared" si="17"/>
        <v>15</v>
      </c>
      <c r="BV6" s="13">
        <f t="shared" si="18"/>
        <v>0</v>
      </c>
      <c r="BW6" s="13">
        <f t="shared" si="19"/>
        <v>0</v>
      </c>
      <c r="BX6" s="13">
        <f t="shared" si="20"/>
        <v>1</v>
      </c>
      <c r="BY6" s="13">
        <f t="shared" si="21"/>
        <v>1</v>
      </c>
      <c r="BZ6" s="11">
        <f t="shared" si="22"/>
        <v>1</v>
      </c>
      <c r="CC6" s="75" t="s">
        <v>57</v>
      </c>
      <c r="CD6">
        <f>AVERAGE(BX9:BX10)</f>
        <v>0.84615384615384615</v>
      </c>
      <c r="CE6">
        <f t="shared" ref="CE6:CF6" si="26">AVERAGE(BY9:BY10)</f>
        <v>0.88141025641025639</v>
      </c>
      <c r="CF6">
        <f t="shared" si="26"/>
        <v>0.86307692307692307</v>
      </c>
    </row>
    <row r="7" spans="1:84" x14ac:dyDescent="0.35">
      <c r="A7" s="54" t="s">
        <v>10</v>
      </c>
      <c r="B7" s="108"/>
      <c r="C7" s="108"/>
      <c r="D7" s="14" t="s">
        <v>15</v>
      </c>
      <c r="E7" s="15">
        <v>6</v>
      </c>
      <c r="F7" s="16">
        <v>6</v>
      </c>
      <c r="G7" s="16">
        <f t="shared" si="0"/>
        <v>0</v>
      </c>
      <c r="H7" s="14">
        <v>0</v>
      </c>
      <c r="I7" s="15">
        <v>0</v>
      </c>
      <c r="J7" s="16">
        <v>0</v>
      </c>
      <c r="K7" s="16">
        <f t="shared" si="1"/>
        <v>0</v>
      </c>
      <c r="L7" s="14">
        <v>0</v>
      </c>
      <c r="M7" s="15">
        <v>0</v>
      </c>
      <c r="N7" s="16">
        <v>0</v>
      </c>
      <c r="O7" s="16">
        <f t="shared" si="2"/>
        <v>0</v>
      </c>
      <c r="P7" s="14">
        <v>0</v>
      </c>
      <c r="Q7" s="15">
        <v>9</v>
      </c>
      <c r="R7" s="16">
        <v>9</v>
      </c>
      <c r="S7" s="16">
        <f t="shared" si="3"/>
        <v>0</v>
      </c>
      <c r="T7" s="14">
        <v>0</v>
      </c>
      <c r="U7" s="15">
        <v>0</v>
      </c>
      <c r="V7" s="16">
        <v>0</v>
      </c>
      <c r="W7" s="16">
        <f t="shared" si="4"/>
        <v>0</v>
      </c>
      <c r="X7" s="14">
        <v>0</v>
      </c>
      <c r="Y7" s="15">
        <v>0</v>
      </c>
      <c r="Z7" s="16">
        <v>0</v>
      </c>
      <c r="AA7" s="16">
        <f t="shared" si="5"/>
        <v>0</v>
      </c>
      <c r="AB7" s="14">
        <v>0</v>
      </c>
      <c r="AC7" s="15">
        <v>0</v>
      </c>
      <c r="AD7" s="16">
        <v>0</v>
      </c>
      <c r="AE7" s="16">
        <f t="shared" si="6"/>
        <v>0</v>
      </c>
      <c r="AF7" s="14">
        <v>0</v>
      </c>
      <c r="AG7" s="15">
        <v>0</v>
      </c>
      <c r="AH7" s="16">
        <v>0</v>
      </c>
      <c r="AI7" s="16">
        <f t="shared" si="7"/>
        <v>0</v>
      </c>
      <c r="AJ7" s="14">
        <v>0</v>
      </c>
      <c r="AK7" s="15">
        <v>5</v>
      </c>
      <c r="AL7" s="16">
        <v>5</v>
      </c>
      <c r="AM7" s="16">
        <f t="shared" si="8"/>
        <v>0</v>
      </c>
      <c r="AN7" s="14">
        <v>0</v>
      </c>
      <c r="AO7" s="15">
        <v>0</v>
      </c>
      <c r="AP7" s="16">
        <v>0</v>
      </c>
      <c r="AQ7" s="16">
        <f t="shared" si="9"/>
        <v>0</v>
      </c>
      <c r="AR7" s="14">
        <v>0</v>
      </c>
      <c r="AS7" s="15">
        <v>0</v>
      </c>
      <c r="AT7" s="16">
        <v>0</v>
      </c>
      <c r="AU7" s="16">
        <f t="shared" si="10"/>
        <v>0</v>
      </c>
      <c r="AV7" s="14">
        <v>0</v>
      </c>
      <c r="AW7" s="15">
        <v>0</v>
      </c>
      <c r="AX7" s="16">
        <v>0</v>
      </c>
      <c r="AY7" s="16">
        <f t="shared" si="11"/>
        <v>0</v>
      </c>
      <c r="AZ7" s="14">
        <v>0</v>
      </c>
      <c r="BA7" s="15">
        <v>5</v>
      </c>
      <c r="BB7" s="16">
        <v>5</v>
      </c>
      <c r="BC7" s="16">
        <f t="shared" si="12"/>
        <v>0</v>
      </c>
      <c r="BD7" s="14">
        <v>0</v>
      </c>
      <c r="BE7" s="15">
        <v>0</v>
      </c>
      <c r="BF7" s="16">
        <v>0</v>
      </c>
      <c r="BG7" s="16">
        <f t="shared" si="13"/>
        <v>0</v>
      </c>
      <c r="BH7" s="14">
        <v>0</v>
      </c>
      <c r="BI7" s="15">
        <v>0</v>
      </c>
      <c r="BJ7" s="16">
        <v>0</v>
      </c>
      <c r="BK7" s="16">
        <f t="shared" si="14"/>
        <v>0</v>
      </c>
      <c r="BL7" s="14">
        <v>0</v>
      </c>
      <c r="BM7" s="15">
        <v>0</v>
      </c>
      <c r="BN7" s="16">
        <v>0</v>
      </c>
      <c r="BO7" s="16">
        <f t="shared" si="15"/>
        <v>0</v>
      </c>
      <c r="BP7" s="14">
        <v>0</v>
      </c>
      <c r="BQ7" s="15">
        <v>0</v>
      </c>
      <c r="BR7" s="16">
        <v>0</v>
      </c>
      <c r="BS7" s="16">
        <f t="shared" si="16"/>
        <v>0</v>
      </c>
      <c r="BT7" s="14">
        <v>0</v>
      </c>
      <c r="BU7" s="15">
        <f t="shared" si="17"/>
        <v>25</v>
      </c>
      <c r="BV7" s="16">
        <f t="shared" si="18"/>
        <v>0</v>
      </c>
      <c r="BW7" s="16">
        <f t="shared" si="19"/>
        <v>0</v>
      </c>
      <c r="BX7" s="16">
        <f t="shared" si="20"/>
        <v>1</v>
      </c>
      <c r="BY7" s="16">
        <f t="shared" si="21"/>
        <v>1</v>
      </c>
      <c r="BZ7" s="14">
        <f t="shared" si="22"/>
        <v>1</v>
      </c>
      <c r="CC7" s="75" t="s">
        <v>58</v>
      </c>
      <c r="CD7">
        <f>AVERAGE(BX11:BX12)</f>
        <v>0.90740740740740744</v>
      </c>
      <c r="CE7">
        <f t="shared" ref="CE7:CF7" si="27">AVERAGE(BY11:BY12)</f>
        <v>0.89021164021164023</v>
      </c>
      <c r="CF7">
        <f t="shared" si="27"/>
        <v>0.8986531986531987</v>
      </c>
    </row>
    <row r="8" spans="1:84" x14ac:dyDescent="0.35">
      <c r="A8" s="54" t="s">
        <v>10</v>
      </c>
      <c r="B8" s="108"/>
      <c r="C8" s="108"/>
      <c r="D8" s="14" t="s">
        <v>16</v>
      </c>
      <c r="E8" s="15">
        <v>6</v>
      </c>
      <c r="F8" s="16">
        <v>6</v>
      </c>
      <c r="G8" s="16">
        <f t="shared" si="0"/>
        <v>0</v>
      </c>
      <c r="H8" s="14">
        <v>0</v>
      </c>
      <c r="I8" s="15">
        <v>0</v>
      </c>
      <c r="J8" s="16">
        <v>0</v>
      </c>
      <c r="K8" s="16">
        <f t="shared" si="1"/>
        <v>0</v>
      </c>
      <c r="L8" s="14">
        <v>0</v>
      </c>
      <c r="M8" s="15">
        <v>0</v>
      </c>
      <c r="N8" s="16">
        <v>0</v>
      </c>
      <c r="O8" s="16">
        <f t="shared" si="2"/>
        <v>0</v>
      </c>
      <c r="P8" s="14">
        <v>0</v>
      </c>
      <c r="Q8" s="15">
        <v>9</v>
      </c>
      <c r="R8" s="16">
        <v>9</v>
      </c>
      <c r="S8" s="16">
        <f t="shared" si="3"/>
        <v>0</v>
      </c>
      <c r="T8" s="14">
        <v>0</v>
      </c>
      <c r="U8" s="15">
        <v>0</v>
      </c>
      <c r="V8" s="16">
        <v>0</v>
      </c>
      <c r="W8" s="16">
        <f t="shared" si="4"/>
        <v>0</v>
      </c>
      <c r="X8" s="14">
        <v>0</v>
      </c>
      <c r="Y8" s="15">
        <v>0</v>
      </c>
      <c r="Z8" s="16">
        <v>0</v>
      </c>
      <c r="AA8" s="16">
        <f t="shared" si="5"/>
        <v>0</v>
      </c>
      <c r="AB8" s="14">
        <v>0</v>
      </c>
      <c r="AC8" s="15">
        <v>0</v>
      </c>
      <c r="AD8" s="16">
        <v>0</v>
      </c>
      <c r="AE8" s="16">
        <f t="shared" si="6"/>
        <v>0</v>
      </c>
      <c r="AF8" s="14">
        <v>0</v>
      </c>
      <c r="AG8" s="15">
        <v>0</v>
      </c>
      <c r="AH8" s="16">
        <v>0</v>
      </c>
      <c r="AI8" s="16">
        <f t="shared" si="7"/>
        <v>0</v>
      </c>
      <c r="AJ8" s="14">
        <v>0</v>
      </c>
      <c r="AK8" s="15">
        <v>5</v>
      </c>
      <c r="AL8" s="16">
        <v>5</v>
      </c>
      <c r="AM8" s="16">
        <f t="shared" si="8"/>
        <v>0</v>
      </c>
      <c r="AN8" s="14">
        <v>1</v>
      </c>
      <c r="AO8" s="15">
        <v>0</v>
      </c>
      <c r="AP8" s="16">
        <v>0</v>
      </c>
      <c r="AQ8" s="16">
        <f t="shared" si="9"/>
        <v>0</v>
      </c>
      <c r="AR8" s="14">
        <v>0</v>
      </c>
      <c r="AS8" s="15">
        <v>0</v>
      </c>
      <c r="AT8" s="16">
        <v>0</v>
      </c>
      <c r="AU8" s="16">
        <f t="shared" si="10"/>
        <v>0</v>
      </c>
      <c r="AV8" s="14">
        <v>0</v>
      </c>
      <c r="AW8" s="15">
        <v>0</v>
      </c>
      <c r="AX8" s="16">
        <v>0</v>
      </c>
      <c r="AY8" s="16">
        <f t="shared" si="11"/>
        <v>0</v>
      </c>
      <c r="AZ8" s="14">
        <v>0</v>
      </c>
      <c r="BA8" s="15">
        <v>5</v>
      </c>
      <c r="BB8" s="16">
        <v>5</v>
      </c>
      <c r="BC8" s="16">
        <f t="shared" si="12"/>
        <v>0</v>
      </c>
      <c r="BD8" s="14">
        <v>1</v>
      </c>
      <c r="BE8" s="15">
        <v>0</v>
      </c>
      <c r="BF8" s="16">
        <v>0</v>
      </c>
      <c r="BG8" s="16">
        <f t="shared" si="13"/>
        <v>0</v>
      </c>
      <c r="BH8" s="14">
        <v>0</v>
      </c>
      <c r="BI8" s="15">
        <v>0</v>
      </c>
      <c r="BJ8" s="16">
        <v>0</v>
      </c>
      <c r="BK8" s="16">
        <f t="shared" si="14"/>
        <v>0</v>
      </c>
      <c r="BL8" s="14">
        <v>0</v>
      </c>
      <c r="BM8" s="15">
        <v>0</v>
      </c>
      <c r="BN8" s="16">
        <v>0</v>
      </c>
      <c r="BO8" s="16">
        <f t="shared" si="15"/>
        <v>0</v>
      </c>
      <c r="BP8" s="14">
        <v>0</v>
      </c>
      <c r="BQ8" s="15">
        <v>0</v>
      </c>
      <c r="BR8" s="16">
        <v>0</v>
      </c>
      <c r="BS8" s="16">
        <f t="shared" si="16"/>
        <v>0</v>
      </c>
      <c r="BT8" s="14">
        <v>0</v>
      </c>
      <c r="BU8" s="15">
        <f t="shared" si="17"/>
        <v>25</v>
      </c>
      <c r="BV8" s="16">
        <f t="shared" si="18"/>
        <v>0</v>
      </c>
      <c r="BW8" s="16">
        <f t="shared" si="19"/>
        <v>2</v>
      </c>
      <c r="BX8" s="16">
        <f t="shared" si="20"/>
        <v>1</v>
      </c>
      <c r="BY8" s="16">
        <f t="shared" si="21"/>
        <v>0.92592592592592593</v>
      </c>
      <c r="BZ8" s="14">
        <f t="shared" si="22"/>
        <v>0.96153846153846145</v>
      </c>
      <c r="CC8" s="75" t="s">
        <v>59</v>
      </c>
      <c r="CD8">
        <f>AVERAGE(BX13:BX14)</f>
        <v>0.7857142857142857</v>
      </c>
      <c r="CE8">
        <f t="shared" ref="CE8:CF8" si="28">AVERAGE(BY13:BY14)</f>
        <v>0.7857142857142857</v>
      </c>
      <c r="CF8">
        <f t="shared" si="28"/>
        <v>0.7857142857142857</v>
      </c>
    </row>
    <row r="9" spans="1:84" x14ac:dyDescent="0.35">
      <c r="A9" s="55" t="s">
        <v>10</v>
      </c>
      <c r="B9" s="108"/>
      <c r="C9" s="108"/>
      <c r="D9" s="17" t="s">
        <v>17</v>
      </c>
      <c r="E9" s="18">
        <v>3</v>
      </c>
      <c r="F9" s="19">
        <v>3</v>
      </c>
      <c r="G9" s="19">
        <f t="shared" si="0"/>
        <v>0</v>
      </c>
      <c r="H9" s="17">
        <v>0</v>
      </c>
      <c r="I9" s="18">
        <v>0</v>
      </c>
      <c r="J9" s="19">
        <v>0</v>
      </c>
      <c r="K9" s="19">
        <f t="shared" si="1"/>
        <v>0</v>
      </c>
      <c r="L9" s="17">
        <v>0</v>
      </c>
      <c r="M9" s="18">
        <v>0</v>
      </c>
      <c r="N9" s="19">
        <v>0</v>
      </c>
      <c r="O9" s="19">
        <f t="shared" si="2"/>
        <v>0</v>
      </c>
      <c r="P9" s="17">
        <v>0</v>
      </c>
      <c r="Q9" s="18">
        <v>5</v>
      </c>
      <c r="R9" s="19">
        <v>5</v>
      </c>
      <c r="S9" s="19">
        <f t="shared" si="3"/>
        <v>0</v>
      </c>
      <c r="T9" s="17">
        <v>1</v>
      </c>
      <c r="U9" s="18">
        <v>0</v>
      </c>
      <c r="V9" s="19">
        <v>0</v>
      </c>
      <c r="W9" s="19">
        <f t="shared" si="4"/>
        <v>0</v>
      </c>
      <c r="X9" s="17">
        <v>0</v>
      </c>
      <c r="Y9" s="18">
        <v>0</v>
      </c>
      <c r="Z9" s="19">
        <v>0</v>
      </c>
      <c r="AA9" s="19">
        <f t="shared" si="5"/>
        <v>0</v>
      </c>
      <c r="AB9" s="17">
        <v>0</v>
      </c>
      <c r="AC9" s="18">
        <v>0</v>
      </c>
      <c r="AD9" s="19">
        <v>0</v>
      </c>
      <c r="AE9" s="19">
        <f t="shared" si="6"/>
        <v>0</v>
      </c>
      <c r="AF9" s="17">
        <v>0</v>
      </c>
      <c r="AG9" s="18">
        <v>0</v>
      </c>
      <c r="AH9" s="19">
        <v>0</v>
      </c>
      <c r="AI9" s="19">
        <f t="shared" si="7"/>
        <v>0</v>
      </c>
      <c r="AJ9" s="17">
        <v>0</v>
      </c>
      <c r="AK9" s="18">
        <v>1</v>
      </c>
      <c r="AL9" s="19">
        <v>1</v>
      </c>
      <c r="AM9" s="19">
        <f t="shared" si="8"/>
        <v>0</v>
      </c>
      <c r="AN9" s="17">
        <v>0</v>
      </c>
      <c r="AO9" s="18">
        <v>0</v>
      </c>
      <c r="AP9" s="19">
        <v>0</v>
      </c>
      <c r="AQ9" s="19">
        <f t="shared" si="9"/>
        <v>0</v>
      </c>
      <c r="AR9" s="17">
        <v>0</v>
      </c>
      <c r="AS9" s="18">
        <v>1</v>
      </c>
      <c r="AT9" s="19">
        <v>0</v>
      </c>
      <c r="AU9" s="19">
        <f t="shared" si="10"/>
        <v>1</v>
      </c>
      <c r="AV9" s="17">
        <v>0</v>
      </c>
      <c r="AW9" s="18">
        <v>0</v>
      </c>
      <c r="AX9" s="19">
        <v>0</v>
      </c>
      <c r="AY9" s="19">
        <f t="shared" si="11"/>
        <v>0</v>
      </c>
      <c r="AZ9" s="17">
        <v>1</v>
      </c>
      <c r="BA9" s="18">
        <v>2</v>
      </c>
      <c r="BB9" s="19">
        <v>2</v>
      </c>
      <c r="BC9" s="19">
        <f t="shared" si="12"/>
        <v>0</v>
      </c>
      <c r="BD9" s="17">
        <v>0</v>
      </c>
      <c r="BE9" s="18">
        <v>0</v>
      </c>
      <c r="BF9" s="19">
        <v>0</v>
      </c>
      <c r="BG9" s="19">
        <f t="shared" si="13"/>
        <v>0</v>
      </c>
      <c r="BH9" s="17">
        <v>0</v>
      </c>
      <c r="BI9" s="18">
        <v>0</v>
      </c>
      <c r="BJ9" s="19">
        <v>0</v>
      </c>
      <c r="BK9" s="19">
        <f t="shared" si="14"/>
        <v>0</v>
      </c>
      <c r="BL9" s="17">
        <v>0</v>
      </c>
      <c r="BM9" s="18">
        <v>1</v>
      </c>
      <c r="BN9" s="19">
        <v>0</v>
      </c>
      <c r="BO9" s="19">
        <f t="shared" si="15"/>
        <v>1</v>
      </c>
      <c r="BP9" s="17">
        <v>0</v>
      </c>
      <c r="BQ9" s="18">
        <v>0</v>
      </c>
      <c r="BR9" s="19">
        <v>0</v>
      </c>
      <c r="BS9" s="19">
        <f t="shared" si="16"/>
        <v>0</v>
      </c>
      <c r="BT9" s="17">
        <v>0</v>
      </c>
      <c r="BU9" s="18">
        <f t="shared" si="17"/>
        <v>11</v>
      </c>
      <c r="BV9" s="19">
        <f t="shared" si="18"/>
        <v>2</v>
      </c>
      <c r="BW9" s="19">
        <f t="shared" si="19"/>
        <v>2</v>
      </c>
      <c r="BX9" s="19">
        <f t="shared" si="20"/>
        <v>0.84615384615384615</v>
      </c>
      <c r="BY9" s="19">
        <f t="shared" si="21"/>
        <v>0.84615384615384615</v>
      </c>
      <c r="BZ9" s="17">
        <f t="shared" si="22"/>
        <v>0.84615384615384615</v>
      </c>
      <c r="CC9" s="75" t="s">
        <v>60</v>
      </c>
      <c r="CD9">
        <f>AVERAGE(BX15:BX16)</f>
        <v>0.875</v>
      </c>
      <c r="CE9">
        <f t="shared" ref="CE9:CF9" si="29">AVERAGE(BY15:BY16)</f>
        <v>0.5</v>
      </c>
      <c r="CF9">
        <f t="shared" si="29"/>
        <v>0.63636363636363635</v>
      </c>
    </row>
    <row r="10" spans="1:84" x14ac:dyDescent="0.35">
      <c r="A10" s="55" t="s">
        <v>10</v>
      </c>
      <c r="B10" s="108"/>
      <c r="C10" s="108"/>
      <c r="D10" s="17" t="s">
        <v>18</v>
      </c>
      <c r="E10" s="18">
        <v>3</v>
      </c>
      <c r="F10" s="19">
        <v>3</v>
      </c>
      <c r="G10" s="19">
        <f t="shared" si="0"/>
        <v>0</v>
      </c>
      <c r="H10" s="17">
        <v>0</v>
      </c>
      <c r="I10" s="18">
        <v>0</v>
      </c>
      <c r="J10" s="19">
        <v>0</v>
      </c>
      <c r="K10" s="19">
        <f t="shared" si="1"/>
        <v>0</v>
      </c>
      <c r="L10" s="17">
        <v>0</v>
      </c>
      <c r="M10" s="18">
        <v>0</v>
      </c>
      <c r="N10" s="19">
        <v>0</v>
      </c>
      <c r="O10" s="19">
        <f t="shared" si="2"/>
        <v>0</v>
      </c>
      <c r="P10" s="17">
        <v>0</v>
      </c>
      <c r="Q10" s="18">
        <v>5</v>
      </c>
      <c r="R10" s="19">
        <v>5</v>
      </c>
      <c r="S10" s="19">
        <f t="shared" si="3"/>
        <v>0</v>
      </c>
      <c r="T10" s="17">
        <v>0</v>
      </c>
      <c r="U10" s="18">
        <v>0</v>
      </c>
      <c r="V10" s="19">
        <v>0</v>
      </c>
      <c r="W10" s="19">
        <f t="shared" si="4"/>
        <v>0</v>
      </c>
      <c r="X10" s="17">
        <v>0</v>
      </c>
      <c r="Y10" s="18">
        <v>0</v>
      </c>
      <c r="Z10" s="19">
        <v>0</v>
      </c>
      <c r="AA10" s="19">
        <f t="shared" si="5"/>
        <v>0</v>
      </c>
      <c r="AB10" s="17">
        <v>0</v>
      </c>
      <c r="AC10" s="18">
        <v>0</v>
      </c>
      <c r="AD10" s="19">
        <v>0</v>
      </c>
      <c r="AE10" s="19">
        <f t="shared" si="6"/>
        <v>0</v>
      </c>
      <c r="AF10" s="17">
        <v>0</v>
      </c>
      <c r="AG10" s="18">
        <v>0</v>
      </c>
      <c r="AH10" s="19">
        <v>0</v>
      </c>
      <c r="AI10" s="19">
        <f t="shared" si="7"/>
        <v>0</v>
      </c>
      <c r="AJ10" s="17">
        <v>0</v>
      </c>
      <c r="AK10" s="18">
        <v>1</v>
      </c>
      <c r="AL10" s="19">
        <v>1</v>
      </c>
      <c r="AM10" s="19">
        <f t="shared" si="8"/>
        <v>0</v>
      </c>
      <c r="AN10" s="17">
        <v>0</v>
      </c>
      <c r="AO10" s="18">
        <v>0</v>
      </c>
      <c r="AP10" s="19">
        <v>0</v>
      </c>
      <c r="AQ10" s="19">
        <f t="shared" si="9"/>
        <v>0</v>
      </c>
      <c r="AR10" s="17">
        <v>0</v>
      </c>
      <c r="AS10" s="18">
        <v>1</v>
      </c>
      <c r="AT10" s="19">
        <v>0</v>
      </c>
      <c r="AU10" s="19">
        <f t="shared" si="10"/>
        <v>1</v>
      </c>
      <c r="AV10" s="17">
        <v>0</v>
      </c>
      <c r="AW10" s="18">
        <v>0</v>
      </c>
      <c r="AX10" s="19">
        <v>0</v>
      </c>
      <c r="AY10" s="19">
        <f t="shared" si="11"/>
        <v>0</v>
      </c>
      <c r="AZ10" s="17">
        <v>1</v>
      </c>
      <c r="BA10" s="18">
        <v>2</v>
      </c>
      <c r="BB10" s="19">
        <v>2</v>
      </c>
      <c r="BC10" s="19">
        <f t="shared" si="12"/>
        <v>0</v>
      </c>
      <c r="BD10" s="17">
        <v>0</v>
      </c>
      <c r="BE10" s="18">
        <v>0</v>
      </c>
      <c r="BF10" s="19">
        <v>0</v>
      </c>
      <c r="BG10" s="19">
        <f t="shared" si="13"/>
        <v>0</v>
      </c>
      <c r="BH10" s="17">
        <v>0</v>
      </c>
      <c r="BI10" s="18">
        <v>0</v>
      </c>
      <c r="BJ10" s="19">
        <v>0</v>
      </c>
      <c r="BK10" s="19">
        <f t="shared" si="14"/>
        <v>0</v>
      </c>
      <c r="BL10" s="17">
        <v>0</v>
      </c>
      <c r="BM10" s="18">
        <v>1</v>
      </c>
      <c r="BN10" s="19">
        <v>0</v>
      </c>
      <c r="BO10" s="19">
        <f t="shared" si="15"/>
        <v>1</v>
      </c>
      <c r="BP10" s="17">
        <v>0</v>
      </c>
      <c r="BQ10" s="18">
        <v>0</v>
      </c>
      <c r="BR10" s="19">
        <v>0</v>
      </c>
      <c r="BS10" s="19">
        <f t="shared" si="16"/>
        <v>0</v>
      </c>
      <c r="BT10" s="17">
        <v>0</v>
      </c>
      <c r="BU10" s="18">
        <f t="shared" si="17"/>
        <v>11</v>
      </c>
      <c r="BV10" s="19">
        <f t="shared" si="18"/>
        <v>2</v>
      </c>
      <c r="BW10" s="19">
        <f t="shared" si="19"/>
        <v>1</v>
      </c>
      <c r="BX10" s="19">
        <f t="shared" si="20"/>
        <v>0.84615384615384615</v>
      </c>
      <c r="BY10" s="19">
        <f t="shared" si="21"/>
        <v>0.91666666666666663</v>
      </c>
      <c r="BZ10" s="17">
        <f t="shared" si="22"/>
        <v>0.87999999999999989</v>
      </c>
      <c r="CC10" s="75" t="s">
        <v>61</v>
      </c>
      <c r="CD10">
        <f>AVERAGE(BX17:BX18)</f>
        <v>0.9</v>
      </c>
      <c r="CE10">
        <f t="shared" ref="CE10:CF10" si="30">AVERAGE(BY17:BY18)</f>
        <v>1</v>
      </c>
      <c r="CF10">
        <f t="shared" si="30"/>
        <v>0.94736842105263164</v>
      </c>
    </row>
    <row r="11" spans="1:84" x14ac:dyDescent="0.35">
      <c r="A11" s="56" t="s">
        <v>10</v>
      </c>
      <c r="B11" s="108"/>
      <c r="C11" s="108"/>
      <c r="D11" s="20" t="s">
        <v>19</v>
      </c>
      <c r="E11" s="21">
        <v>2</v>
      </c>
      <c r="F11" s="22">
        <v>2</v>
      </c>
      <c r="G11" s="22">
        <f t="shared" si="0"/>
        <v>0</v>
      </c>
      <c r="H11" s="20">
        <v>0</v>
      </c>
      <c r="I11" s="21">
        <v>2</v>
      </c>
      <c r="J11" s="22">
        <v>2</v>
      </c>
      <c r="K11" s="22">
        <f t="shared" si="1"/>
        <v>0</v>
      </c>
      <c r="L11" s="20">
        <v>0</v>
      </c>
      <c r="M11" s="21">
        <v>8</v>
      </c>
      <c r="N11" s="22">
        <v>8</v>
      </c>
      <c r="O11" s="22">
        <f t="shared" si="2"/>
        <v>0</v>
      </c>
      <c r="P11" s="20">
        <v>0</v>
      </c>
      <c r="Q11" s="21">
        <v>7</v>
      </c>
      <c r="R11" s="22">
        <v>7</v>
      </c>
      <c r="S11" s="22">
        <f t="shared" si="3"/>
        <v>0</v>
      </c>
      <c r="T11" s="20">
        <v>0</v>
      </c>
      <c r="U11" s="21">
        <v>0</v>
      </c>
      <c r="V11" s="22">
        <v>0</v>
      </c>
      <c r="W11" s="22">
        <f t="shared" si="4"/>
        <v>0</v>
      </c>
      <c r="X11" s="20">
        <v>0</v>
      </c>
      <c r="Y11" s="21">
        <v>1</v>
      </c>
      <c r="Z11" s="22">
        <v>1</v>
      </c>
      <c r="AA11" s="22">
        <f t="shared" si="5"/>
        <v>0</v>
      </c>
      <c r="AB11" s="20">
        <v>0</v>
      </c>
      <c r="AC11" s="21">
        <v>1</v>
      </c>
      <c r="AD11" s="22">
        <v>1</v>
      </c>
      <c r="AE11" s="22">
        <f t="shared" si="6"/>
        <v>0</v>
      </c>
      <c r="AF11" s="20">
        <v>0</v>
      </c>
      <c r="AG11" s="21">
        <v>3</v>
      </c>
      <c r="AH11" s="22">
        <v>3</v>
      </c>
      <c r="AI11" s="22">
        <f t="shared" si="7"/>
        <v>0</v>
      </c>
      <c r="AJ11" s="20">
        <v>0</v>
      </c>
      <c r="AK11" s="21">
        <v>0</v>
      </c>
      <c r="AL11" s="22">
        <v>0</v>
      </c>
      <c r="AM11" s="22">
        <f t="shared" si="8"/>
        <v>0</v>
      </c>
      <c r="AN11" s="20">
        <v>0</v>
      </c>
      <c r="AO11" s="21">
        <v>0</v>
      </c>
      <c r="AP11" s="22">
        <v>0</v>
      </c>
      <c r="AQ11" s="22">
        <f t="shared" si="9"/>
        <v>0</v>
      </c>
      <c r="AR11" s="20">
        <v>0</v>
      </c>
      <c r="AS11" s="21">
        <v>0</v>
      </c>
      <c r="AT11" s="22">
        <v>0</v>
      </c>
      <c r="AU11" s="22">
        <f t="shared" si="10"/>
        <v>0</v>
      </c>
      <c r="AV11" s="20">
        <v>1</v>
      </c>
      <c r="AW11" s="21">
        <v>1</v>
      </c>
      <c r="AX11" s="22">
        <v>1</v>
      </c>
      <c r="AY11" s="22">
        <f t="shared" si="11"/>
        <v>0</v>
      </c>
      <c r="AZ11" s="20">
        <v>0</v>
      </c>
      <c r="BA11" s="21">
        <v>1</v>
      </c>
      <c r="BB11" s="22">
        <v>1</v>
      </c>
      <c r="BC11" s="22">
        <f t="shared" si="12"/>
        <v>0</v>
      </c>
      <c r="BD11" s="20">
        <v>1</v>
      </c>
      <c r="BE11" s="21">
        <v>0</v>
      </c>
      <c r="BF11" s="22">
        <v>0</v>
      </c>
      <c r="BG11" s="22">
        <f t="shared" si="13"/>
        <v>0</v>
      </c>
      <c r="BH11" s="20">
        <v>0</v>
      </c>
      <c r="BI11" s="21">
        <v>0</v>
      </c>
      <c r="BJ11" s="22">
        <v>0</v>
      </c>
      <c r="BK11" s="22">
        <f t="shared" si="14"/>
        <v>0</v>
      </c>
      <c r="BL11" s="20">
        <v>0</v>
      </c>
      <c r="BM11" s="21">
        <v>1</v>
      </c>
      <c r="BN11" s="22">
        <v>0</v>
      </c>
      <c r="BO11" s="22">
        <f t="shared" si="15"/>
        <v>1</v>
      </c>
      <c r="BP11" s="20">
        <v>0</v>
      </c>
      <c r="BQ11" s="21">
        <v>0</v>
      </c>
      <c r="BR11" s="22">
        <v>0</v>
      </c>
      <c r="BS11" s="22">
        <f t="shared" si="16"/>
        <v>0</v>
      </c>
      <c r="BT11" s="20">
        <v>0</v>
      </c>
      <c r="BU11" s="21">
        <f t="shared" si="17"/>
        <v>26</v>
      </c>
      <c r="BV11" s="22">
        <f t="shared" si="18"/>
        <v>1</v>
      </c>
      <c r="BW11" s="22">
        <f t="shared" si="19"/>
        <v>2</v>
      </c>
      <c r="BX11" s="22">
        <f t="shared" si="20"/>
        <v>0.96296296296296291</v>
      </c>
      <c r="BY11" s="22">
        <f t="shared" si="21"/>
        <v>0.9285714285714286</v>
      </c>
      <c r="BZ11" s="20">
        <f t="shared" si="22"/>
        <v>0.94545454545454544</v>
      </c>
      <c r="CC11" s="75" t="s">
        <v>62</v>
      </c>
      <c r="CD11">
        <f>AVERAGE(BX19:BX20)</f>
        <v>0.79411764705882348</v>
      </c>
      <c r="CE11">
        <f t="shared" ref="CE11:CF11" si="31">AVERAGE(BY19:BY20)</f>
        <v>0.93095238095238098</v>
      </c>
      <c r="CF11">
        <f t="shared" si="31"/>
        <v>0.85685483870967738</v>
      </c>
    </row>
    <row r="12" spans="1:84" x14ac:dyDescent="0.35">
      <c r="A12" s="56" t="s">
        <v>10</v>
      </c>
      <c r="B12" s="108"/>
      <c r="C12" s="108"/>
      <c r="D12" s="20" t="s">
        <v>20</v>
      </c>
      <c r="E12" s="21">
        <v>2</v>
      </c>
      <c r="F12" s="22">
        <v>2</v>
      </c>
      <c r="G12" s="22">
        <f t="shared" si="0"/>
        <v>0</v>
      </c>
      <c r="H12" s="20">
        <v>0</v>
      </c>
      <c r="I12" s="21">
        <v>2</v>
      </c>
      <c r="J12" s="22">
        <v>2</v>
      </c>
      <c r="K12" s="22">
        <f t="shared" si="1"/>
        <v>0</v>
      </c>
      <c r="L12" s="20">
        <v>0</v>
      </c>
      <c r="M12" s="21">
        <v>8</v>
      </c>
      <c r="N12" s="22">
        <v>8</v>
      </c>
      <c r="O12" s="22">
        <f t="shared" si="2"/>
        <v>0</v>
      </c>
      <c r="P12" s="20">
        <v>0</v>
      </c>
      <c r="Q12" s="21">
        <v>7</v>
      </c>
      <c r="R12" s="22">
        <v>7</v>
      </c>
      <c r="S12" s="22">
        <f t="shared" si="3"/>
        <v>0</v>
      </c>
      <c r="T12" s="20">
        <v>2</v>
      </c>
      <c r="U12" s="21">
        <v>0</v>
      </c>
      <c r="V12" s="22">
        <v>0</v>
      </c>
      <c r="W12" s="22">
        <f t="shared" si="4"/>
        <v>0</v>
      </c>
      <c r="X12" s="20">
        <v>0</v>
      </c>
      <c r="Y12" s="21">
        <v>1</v>
      </c>
      <c r="Z12" s="22">
        <v>1</v>
      </c>
      <c r="AA12" s="22">
        <f t="shared" si="5"/>
        <v>0</v>
      </c>
      <c r="AB12" s="20">
        <v>0</v>
      </c>
      <c r="AC12" s="21">
        <v>1</v>
      </c>
      <c r="AD12" s="22">
        <v>1</v>
      </c>
      <c r="AE12" s="22">
        <f t="shared" si="6"/>
        <v>0</v>
      </c>
      <c r="AF12" s="20">
        <v>0</v>
      </c>
      <c r="AG12" s="21">
        <v>3</v>
      </c>
      <c r="AH12" s="22">
        <v>0</v>
      </c>
      <c r="AI12" s="22">
        <f t="shared" si="7"/>
        <v>3</v>
      </c>
      <c r="AJ12" s="20">
        <v>0</v>
      </c>
      <c r="AK12" s="21">
        <v>0</v>
      </c>
      <c r="AL12" s="22">
        <v>0</v>
      </c>
      <c r="AM12" s="22">
        <f t="shared" si="8"/>
        <v>0</v>
      </c>
      <c r="AN12" s="20">
        <v>0</v>
      </c>
      <c r="AO12" s="21">
        <v>0</v>
      </c>
      <c r="AP12" s="22">
        <v>0</v>
      </c>
      <c r="AQ12" s="22">
        <f t="shared" si="9"/>
        <v>0</v>
      </c>
      <c r="AR12" s="20">
        <v>0</v>
      </c>
      <c r="AS12" s="21">
        <v>0</v>
      </c>
      <c r="AT12" s="22">
        <v>0</v>
      </c>
      <c r="AU12" s="22">
        <f t="shared" si="10"/>
        <v>0</v>
      </c>
      <c r="AV12" s="20">
        <v>1</v>
      </c>
      <c r="AW12" s="21">
        <v>1</v>
      </c>
      <c r="AX12" s="22">
        <v>1</v>
      </c>
      <c r="AY12" s="22">
        <f t="shared" si="11"/>
        <v>0</v>
      </c>
      <c r="AZ12" s="20">
        <v>0</v>
      </c>
      <c r="BA12" s="21">
        <v>1</v>
      </c>
      <c r="BB12" s="22">
        <v>1</v>
      </c>
      <c r="BC12" s="22">
        <f t="shared" si="12"/>
        <v>0</v>
      </c>
      <c r="BD12" s="20">
        <v>1</v>
      </c>
      <c r="BE12" s="21">
        <v>0</v>
      </c>
      <c r="BF12" s="22">
        <v>0</v>
      </c>
      <c r="BG12" s="22">
        <f t="shared" si="13"/>
        <v>0</v>
      </c>
      <c r="BH12" s="20">
        <v>0</v>
      </c>
      <c r="BI12" s="21">
        <v>0</v>
      </c>
      <c r="BJ12" s="22">
        <v>0</v>
      </c>
      <c r="BK12" s="22">
        <f t="shared" si="14"/>
        <v>0</v>
      </c>
      <c r="BL12" s="20">
        <v>0</v>
      </c>
      <c r="BM12" s="21">
        <v>1</v>
      </c>
      <c r="BN12" s="22">
        <v>0</v>
      </c>
      <c r="BO12" s="22">
        <f t="shared" si="15"/>
        <v>1</v>
      </c>
      <c r="BP12" s="20">
        <v>0</v>
      </c>
      <c r="BQ12" s="21">
        <v>0</v>
      </c>
      <c r="BR12" s="22">
        <v>0</v>
      </c>
      <c r="BS12" s="22">
        <f t="shared" si="16"/>
        <v>0</v>
      </c>
      <c r="BT12" s="20">
        <v>0</v>
      </c>
      <c r="BU12" s="21">
        <f t="shared" si="17"/>
        <v>23</v>
      </c>
      <c r="BV12" s="22">
        <f t="shared" si="18"/>
        <v>4</v>
      </c>
      <c r="BW12" s="22">
        <f t="shared" si="19"/>
        <v>4</v>
      </c>
      <c r="BX12" s="22">
        <f t="shared" si="20"/>
        <v>0.85185185185185186</v>
      </c>
      <c r="BY12" s="22">
        <f t="shared" si="21"/>
        <v>0.85185185185185186</v>
      </c>
      <c r="BZ12" s="20">
        <f t="shared" si="22"/>
        <v>0.85185185185185186</v>
      </c>
      <c r="CC12" s="75" t="s">
        <v>63</v>
      </c>
      <c r="CD12">
        <f>AVERAGE(BX21:BX22)</f>
        <v>0.8</v>
      </c>
      <c r="CE12">
        <f t="shared" ref="CE12:CF12" si="32">AVERAGE(BY21:BY22)</f>
        <v>0.88888888888888884</v>
      </c>
      <c r="CF12">
        <f t="shared" si="32"/>
        <v>0.8421052631578948</v>
      </c>
    </row>
    <row r="13" spans="1:84" x14ac:dyDescent="0.35">
      <c r="A13" s="57" t="s">
        <v>10</v>
      </c>
      <c r="B13" s="108"/>
      <c r="C13" s="108"/>
      <c r="D13" s="23" t="s">
        <v>21</v>
      </c>
      <c r="E13" s="24">
        <v>3</v>
      </c>
      <c r="F13" s="25">
        <v>3</v>
      </c>
      <c r="G13" s="25">
        <f t="shared" si="0"/>
        <v>0</v>
      </c>
      <c r="H13" s="23">
        <v>0</v>
      </c>
      <c r="I13" s="24">
        <v>0</v>
      </c>
      <c r="J13" s="25">
        <v>0</v>
      </c>
      <c r="K13" s="25">
        <f t="shared" si="1"/>
        <v>0</v>
      </c>
      <c r="L13" s="23">
        <v>0</v>
      </c>
      <c r="M13" s="24">
        <v>0</v>
      </c>
      <c r="N13" s="25">
        <v>0</v>
      </c>
      <c r="O13" s="25">
        <f t="shared" si="2"/>
        <v>0</v>
      </c>
      <c r="P13" s="23">
        <v>0</v>
      </c>
      <c r="Q13" s="24">
        <v>5</v>
      </c>
      <c r="R13" s="25">
        <v>5</v>
      </c>
      <c r="S13" s="25">
        <f t="shared" si="3"/>
        <v>0</v>
      </c>
      <c r="T13" s="23">
        <v>2</v>
      </c>
      <c r="U13" s="24">
        <v>0</v>
      </c>
      <c r="V13" s="25">
        <v>0</v>
      </c>
      <c r="W13" s="25">
        <f t="shared" si="4"/>
        <v>0</v>
      </c>
      <c r="X13" s="23">
        <v>0</v>
      </c>
      <c r="Y13" s="24">
        <v>0</v>
      </c>
      <c r="Z13" s="25">
        <v>0</v>
      </c>
      <c r="AA13" s="25">
        <f t="shared" si="5"/>
        <v>0</v>
      </c>
      <c r="AB13" s="23">
        <v>0</v>
      </c>
      <c r="AC13" s="24">
        <v>0</v>
      </c>
      <c r="AD13" s="25">
        <v>0</v>
      </c>
      <c r="AE13" s="25">
        <f t="shared" si="6"/>
        <v>0</v>
      </c>
      <c r="AF13" s="23">
        <v>0</v>
      </c>
      <c r="AG13" s="24">
        <v>0</v>
      </c>
      <c r="AH13" s="25">
        <v>0</v>
      </c>
      <c r="AI13" s="25">
        <f t="shared" si="7"/>
        <v>0</v>
      </c>
      <c r="AJ13" s="23">
        <v>0</v>
      </c>
      <c r="AK13" s="24">
        <v>0</v>
      </c>
      <c r="AL13" s="25">
        <v>0</v>
      </c>
      <c r="AM13" s="25">
        <f t="shared" si="8"/>
        <v>0</v>
      </c>
      <c r="AN13" s="23">
        <v>0</v>
      </c>
      <c r="AO13" s="24">
        <v>0</v>
      </c>
      <c r="AP13" s="25">
        <v>0</v>
      </c>
      <c r="AQ13" s="25">
        <f t="shared" si="9"/>
        <v>0</v>
      </c>
      <c r="AR13" s="23">
        <v>0</v>
      </c>
      <c r="AS13" s="24">
        <v>2</v>
      </c>
      <c r="AT13" s="25">
        <v>1</v>
      </c>
      <c r="AU13" s="25">
        <f t="shared" si="10"/>
        <v>1</v>
      </c>
      <c r="AV13" s="23">
        <v>0</v>
      </c>
      <c r="AW13" s="24">
        <v>0</v>
      </c>
      <c r="AX13" s="25">
        <v>0</v>
      </c>
      <c r="AY13" s="25">
        <f t="shared" si="11"/>
        <v>0</v>
      </c>
      <c r="AZ13" s="23">
        <v>1</v>
      </c>
      <c r="BA13" s="24">
        <v>2</v>
      </c>
      <c r="BB13" s="25">
        <v>2</v>
      </c>
      <c r="BC13" s="25">
        <f t="shared" si="12"/>
        <v>0</v>
      </c>
      <c r="BD13" s="23">
        <v>0</v>
      </c>
      <c r="BE13" s="24">
        <v>0</v>
      </c>
      <c r="BF13" s="25">
        <v>0</v>
      </c>
      <c r="BG13" s="25">
        <f t="shared" si="13"/>
        <v>0</v>
      </c>
      <c r="BH13" s="23">
        <v>0</v>
      </c>
      <c r="BI13" s="24">
        <v>0</v>
      </c>
      <c r="BJ13" s="25">
        <v>0</v>
      </c>
      <c r="BK13" s="25">
        <f t="shared" si="14"/>
        <v>0</v>
      </c>
      <c r="BL13" s="23">
        <v>0</v>
      </c>
      <c r="BM13" s="24">
        <v>2</v>
      </c>
      <c r="BN13" s="25">
        <v>0</v>
      </c>
      <c r="BO13" s="25">
        <f t="shared" si="15"/>
        <v>2</v>
      </c>
      <c r="BP13" s="23">
        <v>0</v>
      </c>
      <c r="BQ13" s="24">
        <v>0</v>
      </c>
      <c r="BR13" s="25">
        <v>0</v>
      </c>
      <c r="BS13" s="25">
        <f t="shared" si="16"/>
        <v>0</v>
      </c>
      <c r="BT13" s="23">
        <v>0</v>
      </c>
      <c r="BU13" s="24">
        <f t="shared" si="17"/>
        <v>11</v>
      </c>
      <c r="BV13" s="25">
        <f t="shared" si="18"/>
        <v>3</v>
      </c>
      <c r="BW13" s="25">
        <f t="shared" si="19"/>
        <v>3</v>
      </c>
      <c r="BX13" s="25">
        <f t="shared" si="20"/>
        <v>0.7857142857142857</v>
      </c>
      <c r="BY13" s="25">
        <f t="shared" si="21"/>
        <v>0.7857142857142857</v>
      </c>
      <c r="BZ13" s="23">
        <f t="shared" si="22"/>
        <v>0.7857142857142857</v>
      </c>
      <c r="CC13" s="75" t="s">
        <v>64</v>
      </c>
      <c r="CD13">
        <f>AVERAGE(BX23:BX24)</f>
        <v>0.72222222222222232</v>
      </c>
      <c r="CE13">
        <f t="shared" ref="CE13:CF13" si="33">AVERAGE(BY23:BY24)</f>
        <v>0.70029239766081874</v>
      </c>
      <c r="CF13">
        <f t="shared" si="33"/>
        <v>0.71096096096096106</v>
      </c>
    </row>
    <row r="14" spans="1:84" x14ac:dyDescent="0.35">
      <c r="A14" s="57" t="s">
        <v>10</v>
      </c>
      <c r="B14" s="108"/>
      <c r="C14" s="108"/>
      <c r="D14" s="23" t="s">
        <v>22</v>
      </c>
      <c r="E14" s="24">
        <v>3</v>
      </c>
      <c r="F14" s="25">
        <v>3</v>
      </c>
      <c r="G14" s="25">
        <f t="shared" si="0"/>
        <v>0</v>
      </c>
      <c r="H14" s="23">
        <v>0</v>
      </c>
      <c r="I14" s="24">
        <v>0</v>
      </c>
      <c r="J14" s="24">
        <v>0</v>
      </c>
      <c r="K14" s="24">
        <v>0</v>
      </c>
      <c r="L14" s="23">
        <v>0</v>
      </c>
      <c r="M14" s="24">
        <v>0</v>
      </c>
      <c r="N14" s="24">
        <v>0</v>
      </c>
      <c r="O14" s="24">
        <v>0</v>
      </c>
      <c r="P14" s="23">
        <v>0</v>
      </c>
      <c r="Q14" s="24">
        <v>5</v>
      </c>
      <c r="R14" s="25">
        <v>5</v>
      </c>
      <c r="S14" s="25">
        <f t="shared" si="3"/>
        <v>0</v>
      </c>
      <c r="T14" s="23">
        <v>2</v>
      </c>
      <c r="U14" s="24">
        <v>0</v>
      </c>
      <c r="V14" s="25">
        <v>0</v>
      </c>
      <c r="W14" s="25">
        <v>0</v>
      </c>
      <c r="X14" s="23">
        <v>0</v>
      </c>
      <c r="Y14" s="24">
        <v>0</v>
      </c>
      <c r="Z14" s="24">
        <v>0</v>
      </c>
      <c r="AA14" s="24">
        <f t="shared" si="5"/>
        <v>0</v>
      </c>
      <c r="AB14" s="23">
        <v>0</v>
      </c>
      <c r="AC14" s="24">
        <v>0</v>
      </c>
      <c r="AD14" s="24">
        <v>0</v>
      </c>
      <c r="AE14" s="24">
        <f t="shared" si="6"/>
        <v>0</v>
      </c>
      <c r="AF14" s="23">
        <v>0</v>
      </c>
      <c r="AG14" s="24">
        <v>0</v>
      </c>
      <c r="AH14" s="24">
        <v>0</v>
      </c>
      <c r="AI14" s="24">
        <f t="shared" si="7"/>
        <v>0</v>
      </c>
      <c r="AJ14" s="23">
        <v>0</v>
      </c>
      <c r="AK14" s="24">
        <v>0</v>
      </c>
      <c r="AL14" s="24">
        <v>0</v>
      </c>
      <c r="AM14" s="24">
        <f t="shared" si="8"/>
        <v>0</v>
      </c>
      <c r="AN14" s="23">
        <v>0</v>
      </c>
      <c r="AO14" s="24">
        <v>0</v>
      </c>
      <c r="AP14" s="24">
        <v>0</v>
      </c>
      <c r="AQ14" s="24">
        <f t="shared" si="9"/>
        <v>0</v>
      </c>
      <c r="AR14" s="23">
        <v>0</v>
      </c>
      <c r="AS14" s="24">
        <v>2</v>
      </c>
      <c r="AT14" s="25">
        <v>1</v>
      </c>
      <c r="AU14" s="25">
        <f t="shared" si="10"/>
        <v>1</v>
      </c>
      <c r="AV14" s="23">
        <v>0</v>
      </c>
      <c r="AW14" s="24">
        <v>0</v>
      </c>
      <c r="AX14" s="25">
        <v>0</v>
      </c>
      <c r="AY14" s="25">
        <f t="shared" si="11"/>
        <v>0</v>
      </c>
      <c r="AZ14" s="23">
        <v>1</v>
      </c>
      <c r="BA14" s="24">
        <v>2</v>
      </c>
      <c r="BB14" s="25">
        <v>2</v>
      </c>
      <c r="BC14" s="25">
        <f t="shared" si="12"/>
        <v>0</v>
      </c>
      <c r="BD14" s="23">
        <v>0</v>
      </c>
      <c r="BE14" s="24">
        <v>0</v>
      </c>
      <c r="BF14" s="25">
        <v>0</v>
      </c>
      <c r="BG14" s="25">
        <f t="shared" si="13"/>
        <v>0</v>
      </c>
      <c r="BH14" s="23">
        <v>0</v>
      </c>
      <c r="BI14" s="24">
        <v>0</v>
      </c>
      <c r="BJ14" s="25">
        <v>0</v>
      </c>
      <c r="BK14" s="25">
        <f t="shared" si="14"/>
        <v>0</v>
      </c>
      <c r="BL14" s="23">
        <v>0</v>
      </c>
      <c r="BM14" s="24">
        <v>2</v>
      </c>
      <c r="BN14" s="25">
        <v>0</v>
      </c>
      <c r="BO14" s="25">
        <f t="shared" si="15"/>
        <v>2</v>
      </c>
      <c r="BP14" s="23">
        <v>0</v>
      </c>
      <c r="BQ14" s="24">
        <v>0</v>
      </c>
      <c r="BR14" s="25">
        <v>0</v>
      </c>
      <c r="BS14" s="25">
        <f t="shared" si="16"/>
        <v>0</v>
      </c>
      <c r="BT14" s="23">
        <v>0</v>
      </c>
      <c r="BU14" s="24">
        <f t="shared" si="17"/>
        <v>11</v>
      </c>
      <c r="BV14" s="25">
        <f t="shared" si="18"/>
        <v>3</v>
      </c>
      <c r="BW14" s="25">
        <f t="shared" si="19"/>
        <v>3</v>
      </c>
      <c r="BX14" s="25">
        <f t="shared" si="20"/>
        <v>0.7857142857142857</v>
      </c>
      <c r="BY14" s="25">
        <f t="shared" si="21"/>
        <v>0.7857142857142857</v>
      </c>
      <c r="BZ14" s="23">
        <f t="shared" si="22"/>
        <v>0.7857142857142857</v>
      </c>
      <c r="CC14" s="75" t="s">
        <v>65</v>
      </c>
      <c r="CD14">
        <f>AVERAGE(BX25:BX26)</f>
        <v>0.8571428571428571</v>
      </c>
      <c r="CE14">
        <f t="shared" ref="CE14:CF14" si="34">AVERAGE(BY25:BY26)</f>
        <v>1</v>
      </c>
      <c r="CF14">
        <f t="shared" si="34"/>
        <v>0.92307692307692302</v>
      </c>
    </row>
    <row r="15" spans="1:84" x14ac:dyDescent="0.35">
      <c r="A15" s="58" t="s">
        <v>10</v>
      </c>
      <c r="B15" s="108"/>
      <c r="C15" s="108"/>
      <c r="D15" s="26" t="s">
        <v>23</v>
      </c>
      <c r="E15" s="27">
        <v>2</v>
      </c>
      <c r="F15" s="28">
        <v>2</v>
      </c>
      <c r="G15" s="28">
        <f t="shared" si="0"/>
        <v>0</v>
      </c>
      <c r="H15" s="26">
        <v>0</v>
      </c>
      <c r="I15" s="27">
        <v>0</v>
      </c>
      <c r="J15" s="27">
        <v>0</v>
      </c>
      <c r="K15" s="27">
        <f t="shared" ref="K15:K23" si="35">I15-J15</f>
        <v>0</v>
      </c>
      <c r="L15" s="26">
        <v>0</v>
      </c>
      <c r="M15" s="27">
        <v>0</v>
      </c>
      <c r="N15" s="27">
        <v>0</v>
      </c>
      <c r="O15" s="27">
        <f t="shared" ref="O15:O30" si="36">M15-N15</f>
        <v>0</v>
      </c>
      <c r="P15" s="26">
        <v>0</v>
      </c>
      <c r="Q15" s="27">
        <v>3</v>
      </c>
      <c r="R15" s="28">
        <v>3</v>
      </c>
      <c r="S15" s="28">
        <f t="shared" si="3"/>
        <v>0</v>
      </c>
      <c r="T15" s="26">
        <v>1</v>
      </c>
      <c r="U15" s="27">
        <v>0</v>
      </c>
      <c r="V15" s="28">
        <v>0</v>
      </c>
      <c r="W15" s="28">
        <f t="shared" ref="W15:W30" si="37">U15-V15</f>
        <v>0</v>
      </c>
      <c r="X15" s="26">
        <v>4</v>
      </c>
      <c r="Y15" s="27">
        <v>0</v>
      </c>
      <c r="Z15" s="27">
        <v>0</v>
      </c>
      <c r="AA15" s="27">
        <f t="shared" si="5"/>
        <v>0</v>
      </c>
      <c r="AB15" s="26">
        <v>0</v>
      </c>
      <c r="AC15" s="27">
        <v>0</v>
      </c>
      <c r="AD15" s="27">
        <v>0</v>
      </c>
      <c r="AE15" s="27">
        <f t="shared" si="6"/>
        <v>0</v>
      </c>
      <c r="AF15" s="26">
        <v>0</v>
      </c>
      <c r="AG15" s="27">
        <v>0</v>
      </c>
      <c r="AH15" s="27">
        <v>0</v>
      </c>
      <c r="AI15" s="27">
        <f t="shared" si="7"/>
        <v>0</v>
      </c>
      <c r="AJ15" s="26">
        <v>0</v>
      </c>
      <c r="AK15" s="27">
        <v>0</v>
      </c>
      <c r="AL15" s="27">
        <v>0</v>
      </c>
      <c r="AM15" s="27">
        <f t="shared" si="8"/>
        <v>0</v>
      </c>
      <c r="AN15" s="26">
        <v>0</v>
      </c>
      <c r="AO15" s="27">
        <v>0</v>
      </c>
      <c r="AP15" s="27">
        <v>0</v>
      </c>
      <c r="AQ15" s="27">
        <f t="shared" si="9"/>
        <v>0</v>
      </c>
      <c r="AR15" s="26">
        <v>0</v>
      </c>
      <c r="AS15" s="27">
        <v>1</v>
      </c>
      <c r="AT15" s="28">
        <v>0</v>
      </c>
      <c r="AU15" s="28">
        <f t="shared" si="10"/>
        <v>1</v>
      </c>
      <c r="AV15" s="26">
        <v>0</v>
      </c>
      <c r="AW15" s="27">
        <v>0</v>
      </c>
      <c r="AX15" s="28">
        <v>0</v>
      </c>
      <c r="AY15" s="28">
        <f t="shared" si="11"/>
        <v>0</v>
      </c>
      <c r="AZ15" s="26">
        <v>1</v>
      </c>
      <c r="BA15" s="27">
        <v>1</v>
      </c>
      <c r="BB15" s="28">
        <v>1</v>
      </c>
      <c r="BC15" s="28">
        <f t="shared" si="12"/>
        <v>0</v>
      </c>
      <c r="BD15" s="26">
        <v>0</v>
      </c>
      <c r="BE15" s="27">
        <v>0</v>
      </c>
      <c r="BF15" s="28">
        <v>0</v>
      </c>
      <c r="BG15" s="28">
        <f t="shared" si="13"/>
        <v>0</v>
      </c>
      <c r="BH15" s="26">
        <v>0</v>
      </c>
      <c r="BI15" s="27">
        <v>0</v>
      </c>
      <c r="BJ15" s="28">
        <v>0</v>
      </c>
      <c r="BK15" s="28">
        <f t="shared" si="14"/>
        <v>0</v>
      </c>
      <c r="BL15" s="26">
        <v>0</v>
      </c>
      <c r="BM15" s="27">
        <v>1</v>
      </c>
      <c r="BN15" s="28">
        <v>1</v>
      </c>
      <c r="BO15" s="28">
        <f t="shared" si="15"/>
        <v>0</v>
      </c>
      <c r="BP15" s="26">
        <v>0</v>
      </c>
      <c r="BQ15" s="27">
        <v>0</v>
      </c>
      <c r="BR15" s="28">
        <v>0</v>
      </c>
      <c r="BS15" s="28">
        <f t="shared" si="16"/>
        <v>0</v>
      </c>
      <c r="BT15" s="26">
        <v>1</v>
      </c>
      <c r="BU15" s="27">
        <f t="shared" si="17"/>
        <v>7</v>
      </c>
      <c r="BV15" s="28">
        <f t="shared" si="18"/>
        <v>1</v>
      </c>
      <c r="BW15" s="28">
        <f t="shared" si="19"/>
        <v>7</v>
      </c>
      <c r="BX15" s="28">
        <f t="shared" si="20"/>
        <v>0.875</v>
      </c>
      <c r="BY15" s="28">
        <f t="shared" si="21"/>
        <v>0.5</v>
      </c>
      <c r="BZ15" s="26">
        <f t="shared" si="22"/>
        <v>0.63636363636363635</v>
      </c>
      <c r="CC15" s="75" t="s">
        <v>66</v>
      </c>
      <c r="CD15">
        <f>AVERAGE(BX27:BX28)</f>
        <v>0.47058823529411764</v>
      </c>
      <c r="CE15">
        <f t="shared" ref="CE15:CF15" si="38">AVERAGE(BY27:BY28)</f>
        <v>0.72727272727272729</v>
      </c>
      <c r="CF15">
        <f t="shared" si="38"/>
        <v>0.5714285714285714</v>
      </c>
    </row>
    <row r="16" spans="1:84" x14ac:dyDescent="0.35">
      <c r="A16" s="58" t="s">
        <v>10</v>
      </c>
      <c r="B16" s="108"/>
      <c r="C16" s="108"/>
      <c r="D16" s="26" t="s">
        <v>24</v>
      </c>
      <c r="E16" s="27">
        <v>2</v>
      </c>
      <c r="F16" s="28">
        <v>2</v>
      </c>
      <c r="G16" s="28">
        <f t="shared" si="0"/>
        <v>0</v>
      </c>
      <c r="H16" s="26">
        <v>0</v>
      </c>
      <c r="I16" s="27">
        <v>0</v>
      </c>
      <c r="J16" s="27">
        <v>0</v>
      </c>
      <c r="K16" s="27">
        <f t="shared" si="35"/>
        <v>0</v>
      </c>
      <c r="L16" s="26">
        <v>0</v>
      </c>
      <c r="M16" s="27">
        <v>0</v>
      </c>
      <c r="N16" s="27">
        <v>0</v>
      </c>
      <c r="O16" s="27">
        <f t="shared" si="36"/>
        <v>0</v>
      </c>
      <c r="P16" s="26">
        <v>0</v>
      </c>
      <c r="Q16" s="27">
        <v>3</v>
      </c>
      <c r="R16" s="28">
        <v>3</v>
      </c>
      <c r="S16" s="28">
        <f t="shared" si="3"/>
        <v>0</v>
      </c>
      <c r="T16" s="26">
        <v>1</v>
      </c>
      <c r="U16" s="27">
        <v>0</v>
      </c>
      <c r="V16" s="28">
        <v>0</v>
      </c>
      <c r="W16" s="28">
        <f t="shared" si="37"/>
        <v>0</v>
      </c>
      <c r="X16" s="26">
        <v>4</v>
      </c>
      <c r="Y16" s="27">
        <v>0</v>
      </c>
      <c r="Z16" s="27">
        <v>0</v>
      </c>
      <c r="AA16" s="27">
        <v>0</v>
      </c>
      <c r="AB16" s="26">
        <v>0</v>
      </c>
      <c r="AC16" s="27">
        <v>0</v>
      </c>
      <c r="AD16" s="27">
        <v>0</v>
      </c>
      <c r="AE16" s="27">
        <f t="shared" si="6"/>
        <v>0</v>
      </c>
      <c r="AF16" s="26">
        <v>0</v>
      </c>
      <c r="AG16" s="27">
        <v>0</v>
      </c>
      <c r="AH16" s="27">
        <v>0</v>
      </c>
      <c r="AI16" s="27">
        <f t="shared" si="7"/>
        <v>0</v>
      </c>
      <c r="AJ16" s="26">
        <v>0</v>
      </c>
      <c r="AK16" s="27">
        <v>0</v>
      </c>
      <c r="AL16" s="27">
        <v>0</v>
      </c>
      <c r="AM16" s="27">
        <f t="shared" si="8"/>
        <v>0</v>
      </c>
      <c r="AN16" s="26">
        <v>0</v>
      </c>
      <c r="AO16" s="27">
        <v>0</v>
      </c>
      <c r="AP16" s="27">
        <v>0</v>
      </c>
      <c r="AQ16" s="27">
        <f t="shared" si="9"/>
        <v>0</v>
      </c>
      <c r="AR16" s="26">
        <v>0</v>
      </c>
      <c r="AS16" s="27">
        <v>1</v>
      </c>
      <c r="AT16" s="28">
        <v>0</v>
      </c>
      <c r="AU16" s="28">
        <f t="shared" si="10"/>
        <v>1</v>
      </c>
      <c r="AV16" s="26">
        <v>0</v>
      </c>
      <c r="AW16" s="27">
        <v>0</v>
      </c>
      <c r="AX16" s="28">
        <v>0</v>
      </c>
      <c r="AY16" s="28">
        <f t="shared" si="11"/>
        <v>0</v>
      </c>
      <c r="AZ16" s="26">
        <v>1</v>
      </c>
      <c r="BA16" s="27">
        <v>1</v>
      </c>
      <c r="BB16" s="28">
        <v>1</v>
      </c>
      <c r="BC16" s="28">
        <f t="shared" si="12"/>
        <v>0</v>
      </c>
      <c r="BD16" s="26">
        <v>0</v>
      </c>
      <c r="BE16" s="27">
        <v>0</v>
      </c>
      <c r="BF16" s="28">
        <v>0</v>
      </c>
      <c r="BG16" s="28">
        <f t="shared" si="13"/>
        <v>0</v>
      </c>
      <c r="BH16" s="26">
        <v>0</v>
      </c>
      <c r="BI16" s="27">
        <v>0</v>
      </c>
      <c r="BJ16" s="28">
        <v>0</v>
      </c>
      <c r="BK16" s="28">
        <f t="shared" si="14"/>
        <v>0</v>
      </c>
      <c r="BL16" s="26">
        <v>0</v>
      </c>
      <c r="BM16" s="27">
        <v>1</v>
      </c>
      <c r="BN16" s="28">
        <v>1</v>
      </c>
      <c r="BO16" s="28">
        <f t="shared" si="15"/>
        <v>0</v>
      </c>
      <c r="BP16" s="26">
        <v>0</v>
      </c>
      <c r="BQ16" s="27">
        <v>0</v>
      </c>
      <c r="BR16" s="28">
        <v>0</v>
      </c>
      <c r="BS16" s="28">
        <f t="shared" si="16"/>
        <v>0</v>
      </c>
      <c r="BT16" s="26">
        <v>1</v>
      </c>
      <c r="BU16" s="27">
        <f t="shared" si="17"/>
        <v>7</v>
      </c>
      <c r="BV16" s="28">
        <f t="shared" si="18"/>
        <v>1</v>
      </c>
      <c r="BW16" s="28">
        <f t="shared" si="19"/>
        <v>7</v>
      </c>
      <c r="BX16" s="28">
        <f t="shared" si="20"/>
        <v>0.875</v>
      </c>
      <c r="BY16" s="28">
        <f t="shared" si="21"/>
        <v>0.5</v>
      </c>
      <c r="BZ16" s="26">
        <f t="shared" si="22"/>
        <v>0.63636363636363635</v>
      </c>
      <c r="CC16" s="75" t="s">
        <v>67</v>
      </c>
      <c r="CD16">
        <f>AVERAGE(BX29:BX30)</f>
        <v>0.6</v>
      </c>
      <c r="CE16">
        <f t="shared" ref="CE16:CF16" si="39">AVERAGE(BY29:BY30)</f>
        <v>1</v>
      </c>
      <c r="CF16">
        <f t="shared" si="39"/>
        <v>0.74999999999999989</v>
      </c>
    </row>
    <row r="17" spans="1:84" x14ac:dyDescent="0.35">
      <c r="A17" s="59" t="s">
        <v>10</v>
      </c>
      <c r="B17" s="108"/>
      <c r="C17" s="108"/>
      <c r="D17" s="29" t="s">
        <v>25</v>
      </c>
      <c r="E17" s="30">
        <v>2</v>
      </c>
      <c r="F17" s="31">
        <v>2</v>
      </c>
      <c r="G17" s="31">
        <f t="shared" si="0"/>
        <v>0</v>
      </c>
      <c r="H17" s="29">
        <v>0</v>
      </c>
      <c r="I17" s="30">
        <v>0</v>
      </c>
      <c r="J17" s="31">
        <v>0</v>
      </c>
      <c r="K17" s="31">
        <f t="shared" si="35"/>
        <v>0</v>
      </c>
      <c r="L17" s="29">
        <v>0</v>
      </c>
      <c r="M17" s="30">
        <v>0</v>
      </c>
      <c r="N17" s="31">
        <v>0</v>
      </c>
      <c r="O17" s="31">
        <f t="shared" si="36"/>
        <v>0</v>
      </c>
      <c r="P17" s="29">
        <v>0</v>
      </c>
      <c r="Q17" s="30">
        <v>3</v>
      </c>
      <c r="R17" s="31">
        <v>3</v>
      </c>
      <c r="S17" s="31">
        <f t="shared" si="3"/>
        <v>0</v>
      </c>
      <c r="T17" s="29">
        <v>0</v>
      </c>
      <c r="U17" s="30">
        <v>0</v>
      </c>
      <c r="V17" s="31">
        <v>0</v>
      </c>
      <c r="W17" s="31">
        <f t="shared" si="37"/>
        <v>0</v>
      </c>
      <c r="X17" s="29">
        <v>0</v>
      </c>
      <c r="Y17" s="30">
        <v>1</v>
      </c>
      <c r="Z17" s="31">
        <v>1</v>
      </c>
      <c r="AA17" s="31">
        <f t="shared" ref="AA17:AA30" si="40">Y17-Z17</f>
        <v>0</v>
      </c>
      <c r="AB17" s="29">
        <v>0</v>
      </c>
      <c r="AC17" s="30">
        <v>1</v>
      </c>
      <c r="AD17" s="31">
        <v>1</v>
      </c>
      <c r="AE17" s="31">
        <f t="shared" si="6"/>
        <v>0</v>
      </c>
      <c r="AF17" s="29">
        <v>0</v>
      </c>
      <c r="AG17" s="30">
        <v>1</v>
      </c>
      <c r="AH17" s="31">
        <v>0</v>
      </c>
      <c r="AI17" s="31">
        <f t="shared" si="7"/>
        <v>1</v>
      </c>
      <c r="AJ17" s="29">
        <v>0</v>
      </c>
      <c r="AK17" s="30">
        <v>0</v>
      </c>
      <c r="AL17" s="31">
        <v>0</v>
      </c>
      <c r="AM17" s="31">
        <f t="shared" si="8"/>
        <v>0</v>
      </c>
      <c r="AN17" s="29">
        <v>0</v>
      </c>
      <c r="AO17" s="30">
        <v>0</v>
      </c>
      <c r="AP17" s="31">
        <v>0</v>
      </c>
      <c r="AQ17" s="31">
        <f t="shared" si="9"/>
        <v>0</v>
      </c>
      <c r="AR17" s="29">
        <v>0</v>
      </c>
      <c r="AS17" s="30">
        <v>0</v>
      </c>
      <c r="AT17" s="31">
        <v>0</v>
      </c>
      <c r="AU17" s="31">
        <f t="shared" si="10"/>
        <v>0</v>
      </c>
      <c r="AV17" s="29">
        <v>0</v>
      </c>
      <c r="AW17" s="30">
        <v>0</v>
      </c>
      <c r="AX17" s="31">
        <v>0</v>
      </c>
      <c r="AY17" s="31">
        <f t="shared" si="11"/>
        <v>0</v>
      </c>
      <c r="AZ17" s="29">
        <v>0</v>
      </c>
      <c r="BA17" s="30">
        <v>1</v>
      </c>
      <c r="BB17" s="31">
        <v>1</v>
      </c>
      <c r="BC17" s="31">
        <f t="shared" si="12"/>
        <v>0</v>
      </c>
      <c r="BD17" s="29">
        <v>0</v>
      </c>
      <c r="BE17" s="30">
        <v>0</v>
      </c>
      <c r="BF17" s="31">
        <v>0</v>
      </c>
      <c r="BG17" s="31">
        <f t="shared" si="13"/>
        <v>0</v>
      </c>
      <c r="BH17" s="29">
        <v>0</v>
      </c>
      <c r="BI17" s="30">
        <v>0</v>
      </c>
      <c r="BJ17" s="31">
        <v>0</v>
      </c>
      <c r="BK17" s="31">
        <f t="shared" si="14"/>
        <v>0</v>
      </c>
      <c r="BL17" s="29">
        <v>0</v>
      </c>
      <c r="BM17" s="30">
        <v>0</v>
      </c>
      <c r="BN17" s="31">
        <v>0</v>
      </c>
      <c r="BO17" s="31">
        <f t="shared" si="15"/>
        <v>0</v>
      </c>
      <c r="BP17" s="29">
        <v>0</v>
      </c>
      <c r="BQ17" s="30">
        <v>1</v>
      </c>
      <c r="BR17" s="31">
        <v>1</v>
      </c>
      <c r="BS17" s="31">
        <f t="shared" si="16"/>
        <v>0</v>
      </c>
      <c r="BT17" s="29">
        <v>0</v>
      </c>
      <c r="BU17" s="30">
        <f t="shared" si="17"/>
        <v>9</v>
      </c>
      <c r="BV17" s="31">
        <f t="shared" si="18"/>
        <v>1</v>
      </c>
      <c r="BW17" s="31">
        <f t="shared" si="19"/>
        <v>0</v>
      </c>
      <c r="BX17" s="31">
        <f t="shared" si="20"/>
        <v>0.9</v>
      </c>
      <c r="BY17" s="31">
        <f t="shared" si="21"/>
        <v>1</v>
      </c>
      <c r="BZ17" s="29">
        <f t="shared" si="22"/>
        <v>0.94736842105263164</v>
      </c>
      <c r="CC17" s="75" t="s">
        <v>42</v>
      </c>
      <c r="CD17">
        <f>AVERAGE(CD3:CD16)</f>
        <v>0.82139449797012831</v>
      </c>
      <c r="CE17">
        <f t="shared" ref="CE17:CF17" si="41">AVERAGE(CE3:CE16)</f>
        <v>0.87206300076158538</v>
      </c>
      <c r="CF17">
        <f t="shared" si="41"/>
        <v>0.83625348025372648</v>
      </c>
    </row>
    <row r="18" spans="1:84" x14ac:dyDescent="0.35">
      <c r="A18" s="59" t="s">
        <v>10</v>
      </c>
      <c r="B18" s="108"/>
      <c r="C18" s="108"/>
      <c r="D18" s="29" t="s">
        <v>26</v>
      </c>
      <c r="E18" s="30">
        <v>2</v>
      </c>
      <c r="F18" s="31">
        <v>2</v>
      </c>
      <c r="G18" s="31">
        <f t="shared" si="0"/>
        <v>0</v>
      </c>
      <c r="H18" s="29">
        <v>0</v>
      </c>
      <c r="I18" s="30">
        <v>0</v>
      </c>
      <c r="J18" s="31">
        <v>0</v>
      </c>
      <c r="K18" s="31">
        <f t="shared" si="35"/>
        <v>0</v>
      </c>
      <c r="L18" s="29">
        <v>0</v>
      </c>
      <c r="M18" s="30">
        <v>0</v>
      </c>
      <c r="N18" s="31">
        <v>0</v>
      </c>
      <c r="O18" s="31">
        <f t="shared" si="36"/>
        <v>0</v>
      </c>
      <c r="P18" s="29">
        <v>0</v>
      </c>
      <c r="Q18" s="30">
        <v>3</v>
      </c>
      <c r="R18" s="31">
        <v>3</v>
      </c>
      <c r="S18" s="31">
        <f t="shared" si="3"/>
        <v>0</v>
      </c>
      <c r="T18" s="29">
        <v>0</v>
      </c>
      <c r="U18" s="30">
        <v>0</v>
      </c>
      <c r="V18" s="31">
        <v>0</v>
      </c>
      <c r="W18" s="31">
        <f t="shared" si="37"/>
        <v>0</v>
      </c>
      <c r="X18" s="29">
        <v>0</v>
      </c>
      <c r="Y18" s="30">
        <v>1</v>
      </c>
      <c r="Z18" s="31">
        <v>1</v>
      </c>
      <c r="AA18" s="31">
        <f t="shared" si="40"/>
        <v>0</v>
      </c>
      <c r="AB18" s="29">
        <v>0</v>
      </c>
      <c r="AC18" s="30">
        <v>1</v>
      </c>
      <c r="AD18" s="31">
        <v>1</v>
      </c>
      <c r="AE18" s="31">
        <f t="shared" si="6"/>
        <v>0</v>
      </c>
      <c r="AF18" s="29">
        <v>0</v>
      </c>
      <c r="AG18" s="30">
        <v>1</v>
      </c>
      <c r="AH18" s="31">
        <v>0</v>
      </c>
      <c r="AI18" s="31">
        <f t="shared" si="7"/>
        <v>1</v>
      </c>
      <c r="AJ18" s="29">
        <v>0</v>
      </c>
      <c r="AK18" s="30">
        <v>0</v>
      </c>
      <c r="AL18" s="31">
        <v>0</v>
      </c>
      <c r="AM18" s="31">
        <f t="shared" si="8"/>
        <v>0</v>
      </c>
      <c r="AN18" s="29">
        <v>0</v>
      </c>
      <c r="AO18" s="30">
        <v>0</v>
      </c>
      <c r="AP18" s="31">
        <v>0</v>
      </c>
      <c r="AQ18" s="31">
        <f t="shared" si="9"/>
        <v>0</v>
      </c>
      <c r="AR18" s="29">
        <v>0</v>
      </c>
      <c r="AS18" s="30">
        <v>0</v>
      </c>
      <c r="AT18" s="31">
        <v>0</v>
      </c>
      <c r="AU18" s="31">
        <f t="shared" si="10"/>
        <v>0</v>
      </c>
      <c r="AV18" s="29">
        <v>0</v>
      </c>
      <c r="AW18" s="30">
        <v>0</v>
      </c>
      <c r="AX18" s="31">
        <v>0</v>
      </c>
      <c r="AY18" s="31">
        <f t="shared" si="11"/>
        <v>0</v>
      </c>
      <c r="AZ18" s="29">
        <v>0</v>
      </c>
      <c r="BA18" s="30">
        <v>1</v>
      </c>
      <c r="BB18" s="31">
        <v>1</v>
      </c>
      <c r="BC18" s="31">
        <f t="shared" si="12"/>
        <v>0</v>
      </c>
      <c r="BD18" s="29">
        <v>0</v>
      </c>
      <c r="BE18" s="30">
        <v>0</v>
      </c>
      <c r="BF18" s="31">
        <v>0</v>
      </c>
      <c r="BG18" s="31">
        <f t="shared" si="13"/>
        <v>0</v>
      </c>
      <c r="BH18" s="29">
        <v>0</v>
      </c>
      <c r="BI18" s="30">
        <v>0</v>
      </c>
      <c r="BJ18" s="31">
        <v>0</v>
      </c>
      <c r="BK18" s="31">
        <f t="shared" si="14"/>
        <v>0</v>
      </c>
      <c r="BL18" s="29">
        <v>0</v>
      </c>
      <c r="BM18" s="30">
        <v>0</v>
      </c>
      <c r="BN18" s="31">
        <v>0</v>
      </c>
      <c r="BO18" s="31">
        <f t="shared" si="15"/>
        <v>0</v>
      </c>
      <c r="BP18" s="29">
        <v>0</v>
      </c>
      <c r="BQ18" s="30">
        <v>1</v>
      </c>
      <c r="BR18" s="31">
        <v>1</v>
      </c>
      <c r="BS18" s="31">
        <f t="shared" si="16"/>
        <v>0</v>
      </c>
      <c r="BT18" s="29">
        <v>0</v>
      </c>
      <c r="BU18" s="30">
        <f t="shared" si="17"/>
        <v>9</v>
      </c>
      <c r="BV18" s="31">
        <f t="shared" si="18"/>
        <v>1</v>
      </c>
      <c r="BW18" s="31">
        <f t="shared" si="19"/>
        <v>0</v>
      </c>
      <c r="BX18" s="31">
        <f t="shared" si="20"/>
        <v>0.9</v>
      </c>
      <c r="BY18" s="31">
        <f t="shared" si="21"/>
        <v>1</v>
      </c>
      <c r="BZ18" s="29">
        <f t="shared" si="22"/>
        <v>0.94736842105263164</v>
      </c>
    </row>
    <row r="19" spans="1:84" x14ac:dyDescent="0.35">
      <c r="A19" s="60" t="s">
        <v>10</v>
      </c>
      <c r="B19" s="108"/>
      <c r="C19" s="108"/>
      <c r="D19" s="32" t="s">
        <v>27</v>
      </c>
      <c r="E19" s="33">
        <v>3</v>
      </c>
      <c r="F19" s="34">
        <v>3</v>
      </c>
      <c r="G19" s="34">
        <f t="shared" si="0"/>
        <v>0</v>
      </c>
      <c r="H19" s="32">
        <v>0</v>
      </c>
      <c r="I19" s="33">
        <v>0</v>
      </c>
      <c r="J19" s="34">
        <v>0</v>
      </c>
      <c r="K19" s="34">
        <f t="shared" si="35"/>
        <v>0</v>
      </c>
      <c r="L19" s="32">
        <v>0</v>
      </c>
      <c r="M19" s="33">
        <v>0</v>
      </c>
      <c r="N19" s="34">
        <v>0</v>
      </c>
      <c r="O19" s="34">
        <f t="shared" si="36"/>
        <v>0</v>
      </c>
      <c r="P19" s="32">
        <v>0</v>
      </c>
      <c r="Q19" s="33">
        <v>3</v>
      </c>
      <c r="R19" s="34">
        <v>3</v>
      </c>
      <c r="S19" s="34">
        <f t="shared" si="3"/>
        <v>0</v>
      </c>
      <c r="T19" s="32">
        <v>0</v>
      </c>
      <c r="U19" s="33">
        <v>0</v>
      </c>
      <c r="V19" s="34">
        <v>0</v>
      </c>
      <c r="W19" s="34">
        <f t="shared" si="37"/>
        <v>0</v>
      </c>
      <c r="X19" s="32">
        <v>0</v>
      </c>
      <c r="Y19" s="33">
        <v>2</v>
      </c>
      <c r="Z19" s="34">
        <v>2</v>
      </c>
      <c r="AA19" s="34">
        <f t="shared" si="40"/>
        <v>0</v>
      </c>
      <c r="AB19" s="32">
        <v>0</v>
      </c>
      <c r="AC19" s="33">
        <v>2</v>
      </c>
      <c r="AD19" s="34">
        <v>2</v>
      </c>
      <c r="AE19" s="34">
        <f t="shared" si="6"/>
        <v>0</v>
      </c>
      <c r="AF19" s="32">
        <v>0</v>
      </c>
      <c r="AG19" s="33">
        <v>2</v>
      </c>
      <c r="AH19" s="34">
        <v>0</v>
      </c>
      <c r="AI19" s="34">
        <f t="shared" si="7"/>
        <v>2</v>
      </c>
      <c r="AJ19" s="32">
        <v>0</v>
      </c>
      <c r="AK19" s="33">
        <v>0</v>
      </c>
      <c r="AL19" s="34">
        <v>0</v>
      </c>
      <c r="AM19" s="34">
        <f t="shared" si="8"/>
        <v>0</v>
      </c>
      <c r="AN19" s="32">
        <v>0</v>
      </c>
      <c r="AO19" s="33">
        <v>0</v>
      </c>
      <c r="AP19" s="34">
        <v>0</v>
      </c>
      <c r="AQ19" s="34">
        <f t="shared" si="9"/>
        <v>0</v>
      </c>
      <c r="AR19" s="32">
        <v>1</v>
      </c>
      <c r="AS19" s="33">
        <v>0</v>
      </c>
      <c r="AT19" s="34">
        <v>0</v>
      </c>
      <c r="AU19" s="34">
        <f t="shared" si="10"/>
        <v>0</v>
      </c>
      <c r="AV19" s="32">
        <v>0</v>
      </c>
      <c r="AW19" s="33">
        <v>0</v>
      </c>
      <c r="AX19" s="34">
        <v>0</v>
      </c>
      <c r="AY19" s="34">
        <f t="shared" si="11"/>
        <v>0</v>
      </c>
      <c r="AZ19" s="32">
        <v>0</v>
      </c>
      <c r="BA19" s="33">
        <v>2</v>
      </c>
      <c r="BB19" s="34">
        <v>2</v>
      </c>
      <c r="BC19" s="34">
        <f t="shared" si="12"/>
        <v>0</v>
      </c>
      <c r="BD19" s="32">
        <v>0</v>
      </c>
      <c r="BE19" s="33">
        <v>0</v>
      </c>
      <c r="BF19" s="34">
        <v>0</v>
      </c>
      <c r="BG19" s="34">
        <f t="shared" si="13"/>
        <v>0</v>
      </c>
      <c r="BH19" s="32">
        <v>0</v>
      </c>
      <c r="BI19" s="33">
        <v>1</v>
      </c>
      <c r="BJ19" s="34">
        <v>0</v>
      </c>
      <c r="BK19" s="34">
        <f t="shared" si="14"/>
        <v>1</v>
      </c>
      <c r="BL19" s="32">
        <v>0</v>
      </c>
      <c r="BM19" s="33">
        <v>0</v>
      </c>
      <c r="BN19" s="34">
        <v>0</v>
      </c>
      <c r="BO19" s="34">
        <f t="shared" si="15"/>
        <v>0</v>
      </c>
      <c r="BP19" s="32">
        <v>0</v>
      </c>
      <c r="BQ19" s="33">
        <v>2</v>
      </c>
      <c r="BR19" s="34">
        <v>1</v>
      </c>
      <c r="BS19" s="34">
        <f t="shared" si="16"/>
        <v>1</v>
      </c>
      <c r="BT19" s="32">
        <v>0</v>
      </c>
      <c r="BU19" s="33">
        <f t="shared" si="17"/>
        <v>13</v>
      </c>
      <c r="BV19" s="34">
        <f t="shared" si="18"/>
        <v>4</v>
      </c>
      <c r="BW19" s="34">
        <f t="shared" si="19"/>
        <v>1</v>
      </c>
      <c r="BX19" s="34">
        <f t="shared" si="20"/>
        <v>0.76470588235294112</v>
      </c>
      <c r="BY19" s="34">
        <f t="shared" si="21"/>
        <v>0.9285714285714286</v>
      </c>
      <c r="BZ19" s="32">
        <f t="shared" si="22"/>
        <v>0.83870967741935487</v>
      </c>
    </row>
    <row r="20" spans="1:84" x14ac:dyDescent="0.35">
      <c r="A20" s="60" t="s">
        <v>10</v>
      </c>
      <c r="B20" s="108"/>
      <c r="C20" s="108"/>
      <c r="D20" s="32" t="s">
        <v>28</v>
      </c>
      <c r="E20" s="33">
        <v>3</v>
      </c>
      <c r="F20" s="34">
        <v>3</v>
      </c>
      <c r="G20" s="34">
        <f t="shared" si="0"/>
        <v>0</v>
      </c>
      <c r="H20" s="32">
        <v>0</v>
      </c>
      <c r="I20" s="33">
        <v>0</v>
      </c>
      <c r="J20" s="34">
        <v>0</v>
      </c>
      <c r="K20" s="34">
        <f t="shared" si="35"/>
        <v>0</v>
      </c>
      <c r="L20" s="32">
        <v>0</v>
      </c>
      <c r="M20" s="33">
        <v>0</v>
      </c>
      <c r="N20" s="34">
        <v>0</v>
      </c>
      <c r="O20" s="34">
        <f t="shared" si="36"/>
        <v>0</v>
      </c>
      <c r="P20" s="32">
        <v>0</v>
      </c>
      <c r="Q20" s="33">
        <v>3</v>
      </c>
      <c r="R20" s="34">
        <v>3</v>
      </c>
      <c r="S20" s="34">
        <f t="shared" si="3"/>
        <v>0</v>
      </c>
      <c r="T20" s="32">
        <v>0</v>
      </c>
      <c r="U20" s="33">
        <v>0</v>
      </c>
      <c r="V20" s="34">
        <v>0</v>
      </c>
      <c r="W20" s="34">
        <f t="shared" si="37"/>
        <v>0</v>
      </c>
      <c r="X20" s="32">
        <v>0</v>
      </c>
      <c r="Y20" s="33">
        <v>2</v>
      </c>
      <c r="Z20" s="34">
        <v>2</v>
      </c>
      <c r="AA20" s="34">
        <f t="shared" si="40"/>
        <v>0</v>
      </c>
      <c r="AB20" s="32">
        <v>0</v>
      </c>
      <c r="AC20" s="33">
        <v>2</v>
      </c>
      <c r="AD20" s="34">
        <v>2</v>
      </c>
      <c r="AE20" s="34">
        <f t="shared" si="6"/>
        <v>0</v>
      </c>
      <c r="AF20" s="32">
        <v>0</v>
      </c>
      <c r="AG20" s="33">
        <v>2</v>
      </c>
      <c r="AH20" s="34">
        <v>0</v>
      </c>
      <c r="AI20" s="34">
        <f t="shared" si="7"/>
        <v>2</v>
      </c>
      <c r="AJ20" s="32">
        <v>0</v>
      </c>
      <c r="AK20" s="33">
        <v>0</v>
      </c>
      <c r="AL20" s="34">
        <v>0</v>
      </c>
      <c r="AM20" s="34">
        <f t="shared" si="8"/>
        <v>0</v>
      </c>
      <c r="AN20" s="32">
        <v>0</v>
      </c>
      <c r="AO20" s="33">
        <v>0</v>
      </c>
      <c r="AP20" s="34">
        <v>0</v>
      </c>
      <c r="AQ20" s="34">
        <f t="shared" si="9"/>
        <v>0</v>
      </c>
      <c r="AR20" s="32">
        <v>1</v>
      </c>
      <c r="AS20" s="33">
        <v>0</v>
      </c>
      <c r="AT20" s="34">
        <v>0</v>
      </c>
      <c r="AU20" s="34">
        <f t="shared" si="10"/>
        <v>0</v>
      </c>
      <c r="AV20" s="32">
        <v>0</v>
      </c>
      <c r="AW20" s="33">
        <v>0</v>
      </c>
      <c r="AX20" s="34">
        <v>0</v>
      </c>
      <c r="AY20" s="34">
        <f t="shared" si="11"/>
        <v>0</v>
      </c>
      <c r="AZ20" s="32">
        <v>0</v>
      </c>
      <c r="BA20" s="33">
        <v>2</v>
      </c>
      <c r="BB20" s="34">
        <v>2</v>
      </c>
      <c r="BC20" s="34">
        <f t="shared" si="12"/>
        <v>0</v>
      </c>
      <c r="BD20" s="32">
        <v>0</v>
      </c>
      <c r="BE20" s="33">
        <v>0</v>
      </c>
      <c r="BF20" s="34">
        <v>0</v>
      </c>
      <c r="BG20" s="34">
        <f t="shared" si="13"/>
        <v>0</v>
      </c>
      <c r="BH20" s="32">
        <v>0</v>
      </c>
      <c r="BI20" s="33">
        <v>1</v>
      </c>
      <c r="BJ20" s="34">
        <v>1</v>
      </c>
      <c r="BK20" s="34">
        <f t="shared" si="14"/>
        <v>0</v>
      </c>
      <c r="BL20" s="32">
        <v>0</v>
      </c>
      <c r="BM20" s="33">
        <v>0</v>
      </c>
      <c r="BN20" s="34">
        <v>0</v>
      </c>
      <c r="BO20" s="34">
        <f t="shared" si="15"/>
        <v>0</v>
      </c>
      <c r="BP20" s="32">
        <v>0</v>
      </c>
      <c r="BQ20" s="33">
        <v>2</v>
      </c>
      <c r="BR20" s="34">
        <v>1</v>
      </c>
      <c r="BS20" s="34">
        <f t="shared" si="16"/>
        <v>1</v>
      </c>
      <c r="BT20" s="32">
        <v>0</v>
      </c>
      <c r="BU20" s="33">
        <f t="shared" si="17"/>
        <v>14</v>
      </c>
      <c r="BV20" s="34">
        <f t="shared" si="18"/>
        <v>3</v>
      </c>
      <c r="BW20" s="34">
        <f t="shared" si="19"/>
        <v>1</v>
      </c>
      <c r="BX20" s="34">
        <f t="shared" si="20"/>
        <v>0.82352941176470584</v>
      </c>
      <c r="BY20" s="34">
        <f t="shared" si="21"/>
        <v>0.93333333333333335</v>
      </c>
      <c r="BZ20" s="32">
        <f t="shared" si="22"/>
        <v>0.87499999999999989</v>
      </c>
    </row>
    <row r="21" spans="1:84" x14ac:dyDescent="0.35">
      <c r="A21" s="61" t="s">
        <v>10</v>
      </c>
      <c r="B21" s="108"/>
      <c r="C21" s="108"/>
      <c r="D21" s="35" t="s">
        <v>29</v>
      </c>
      <c r="E21" s="36">
        <v>2</v>
      </c>
      <c r="F21" s="37">
        <v>2</v>
      </c>
      <c r="G21" s="37">
        <f t="shared" si="0"/>
        <v>0</v>
      </c>
      <c r="H21" s="35">
        <v>0</v>
      </c>
      <c r="I21" s="36">
        <v>0</v>
      </c>
      <c r="J21" s="37">
        <v>0</v>
      </c>
      <c r="K21" s="37">
        <f t="shared" si="35"/>
        <v>0</v>
      </c>
      <c r="L21" s="35">
        <v>0</v>
      </c>
      <c r="M21" s="36">
        <v>0</v>
      </c>
      <c r="N21" s="37">
        <v>0</v>
      </c>
      <c r="O21" s="37">
        <f t="shared" si="36"/>
        <v>0</v>
      </c>
      <c r="P21" s="35">
        <v>0</v>
      </c>
      <c r="Q21" s="36">
        <v>3</v>
      </c>
      <c r="R21" s="37">
        <v>3</v>
      </c>
      <c r="S21" s="37">
        <f t="shared" si="3"/>
        <v>0</v>
      </c>
      <c r="T21" s="35">
        <v>0</v>
      </c>
      <c r="U21" s="36">
        <v>0</v>
      </c>
      <c r="V21" s="37">
        <v>0</v>
      </c>
      <c r="W21" s="37">
        <f t="shared" si="37"/>
        <v>0</v>
      </c>
      <c r="X21" s="35">
        <v>0</v>
      </c>
      <c r="Y21" s="36">
        <v>1</v>
      </c>
      <c r="Z21" s="37">
        <v>1</v>
      </c>
      <c r="AA21" s="37">
        <f t="shared" si="40"/>
        <v>0</v>
      </c>
      <c r="AB21" s="35">
        <v>0</v>
      </c>
      <c r="AC21" s="36">
        <v>1</v>
      </c>
      <c r="AD21" s="37">
        <v>1</v>
      </c>
      <c r="AE21" s="37">
        <f t="shared" si="6"/>
        <v>0</v>
      </c>
      <c r="AF21" s="35">
        <v>0</v>
      </c>
      <c r="AG21" s="36">
        <v>1</v>
      </c>
      <c r="AH21" s="37">
        <v>0</v>
      </c>
      <c r="AI21" s="37">
        <f t="shared" si="7"/>
        <v>1</v>
      </c>
      <c r="AJ21" s="35">
        <v>0</v>
      </c>
      <c r="AK21" s="36">
        <v>0</v>
      </c>
      <c r="AL21" s="37">
        <v>0</v>
      </c>
      <c r="AM21" s="37">
        <f t="shared" si="8"/>
        <v>0</v>
      </c>
      <c r="AN21" s="35">
        <v>0</v>
      </c>
      <c r="AO21" s="36">
        <v>0</v>
      </c>
      <c r="AP21" s="37">
        <v>0</v>
      </c>
      <c r="AQ21" s="37">
        <f t="shared" si="9"/>
        <v>0</v>
      </c>
      <c r="AR21" s="35">
        <v>1</v>
      </c>
      <c r="AS21" s="36">
        <v>0</v>
      </c>
      <c r="AT21" s="37">
        <v>0</v>
      </c>
      <c r="AU21" s="37">
        <f t="shared" si="10"/>
        <v>0</v>
      </c>
      <c r="AV21" s="35">
        <v>0</v>
      </c>
      <c r="AW21" s="36">
        <v>0</v>
      </c>
      <c r="AX21" s="37">
        <v>0</v>
      </c>
      <c r="AY21" s="37">
        <f t="shared" si="11"/>
        <v>0</v>
      </c>
      <c r="AZ21" s="35">
        <v>0</v>
      </c>
      <c r="BA21" s="36">
        <v>1</v>
      </c>
      <c r="BB21" s="37">
        <v>1</v>
      </c>
      <c r="BC21" s="37">
        <f t="shared" si="12"/>
        <v>0</v>
      </c>
      <c r="BD21" s="35">
        <v>0</v>
      </c>
      <c r="BE21" s="36">
        <v>0</v>
      </c>
      <c r="BF21" s="37">
        <v>0</v>
      </c>
      <c r="BG21" s="37">
        <f t="shared" si="13"/>
        <v>0</v>
      </c>
      <c r="BH21" s="35">
        <v>0</v>
      </c>
      <c r="BI21" s="36">
        <v>0</v>
      </c>
      <c r="BJ21" s="37">
        <v>0</v>
      </c>
      <c r="BK21" s="37">
        <f t="shared" si="14"/>
        <v>0</v>
      </c>
      <c r="BL21" s="35">
        <v>0</v>
      </c>
      <c r="BM21" s="36">
        <v>0</v>
      </c>
      <c r="BN21" s="37">
        <v>0</v>
      </c>
      <c r="BO21" s="37">
        <f t="shared" si="15"/>
        <v>0</v>
      </c>
      <c r="BP21" s="35">
        <v>0</v>
      </c>
      <c r="BQ21" s="36">
        <v>1</v>
      </c>
      <c r="BR21" s="37">
        <v>0</v>
      </c>
      <c r="BS21" s="37">
        <f t="shared" si="16"/>
        <v>1</v>
      </c>
      <c r="BT21" s="35">
        <v>0</v>
      </c>
      <c r="BU21" s="36">
        <f t="shared" si="17"/>
        <v>8</v>
      </c>
      <c r="BV21" s="37">
        <f t="shared" si="18"/>
        <v>2</v>
      </c>
      <c r="BW21" s="37">
        <f t="shared" si="19"/>
        <v>1</v>
      </c>
      <c r="BX21" s="37">
        <f t="shared" si="20"/>
        <v>0.8</v>
      </c>
      <c r="BY21" s="37">
        <f t="shared" si="21"/>
        <v>0.88888888888888884</v>
      </c>
      <c r="BZ21" s="35">
        <f t="shared" si="22"/>
        <v>0.8421052631578948</v>
      </c>
    </row>
    <row r="22" spans="1:84" x14ac:dyDescent="0.35">
      <c r="A22" s="61" t="s">
        <v>10</v>
      </c>
      <c r="B22" s="108"/>
      <c r="C22" s="108"/>
      <c r="D22" s="35" t="s">
        <v>30</v>
      </c>
      <c r="E22" s="36">
        <v>2</v>
      </c>
      <c r="F22" s="37">
        <v>2</v>
      </c>
      <c r="G22" s="37">
        <f t="shared" si="0"/>
        <v>0</v>
      </c>
      <c r="H22" s="35">
        <v>0</v>
      </c>
      <c r="I22" s="36">
        <v>0</v>
      </c>
      <c r="J22" s="37">
        <v>0</v>
      </c>
      <c r="K22" s="37">
        <f t="shared" si="35"/>
        <v>0</v>
      </c>
      <c r="L22" s="35">
        <v>0</v>
      </c>
      <c r="M22" s="36">
        <v>0</v>
      </c>
      <c r="N22" s="37">
        <v>0</v>
      </c>
      <c r="O22" s="37">
        <f t="shared" si="36"/>
        <v>0</v>
      </c>
      <c r="P22" s="35">
        <v>0</v>
      </c>
      <c r="Q22" s="36">
        <v>3</v>
      </c>
      <c r="R22" s="37">
        <v>3</v>
      </c>
      <c r="S22" s="37">
        <f t="shared" si="3"/>
        <v>0</v>
      </c>
      <c r="T22" s="35">
        <v>0</v>
      </c>
      <c r="U22" s="36">
        <v>0</v>
      </c>
      <c r="V22" s="37">
        <v>0</v>
      </c>
      <c r="W22" s="37">
        <f t="shared" si="37"/>
        <v>0</v>
      </c>
      <c r="X22" s="35">
        <v>0</v>
      </c>
      <c r="Y22" s="36">
        <v>1</v>
      </c>
      <c r="Z22" s="37">
        <v>1</v>
      </c>
      <c r="AA22" s="37">
        <f t="shared" si="40"/>
        <v>0</v>
      </c>
      <c r="AB22" s="35">
        <v>0</v>
      </c>
      <c r="AC22" s="36">
        <v>1</v>
      </c>
      <c r="AD22" s="37">
        <v>1</v>
      </c>
      <c r="AE22" s="37">
        <f t="shared" si="6"/>
        <v>0</v>
      </c>
      <c r="AF22" s="35">
        <v>0</v>
      </c>
      <c r="AG22" s="36">
        <v>1</v>
      </c>
      <c r="AH22" s="37">
        <v>0</v>
      </c>
      <c r="AI22" s="37">
        <f t="shared" si="7"/>
        <v>1</v>
      </c>
      <c r="AJ22" s="35">
        <v>0</v>
      </c>
      <c r="AK22" s="36">
        <v>0</v>
      </c>
      <c r="AL22" s="37">
        <v>0</v>
      </c>
      <c r="AM22" s="37">
        <f t="shared" si="8"/>
        <v>0</v>
      </c>
      <c r="AN22" s="35">
        <v>0</v>
      </c>
      <c r="AO22" s="36">
        <v>0</v>
      </c>
      <c r="AP22" s="37">
        <v>0</v>
      </c>
      <c r="AQ22" s="37">
        <f t="shared" si="9"/>
        <v>0</v>
      </c>
      <c r="AR22" s="35">
        <v>1</v>
      </c>
      <c r="AS22" s="36">
        <v>0</v>
      </c>
      <c r="AT22" s="37">
        <v>0</v>
      </c>
      <c r="AU22" s="37">
        <f t="shared" si="10"/>
        <v>0</v>
      </c>
      <c r="AV22" s="35">
        <v>0</v>
      </c>
      <c r="AW22" s="36">
        <v>0</v>
      </c>
      <c r="AX22" s="37">
        <v>0</v>
      </c>
      <c r="AY22" s="37">
        <f t="shared" si="11"/>
        <v>0</v>
      </c>
      <c r="AZ22" s="35">
        <v>0</v>
      </c>
      <c r="BA22" s="36">
        <v>1</v>
      </c>
      <c r="BB22" s="37">
        <v>1</v>
      </c>
      <c r="BC22" s="37">
        <f t="shared" si="12"/>
        <v>0</v>
      </c>
      <c r="BD22" s="35">
        <v>0</v>
      </c>
      <c r="BE22" s="36">
        <v>0</v>
      </c>
      <c r="BF22" s="37">
        <v>0</v>
      </c>
      <c r="BG22" s="37">
        <f t="shared" si="13"/>
        <v>0</v>
      </c>
      <c r="BH22" s="35">
        <v>0</v>
      </c>
      <c r="BI22" s="36">
        <v>0</v>
      </c>
      <c r="BJ22" s="37">
        <v>0</v>
      </c>
      <c r="BK22" s="37">
        <f t="shared" si="14"/>
        <v>0</v>
      </c>
      <c r="BL22" s="35">
        <v>0</v>
      </c>
      <c r="BM22" s="36">
        <v>0</v>
      </c>
      <c r="BN22" s="37">
        <v>0</v>
      </c>
      <c r="BO22" s="37">
        <f t="shared" si="15"/>
        <v>0</v>
      </c>
      <c r="BP22" s="35">
        <v>0</v>
      </c>
      <c r="BQ22" s="36">
        <v>1</v>
      </c>
      <c r="BR22" s="37">
        <v>0</v>
      </c>
      <c r="BS22" s="37">
        <f t="shared" si="16"/>
        <v>1</v>
      </c>
      <c r="BT22" s="35">
        <v>0</v>
      </c>
      <c r="BU22" s="36">
        <f t="shared" si="17"/>
        <v>8</v>
      </c>
      <c r="BV22" s="37">
        <f t="shared" si="18"/>
        <v>2</v>
      </c>
      <c r="BW22" s="37">
        <f t="shared" si="19"/>
        <v>1</v>
      </c>
      <c r="BX22" s="37">
        <f t="shared" si="20"/>
        <v>0.8</v>
      </c>
      <c r="BY22" s="37">
        <f t="shared" si="21"/>
        <v>0.88888888888888884</v>
      </c>
      <c r="BZ22" s="35">
        <f t="shared" si="22"/>
        <v>0.8421052631578948</v>
      </c>
    </row>
    <row r="23" spans="1:84" x14ac:dyDescent="0.35">
      <c r="A23" s="62" t="s">
        <v>10</v>
      </c>
      <c r="B23" s="108"/>
      <c r="C23" s="108"/>
      <c r="D23" s="38" t="s">
        <v>31</v>
      </c>
      <c r="E23" s="39">
        <v>4</v>
      </c>
      <c r="F23" s="40">
        <v>4</v>
      </c>
      <c r="G23" s="40">
        <f t="shared" si="0"/>
        <v>0</v>
      </c>
      <c r="H23" s="38">
        <v>0</v>
      </c>
      <c r="I23" s="39">
        <v>0</v>
      </c>
      <c r="J23" s="40">
        <v>0</v>
      </c>
      <c r="K23" s="40">
        <f t="shared" si="35"/>
        <v>0</v>
      </c>
      <c r="L23" s="38">
        <v>0</v>
      </c>
      <c r="M23" s="39">
        <v>0</v>
      </c>
      <c r="N23" s="40">
        <v>0</v>
      </c>
      <c r="O23" s="40">
        <f t="shared" si="36"/>
        <v>0</v>
      </c>
      <c r="P23" s="38">
        <v>0</v>
      </c>
      <c r="Q23" s="39">
        <v>0</v>
      </c>
      <c r="R23" s="40">
        <v>0</v>
      </c>
      <c r="S23" s="40">
        <f t="shared" si="3"/>
        <v>0</v>
      </c>
      <c r="T23" s="38">
        <v>2</v>
      </c>
      <c r="U23" s="39">
        <v>0</v>
      </c>
      <c r="V23" s="40">
        <v>0</v>
      </c>
      <c r="W23" s="40">
        <f t="shared" si="37"/>
        <v>0</v>
      </c>
      <c r="X23" s="38">
        <v>2</v>
      </c>
      <c r="Y23" s="39">
        <v>4</v>
      </c>
      <c r="Z23" s="40">
        <v>2</v>
      </c>
      <c r="AA23" s="40">
        <f t="shared" si="40"/>
        <v>2</v>
      </c>
      <c r="AB23" s="38">
        <v>0</v>
      </c>
      <c r="AC23" s="39">
        <v>1</v>
      </c>
      <c r="AD23" s="40">
        <v>0</v>
      </c>
      <c r="AE23" s="40">
        <f t="shared" si="6"/>
        <v>1</v>
      </c>
      <c r="AF23" s="38">
        <v>0</v>
      </c>
      <c r="AG23" s="39">
        <v>2</v>
      </c>
      <c r="AH23" s="40">
        <v>0</v>
      </c>
      <c r="AI23" s="40">
        <f t="shared" si="7"/>
        <v>2</v>
      </c>
      <c r="AJ23" s="38">
        <v>2</v>
      </c>
      <c r="AK23" s="39">
        <v>1</v>
      </c>
      <c r="AL23" s="40">
        <v>1</v>
      </c>
      <c r="AM23" s="40">
        <f t="shared" si="8"/>
        <v>0</v>
      </c>
      <c r="AN23" s="38">
        <v>0</v>
      </c>
      <c r="AO23" s="39">
        <v>1</v>
      </c>
      <c r="AP23" s="40">
        <v>1</v>
      </c>
      <c r="AQ23" s="40">
        <f t="shared" si="9"/>
        <v>0</v>
      </c>
      <c r="AR23" s="38">
        <v>0</v>
      </c>
      <c r="AS23" s="39">
        <v>0</v>
      </c>
      <c r="AT23" s="40">
        <v>0</v>
      </c>
      <c r="AU23" s="40">
        <f t="shared" si="10"/>
        <v>0</v>
      </c>
      <c r="AV23" s="38">
        <v>1</v>
      </c>
      <c r="AW23" s="39">
        <v>0</v>
      </c>
      <c r="AX23" s="40">
        <v>0</v>
      </c>
      <c r="AY23" s="40">
        <f t="shared" si="11"/>
        <v>0</v>
      </c>
      <c r="AZ23" s="38">
        <v>0</v>
      </c>
      <c r="BA23" s="39">
        <v>3</v>
      </c>
      <c r="BB23" s="40">
        <v>3</v>
      </c>
      <c r="BC23" s="40">
        <f t="shared" si="12"/>
        <v>0</v>
      </c>
      <c r="BD23" s="38">
        <v>0</v>
      </c>
      <c r="BE23" s="39">
        <v>0</v>
      </c>
      <c r="BF23" s="40">
        <v>0</v>
      </c>
      <c r="BG23" s="40">
        <f t="shared" si="13"/>
        <v>0</v>
      </c>
      <c r="BH23" s="38">
        <v>0</v>
      </c>
      <c r="BI23" s="39">
        <v>1</v>
      </c>
      <c r="BJ23" s="40">
        <v>0</v>
      </c>
      <c r="BK23" s="40">
        <f t="shared" si="14"/>
        <v>1</v>
      </c>
      <c r="BL23" s="38">
        <v>0</v>
      </c>
      <c r="BM23" s="39">
        <v>0</v>
      </c>
      <c r="BN23" s="40">
        <v>0</v>
      </c>
      <c r="BO23" s="40">
        <f t="shared" si="15"/>
        <v>0</v>
      </c>
      <c r="BP23" s="38">
        <v>0</v>
      </c>
      <c r="BQ23" s="39">
        <v>1</v>
      </c>
      <c r="BR23" s="40">
        <v>0</v>
      </c>
      <c r="BS23" s="40">
        <f t="shared" si="16"/>
        <v>1</v>
      </c>
      <c r="BT23" s="38">
        <v>0</v>
      </c>
      <c r="BU23" s="39">
        <f t="shared" si="17"/>
        <v>11</v>
      </c>
      <c r="BV23" s="40">
        <f t="shared" si="18"/>
        <v>7</v>
      </c>
      <c r="BW23" s="40">
        <f t="shared" si="19"/>
        <v>7</v>
      </c>
      <c r="BX23" s="40">
        <f t="shared" si="20"/>
        <v>0.61111111111111116</v>
      </c>
      <c r="BY23" s="40">
        <f t="shared" si="21"/>
        <v>0.61111111111111116</v>
      </c>
      <c r="BZ23" s="38">
        <f t="shared" si="22"/>
        <v>0.61111111111111116</v>
      </c>
    </row>
    <row r="24" spans="1:84" x14ac:dyDescent="0.35">
      <c r="A24" s="62" t="s">
        <v>10</v>
      </c>
      <c r="B24" s="108"/>
      <c r="C24" s="108"/>
      <c r="D24" s="38" t="s">
        <v>32</v>
      </c>
      <c r="E24" s="39">
        <v>4</v>
      </c>
      <c r="F24" s="40">
        <v>4</v>
      </c>
      <c r="G24" s="40">
        <f t="shared" si="0"/>
        <v>0</v>
      </c>
      <c r="H24" s="38">
        <v>0</v>
      </c>
      <c r="I24" s="39">
        <v>0</v>
      </c>
      <c r="J24" s="40">
        <v>0</v>
      </c>
      <c r="K24" s="40">
        <v>0</v>
      </c>
      <c r="L24" s="38">
        <v>0</v>
      </c>
      <c r="M24" s="39">
        <v>0</v>
      </c>
      <c r="N24" s="40">
        <v>0</v>
      </c>
      <c r="O24" s="40">
        <f t="shared" si="36"/>
        <v>0</v>
      </c>
      <c r="P24" s="38">
        <v>0</v>
      </c>
      <c r="Q24" s="39">
        <v>0</v>
      </c>
      <c r="R24" s="40">
        <v>0</v>
      </c>
      <c r="S24" s="40">
        <f t="shared" si="3"/>
        <v>0</v>
      </c>
      <c r="T24" s="38">
        <v>0</v>
      </c>
      <c r="U24" s="39">
        <v>0</v>
      </c>
      <c r="V24" s="40">
        <v>0</v>
      </c>
      <c r="W24" s="40">
        <f t="shared" si="37"/>
        <v>0</v>
      </c>
      <c r="X24" s="38">
        <v>0</v>
      </c>
      <c r="Y24" s="39">
        <v>4</v>
      </c>
      <c r="Z24" s="40">
        <v>3</v>
      </c>
      <c r="AA24" s="40">
        <f t="shared" si="40"/>
        <v>1</v>
      </c>
      <c r="AB24" s="38">
        <v>1</v>
      </c>
      <c r="AC24" s="39">
        <v>1</v>
      </c>
      <c r="AD24" s="40">
        <v>0</v>
      </c>
      <c r="AE24" s="40">
        <f t="shared" si="6"/>
        <v>1</v>
      </c>
      <c r="AF24" s="38">
        <v>0</v>
      </c>
      <c r="AG24" s="39">
        <v>2</v>
      </c>
      <c r="AH24" s="40">
        <v>2</v>
      </c>
      <c r="AI24" s="40">
        <f t="shared" si="7"/>
        <v>0</v>
      </c>
      <c r="AJ24" s="38">
        <v>2</v>
      </c>
      <c r="AK24" s="39">
        <v>1</v>
      </c>
      <c r="AL24" s="40">
        <v>1</v>
      </c>
      <c r="AM24" s="40">
        <f t="shared" si="8"/>
        <v>0</v>
      </c>
      <c r="AN24" s="38">
        <v>0</v>
      </c>
      <c r="AO24" s="39">
        <v>1</v>
      </c>
      <c r="AP24" s="40">
        <v>1</v>
      </c>
      <c r="AQ24" s="40">
        <f t="shared" si="9"/>
        <v>0</v>
      </c>
      <c r="AR24" s="38">
        <v>0</v>
      </c>
      <c r="AS24" s="39">
        <v>0</v>
      </c>
      <c r="AT24" s="40">
        <v>0</v>
      </c>
      <c r="AU24" s="40">
        <f t="shared" si="10"/>
        <v>0</v>
      </c>
      <c r="AV24" s="38">
        <v>1</v>
      </c>
      <c r="AW24" s="39">
        <v>0</v>
      </c>
      <c r="AX24" s="40">
        <v>0</v>
      </c>
      <c r="AY24" s="40">
        <f t="shared" si="11"/>
        <v>0</v>
      </c>
      <c r="AZ24" s="38">
        <v>0</v>
      </c>
      <c r="BA24" s="39">
        <v>3</v>
      </c>
      <c r="BB24" s="40">
        <v>3</v>
      </c>
      <c r="BC24" s="40">
        <f t="shared" si="12"/>
        <v>0</v>
      </c>
      <c r="BD24" s="38">
        <v>0</v>
      </c>
      <c r="BE24" s="39">
        <v>0</v>
      </c>
      <c r="BF24" s="40">
        <v>0</v>
      </c>
      <c r="BG24" s="40">
        <f t="shared" si="13"/>
        <v>0</v>
      </c>
      <c r="BH24" s="38">
        <v>0</v>
      </c>
      <c r="BI24" s="39">
        <v>1</v>
      </c>
      <c r="BJ24" s="40">
        <v>1</v>
      </c>
      <c r="BK24" s="40">
        <f t="shared" si="14"/>
        <v>0</v>
      </c>
      <c r="BL24" s="38">
        <v>0</v>
      </c>
      <c r="BM24" s="39">
        <v>0</v>
      </c>
      <c r="BN24" s="40">
        <v>0</v>
      </c>
      <c r="BO24" s="40">
        <f t="shared" si="15"/>
        <v>0</v>
      </c>
      <c r="BP24" s="38">
        <v>0</v>
      </c>
      <c r="BQ24" s="39">
        <v>1</v>
      </c>
      <c r="BR24" s="40">
        <v>0</v>
      </c>
      <c r="BS24" s="40">
        <f t="shared" si="16"/>
        <v>1</v>
      </c>
      <c r="BT24" s="38">
        <v>0</v>
      </c>
      <c r="BU24" s="39">
        <f t="shared" si="17"/>
        <v>15</v>
      </c>
      <c r="BV24" s="40">
        <f t="shared" si="18"/>
        <v>3</v>
      </c>
      <c r="BW24" s="40">
        <f t="shared" si="19"/>
        <v>4</v>
      </c>
      <c r="BX24" s="40">
        <f t="shared" si="20"/>
        <v>0.83333333333333337</v>
      </c>
      <c r="BY24" s="40">
        <f t="shared" si="21"/>
        <v>0.78947368421052633</v>
      </c>
      <c r="BZ24" s="38">
        <f t="shared" si="22"/>
        <v>0.81081081081081086</v>
      </c>
    </row>
    <row r="25" spans="1:84" ht="15" customHeight="1" x14ac:dyDescent="0.35">
      <c r="A25" s="63" t="s">
        <v>10</v>
      </c>
      <c r="B25" s="108"/>
      <c r="C25" s="108"/>
      <c r="D25" s="41" t="s">
        <v>33</v>
      </c>
      <c r="E25" s="42">
        <v>1</v>
      </c>
      <c r="F25" s="43">
        <v>1</v>
      </c>
      <c r="G25" s="43">
        <f t="shared" si="0"/>
        <v>0</v>
      </c>
      <c r="H25" s="41">
        <v>0</v>
      </c>
      <c r="I25" s="42">
        <v>0</v>
      </c>
      <c r="J25" s="43">
        <v>0</v>
      </c>
      <c r="K25" s="43">
        <f t="shared" ref="K25:K30" si="42">I25-J25</f>
        <v>0</v>
      </c>
      <c r="L25" s="41">
        <v>0</v>
      </c>
      <c r="M25" s="42">
        <v>0</v>
      </c>
      <c r="N25" s="43">
        <v>0</v>
      </c>
      <c r="O25" s="43">
        <f t="shared" si="36"/>
        <v>0</v>
      </c>
      <c r="P25" s="41">
        <v>0</v>
      </c>
      <c r="Q25" s="42">
        <v>0</v>
      </c>
      <c r="R25" s="43">
        <v>0</v>
      </c>
      <c r="S25" s="43">
        <f t="shared" si="3"/>
        <v>0</v>
      </c>
      <c r="T25" s="41">
        <v>0</v>
      </c>
      <c r="U25" s="42">
        <v>0</v>
      </c>
      <c r="V25" s="43">
        <v>0</v>
      </c>
      <c r="W25" s="43">
        <f t="shared" si="37"/>
        <v>0</v>
      </c>
      <c r="X25" s="41">
        <v>0</v>
      </c>
      <c r="Y25" s="42">
        <v>2</v>
      </c>
      <c r="Z25" s="43">
        <v>2</v>
      </c>
      <c r="AA25" s="43">
        <f t="shared" si="40"/>
        <v>0</v>
      </c>
      <c r="AB25" s="41">
        <v>0</v>
      </c>
      <c r="AC25" s="42">
        <v>0</v>
      </c>
      <c r="AD25" s="43">
        <v>0</v>
      </c>
      <c r="AE25" s="43">
        <f t="shared" si="6"/>
        <v>0</v>
      </c>
      <c r="AF25" s="41">
        <v>0</v>
      </c>
      <c r="AG25" s="42">
        <v>2</v>
      </c>
      <c r="AH25" s="43">
        <v>2</v>
      </c>
      <c r="AI25" s="43">
        <f t="shared" si="7"/>
        <v>0</v>
      </c>
      <c r="AJ25" s="41">
        <v>0</v>
      </c>
      <c r="AK25" s="42">
        <v>0</v>
      </c>
      <c r="AL25" s="43">
        <v>0</v>
      </c>
      <c r="AM25" s="43">
        <f t="shared" si="8"/>
        <v>0</v>
      </c>
      <c r="AN25" s="41">
        <v>0</v>
      </c>
      <c r="AO25" s="42">
        <v>0</v>
      </c>
      <c r="AP25" s="43">
        <v>0</v>
      </c>
      <c r="AQ25" s="43">
        <f t="shared" si="9"/>
        <v>0</v>
      </c>
      <c r="AR25" s="41">
        <v>0</v>
      </c>
      <c r="AS25" s="42">
        <v>0</v>
      </c>
      <c r="AT25" s="43">
        <v>0</v>
      </c>
      <c r="AU25" s="43">
        <f t="shared" si="10"/>
        <v>0</v>
      </c>
      <c r="AV25" s="41">
        <v>0</v>
      </c>
      <c r="AW25" s="42">
        <v>0</v>
      </c>
      <c r="AX25" s="43">
        <v>0</v>
      </c>
      <c r="AY25" s="43">
        <f t="shared" si="11"/>
        <v>0</v>
      </c>
      <c r="AZ25" s="41">
        <v>0</v>
      </c>
      <c r="BA25" s="42">
        <v>0</v>
      </c>
      <c r="BB25" s="43">
        <v>0</v>
      </c>
      <c r="BC25" s="43">
        <f t="shared" si="12"/>
        <v>0</v>
      </c>
      <c r="BD25" s="41">
        <v>0</v>
      </c>
      <c r="BE25" s="42">
        <v>2</v>
      </c>
      <c r="BF25" s="43">
        <v>1</v>
      </c>
      <c r="BG25" s="43">
        <f t="shared" si="13"/>
        <v>1</v>
      </c>
      <c r="BH25" s="41">
        <v>0</v>
      </c>
      <c r="BI25" s="42">
        <v>0</v>
      </c>
      <c r="BJ25" s="43">
        <v>0</v>
      </c>
      <c r="BK25" s="43">
        <f t="shared" si="14"/>
        <v>0</v>
      </c>
      <c r="BL25" s="41">
        <v>0</v>
      </c>
      <c r="BM25" s="42">
        <v>0</v>
      </c>
      <c r="BN25" s="43">
        <v>0</v>
      </c>
      <c r="BO25" s="43">
        <f t="shared" si="15"/>
        <v>0</v>
      </c>
      <c r="BP25" s="41">
        <v>0</v>
      </c>
      <c r="BQ25" s="42">
        <v>0</v>
      </c>
      <c r="BR25" s="43">
        <v>0</v>
      </c>
      <c r="BS25" s="43">
        <f t="shared" si="16"/>
        <v>0</v>
      </c>
      <c r="BT25" s="41">
        <v>0</v>
      </c>
      <c r="BU25" s="42">
        <f t="shared" si="17"/>
        <v>6</v>
      </c>
      <c r="BV25" s="43">
        <f t="shared" si="18"/>
        <v>1</v>
      </c>
      <c r="BW25" s="43">
        <f t="shared" si="19"/>
        <v>0</v>
      </c>
      <c r="BX25" s="43">
        <f t="shared" si="20"/>
        <v>0.8571428571428571</v>
      </c>
      <c r="BY25" s="43">
        <f t="shared" si="21"/>
        <v>1</v>
      </c>
      <c r="BZ25" s="41">
        <f t="shared" si="22"/>
        <v>0.92307692307692302</v>
      </c>
    </row>
    <row r="26" spans="1:84" x14ac:dyDescent="0.35">
      <c r="A26" s="63" t="s">
        <v>10</v>
      </c>
      <c r="B26" s="108"/>
      <c r="C26" s="108"/>
      <c r="D26" s="41" t="s">
        <v>34</v>
      </c>
      <c r="E26" s="42">
        <v>1</v>
      </c>
      <c r="F26" s="43">
        <v>1</v>
      </c>
      <c r="G26" s="43">
        <f t="shared" si="0"/>
        <v>0</v>
      </c>
      <c r="H26" s="41">
        <v>0</v>
      </c>
      <c r="I26" s="42">
        <v>0</v>
      </c>
      <c r="J26" s="43">
        <v>0</v>
      </c>
      <c r="K26" s="43">
        <f t="shared" si="42"/>
        <v>0</v>
      </c>
      <c r="L26" s="41">
        <v>0</v>
      </c>
      <c r="M26" s="42">
        <v>0</v>
      </c>
      <c r="N26" s="43">
        <v>0</v>
      </c>
      <c r="O26" s="43">
        <f t="shared" si="36"/>
        <v>0</v>
      </c>
      <c r="P26" s="41">
        <v>0</v>
      </c>
      <c r="Q26" s="42">
        <v>0</v>
      </c>
      <c r="R26" s="43">
        <v>0</v>
      </c>
      <c r="S26" s="43">
        <f t="shared" si="3"/>
        <v>0</v>
      </c>
      <c r="T26" s="41">
        <v>0</v>
      </c>
      <c r="U26" s="42">
        <v>0</v>
      </c>
      <c r="V26" s="43">
        <v>0</v>
      </c>
      <c r="W26" s="43">
        <f t="shared" si="37"/>
        <v>0</v>
      </c>
      <c r="X26" s="41">
        <v>0</v>
      </c>
      <c r="Y26" s="42">
        <v>2</v>
      </c>
      <c r="Z26" s="43">
        <v>2</v>
      </c>
      <c r="AA26" s="43">
        <f t="shared" si="40"/>
        <v>0</v>
      </c>
      <c r="AB26" s="41">
        <v>0</v>
      </c>
      <c r="AC26" s="42">
        <v>0</v>
      </c>
      <c r="AD26" s="43">
        <v>0</v>
      </c>
      <c r="AE26" s="43">
        <f t="shared" si="6"/>
        <v>0</v>
      </c>
      <c r="AF26" s="41">
        <v>0</v>
      </c>
      <c r="AG26" s="42">
        <v>2</v>
      </c>
      <c r="AH26" s="43">
        <v>2</v>
      </c>
      <c r="AI26" s="43">
        <f t="shared" si="7"/>
        <v>0</v>
      </c>
      <c r="AJ26" s="41">
        <v>0</v>
      </c>
      <c r="AK26" s="42">
        <v>0</v>
      </c>
      <c r="AL26" s="43">
        <v>0</v>
      </c>
      <c r="AM26" s="43">
        <f t="shared" si="8"/>
        <v>0</v>
      </c>
      <c r="AN26" s="41">
        <v>0</v>
      </c>
      <c r="AO26" s="42">
        <v>0</v>
      </c>
      <c r="AP26" s="43">
        <v>0</v>
      </c>
      <c r="AQ26" s="43">
        <f t="shared" si="9"/>
        <v>0</v>
      </c>
      <c r="AR26" s="41">
        <v>0</v>
      </c>
      <c r="AS26" s="42">
        <v>0</v>
      </c>
      <c r="AT26" s="43">
        <v>0</v>
      </c>
      <c r="AU26" s="43">
        <f t="shared" si="10"/>
        <v>0</v>
      </c>
      <c r="AV26" s="41">
        <v>0</v>
      </c>
      <c r="AW26" s="42">
        <v>0</v>
      </c>
      <c r="AX26" s="43">
        <v>0</v>
      </c>
      <c r="AY26" s="43">
        <f t="shared" si="11"/>
        <v>0</v>
      </c>
      <c r="AZ26" s="41">
        <v>0</v>
      </c>
      <c r="BA26" s="42">
        <v>0</v>
      </c>
      <c r="BB26" s="43">
        <v>0</v>
      </c>
      <c r="BC26" s="43">
        <f t="shared" si="12"/>
        <v>0</v>
      </c>
      <c r="BD26" s="41">
        <v>0</v>
      </c>
      <c r="BE26" s="42">
        <v>2</v>
      </c>
      <c r="BF26" s="43">
        <v>1</v>
      </c>
      <c r="BG26" s="43">
        <f t="shared" si="13"/>
        <v>1</v>
      </c>
      <c r="BH26" s="41">
        <v>0</v>
      </c>
      <c r="BI26" s="42">
        <v>0</v>
      </c>
      <c r="BJ26" s="43">
        <v>0</v>
      </c>
      <c r="BK26" s="43">
        <f t="shared" si="14"/>
        <v>0</v>
      </c>
      <c r="BL26" s="41">
        <v>0</v>
      </c>
      <c r="BM26" s="42">
        <v>0</v>
      </c>
      <c r="BN26" s="43">
        <v>0</v>
      </c>
      <c r="BO26" s="43">
        <f t="shared" si="15"/>
        <v>0</v>
      </c>
      <c r="BP26" s="41">
        <v>0</v>
      </c>
      <c r="BQ26" s="42">
        <v>0</v>
      </c>
      <c r="BR26" s="43">
        <v>0</v>
      </c>
      <c r="BS26" s="43">
        <f t="shared" si="16"/>
        <v>0</v>
      </c>
      <c r="BT26" s="41">
        <v>0</v>
      </c>
      <c r="BU26" s="42">
        <f t="shared" si="17"/>
        <v>6</v>
      </c>
      <c r="BV26" s="43">
        <f t="shared" si="18"/>
        <v>1</v>
      </c>
      <c r="BW26" s="43">
        <f t="shared" si="19"/>
        <v>0</v>
      </c>
      <c r="BX26" s="43">
        <f t="shared" si="20"/>
        <v>0.8571428571428571</v>
      </c>
      <c r="BY26" s="43">
        <f t="shared" si="21"/>
        <v>1</v>
      </c>
      <c r="BZ26" s="41">
        <f t="shared" si="22"/>
        <v>0.92307692307692302</v>
      </c>
    </row>
    <row r="27" spans="1:84" x14ac:dyDescent="0.35">
      <c r="A27" s="47" t="s">
        <v>10</v>
      </c>
      <c r="B27" s="108"/>
      <c r="C27" s="108"/>
      <c r="D27" s="44" t="s">
        <v>35</v>
      </c>
      <c r="E27" s="45">
        <v>2</v>
      </c>
      <c r="F27" s="46">
        <v>2</v>
      </c>
      <c r="G27" s="46">
        <f t="shared" si="0"/>
        <v>0</v>
      </c>
      <c r="H27" s="44">
        <v>0</v>
      </c>
      <c r="I27" s="45">
        <v>2</v>
      </c>
      <c r="J27" s="46">
        <v>0</v>
      </c>
      <c r="K27" s="46">
        <f t="shared" si="42"/>
        <v>2</v>
      </c>
      <c r="L27" s="44">
        <v>0</v>
      </c>
      <c r="M27" s="45">
        <v>2</v>
      </c>
      <c r="N27" s="46">
        <v>0</v>
      </c>
      <c r="O27" s="46">
        <f t="shared" si="36"/>
        <v>2</v>
      </c>
      <c r="P27" s="44">
        <v>0</v>
      </c>
      <c r="Q27" s="45">
        <v>2</v>
      </c>
      <c r="R27" s="46">
        <v>2</v>
      </c>
      <c r="S27" s="46">
        <f t="shared" si="3"/>
        <v>0</v>
      </c>
      <c r="T27" s="44">
        <v>0</v>
      </c>
      <c r="U27" s="45">
        <v>2</v>
      </c>
      <c r="V27" s="46">
        <v>2</v>
      </c>
      <c r="W27" s="46">
        <f t="shared" si="37"/>
        <v>0</v>
      </c>
      <c r="X27" s="44">
        <v>0</v>
      </c>
      <c r="Y27" s="45">
        <v>1</v>
      </c>
      <c r="Z27" s="46">
        <v>1</v>
      </c>
      <c r="AA27" s="46">
        <f t="shared" si="40"/>
        <v>0</v>
      </c>
      <c r="AB27" s="44">
        <v>0</v>
      </c>
      <c r="AC27" s="45">
        <v>0</v>
      </c>
      <c r="AD27" s="46">
        <v>0</v>
      </c>
      <c r="AE27" s="46">
        <f t="shared" si="6"/>
        <v>0</v>
      </c>
      <c r="AF27" s="44">
        <v>0</v>
      </c>
      <c r="AG27" s="45">
        <v>3</v>
      </c>
      <c r="AH27" s="46">
        <v>1</v>
      </c>
      <c r="AI27" s="46">
        <f t="shared" si="7"/>
        <v>2</v>
      </c>
      <c r="AJ27" s="44">
        <v>0</v>
      </c>
      <c r="AK27" s="45">
        <v>0</v>
      </c>
      <c r="AL27" s="46">
        <v>0</v>
      </c>
      <c r="AM27" s="46">
        <f t="shared" si="8"/>
        <v>0</v>
      </c>
      <c r="AN27" s="44">
        <v>0</v>
      </c>
      <c r="AO27" s="45">
        <v>0</v>
      </c>
      <c r="AP27" s="46">
        <v>0</v>
      </c>
      <c r="AQ27" s="46">
        <f t="shared" si="9"/>
        <v>0</v>
      </c>
      <c r="AR27" s="44">
        <v>0</v>
      </c>
      <c r="AS27" s="45">
        <v>0</v>
      </c>
      <c r="AT27" s="46">
        <v>0</v>
      </c>
      <c r="AU27" s="46">
        <f t="shared" si="10"/>
        <v>0</v>
      </c>
      <c r="AV27" s="44">
        <v>0</v>
      </c>
      <c r="AW27" s="45">
        <v>1</v>
      </c>
      <c r="AX27" s="46">
        <v>0</v>
      </c>
      <c r="AY27" s="46">
        <f t="shared" si="11"/>
        <v>1</v>
      </c>
      <c r="AZ27" s="44">
        <v>1</v>
      </c>
      <c r="BA27" s="45">
        <v>1</v>
      </c>
      <c r="BB27" s="46">
        <v>0</v>
      </c>
      <c r="BC27" s="46">
        <f t="shared" si="12"/>
        <v>1</v>
      </c>
      <c r="BD27" s="44">
        <v>1</v>
      </c>
      <c r="BE27" s="45">
        <v>0</v>
      </c>
      <c r="BF27" s="46">
        <v>0</v>
      </c>
      <c r="BG27" s="46">
        <f t="shared" si="13"/>
        <v>0</v>
      </c>
      <c r="BH27" s="44">
        <v>0</v>
      </c>
      <c r="BI27" s="45">
        <v>0</v>
      </c>
      <c r="BJ27" s="46">
        <v>0</v>
      </c>
      <c r="BK27" s="46">
        <f t="shared" si="14"/>
        <v>0</v>
      </c>
      <c r="BL27" s="44">
        <v>0</v>
      </c>
      <c r="BM27" s="45">
        <v>1</v>
      </c>
      <c r="BN27" s="46">
        <v>0</v>
      </c>
      <c r="BO27" s="46">
        <f t="shared" si="15"/>
        <v>1</v>
      </c>
      <c r="BP27" s="44">
        <v>1</v>
      </c>
      <c r="BQ27" s="45">
        <v>0</v>
      </c>
      <c r="BR27" s="46">
        <v>0</v>
      </c>
      <c r="BS27" s="46">
        <f t="shared" si="16"/>
        <v>0</v>
      </c>
      <c r="BT27" s="44">
        <v>0</v>
      </c>
      <c r="BU27" s="45">
        <f t="shared" si="17"/>
        <v>8</v>
      </c>
      <c r="BV27" s="46">
        <f t="shared" si="18"/>
        <v>9</v>
      </c>
      <c r="BW27" s="46">
        <f t="shared" si="19"/>
        <v>3</v>
      </c>
      <c r="BX27" s="46">
        <f t="shared" si="20"/>
        <v>0.47058823529411764</v>
      </c>
      <c r="BY27" s="46">
        <f t="shared" si="21"/>
        <v>0.72727272727272729</v>
      </c>
      <c r="BZ27" s="44">
        <f t="shared" si="22"/>
        <v>0.5714285714285714</v>
      </c>
    </row>
    <row r="28" spans="1:84" x14ac:dyDescent="0.35">
      <c r="A28" s="47" t="s">
        <v>10</v>
      </c>
      <c r="B28" s="108"/>
      <c r="C28" s="108"/>
      <c r="D28" s="44" t="s">
        <v>36</v>
      </c>
      <c r="E28" s="45">
        <v>2</v>
      </c>
      <c r="F28" s="46">
        <v>2</v>
      </c>
      <c r="G28" s="46">
        <f t="shared" si="0"/>
        <v>0</v>
      </c>
      <c r="H28" s="44">
        <v>0</v>
      </c>
      <c r="I28" s="45">
        <v>2</v>
      </c>
      <c r="J28" s="46">
        <v>0</v>
      </c>
      <c r="K28" s="46">
        <f t="shared" si="42"/>
        <v>2</v>
      </c>
      <c r="L28" s="44">
        <v>0</v>
      </c>
      <c r="M28" s="45">
        <v>2</v>
      </c>
      <c r="N28" s="46">
        <v>0</v>
      </c>
      <c r="O28" s="46">
        <f t="shared" si="36"/>
        <v>2</v>
      </c>
      <c r="P28" s="44">
        <v>0</v>
      </c>
      <c r="Q28" s="45">
        <v>2</v>
      </c>
      <c r="R28" s="46">
        <v>2</v>
      </c>
      <c r="S28" s="46">
        <f t="shared" si="3"/>
        <v>0</v>
      </c>
      <c r="T28" s="44">
        <v>0</v>
      </c>
      <c r="U28" s="45">
        <v>2</v>
      </c>
      <c r="V28" s="46">
        <v>2</v>
      </c>
      <c r="W28" s="46">
        <f t="shared" si="37"/>
        <v>0</v>
      </c>
      <c r="X28" s="44">
        <v>0</v>
      </c>
      <c r="Y28" s="45">
        <v>1</v>
      </c>
      <c r="Z28" s="46">
        <v>1</v>
      </c>
      <c r="AA28" s="46">
        <f t="shared" si="40"/>
        <v>0</v>
      </c>
      <c r="AB28" s="44">
        <v>0</v>
      </c>
      <c r="AC28" s="45">
        <v>0</v>
      </c>
      <c r="AD28" s="46">
        <v>0</v>
      </c>
      <c r="AE28" s="46">
        <f t="shared" si="6"/>
        <v>0</v>
      </c>
      <c r="AF28" s="44">
        <v>0</v>
      </c>
      <c r="AG28" s="45">
        <v>3</v>
      </c>
      <c r="AH28" s="46">
        <v>1</v>
      </c>
      <c r="AI28" s="46">
        <f t="shared" si="7"/>
        <v>2</v>
      </c>
      <c r="AJ28" s="44">
        <v>0</v>
      </c>
      <c r="AK28" s="45">
        <v>0</v>
      </c>
      <c r="AL28" s="46">
        <v>0</v>
      </c>
      <c r="AM28" s="46">
        <f t="shared" si="8"/>
        <v>0</v>
      </c>
      <c r="AN28" s="44">
        <v>0</v>
      </c>
      <c r="AO28" s="45">
        <v>0</v>
      </c>
      <c r="AP28" s="46">
        <v>0</v>
      </c>
      <c r="AQ28" s="46">
        <f t="shared" si="9"/>
        <v>0</v>
      </c>
      <c r="AR28" s="44">
        <v>0</v>
      </c>
      <c r="AS28" s="45">
        <v>0</v>
      </c>
      <c r="AT28" s="46">
        <v>0</v>
      </c>
      <c r="AU28" s="46">
        <f t="shared" si="10"/>
        <v>0</v>
      </c>
      <c r="AV28" s="44">
        <v>0</v>
      </c>
      <c r="AW28" s="45">
        <v>1</v>
      </c>
      <c r="AX28" s="46">
        <v>0</v>
      </c>
      <c r="AY28" s="46">
        <f t="shared" si="11"/>
        <v>1</v>
      </c>
      <c r="AZ28" s="44">
        <v>1</v>
      </c>
      <c r="BA28" s="45">
        <v>1</v>
      </c>
      <c r="BB28" s="46">
        <v>0</v>
      </c>
      <c r="BC28" s="46">
        <f t="shared" si="12"/>
        <v>1</v>
      </c>
      <c r="BD28" s="44">
        <v>1</v>
      </c>
      <c r="BE28" s="45">
        <v>0</v>
      </c>
      <c r="BF28" s="46">
        <v>0</v>
      </c>
      <c r="BG28" s="46">
        <f t="shared" si="13"/>
        <v>0</v>
      </c>
      <c r="BH28" s="44">
        <v>0</v>
      </c>
      <c r="BI28" s="45">
        <v>0</v>
      </c>
      <c r="BJ28" s="46">
        <v>0</v>
      </c>
      <c r="BK28" s="46">
        <f t="shared" si="14"/>
        <v>0</v>
      </c>
      <c r="BL28" s="44">
        <v>0</v>
      </c>
      <c r="BM28" s="45">
        <v>1</v>
      </c>
      <c r="BN28" s="46">
        <v>0</v>
      </c>
      <c r="BO28" s="46">
        <f t="shared" si="15"/>
        <v>1</v>
      </c>
      <c r="BP28" s="44">
        <v>1</v>
      </c>
      <c r="BQ28" s="45">
        <v>0</v>
      </c>
      <c r="BR28" s="46">
        <v>0</v>
      </c>
      <c r="BS28" s="46">
        <f t="shared" si="16"/>
        <v>0</v>
      </c>
      <c r="BT28" s="44">
        <v>0</v>
      </c>
      <c r="BU28" s="45">
        <f t="shared" si="17"/>
        <v>8</v>
      </c>
      <c r="BV28" s="46">
        <f t="shared" si="18"/>
        <v>9</v>
      </c>
      <c r="BW28" s="46">
        <f t="shared" si="19"/>
        <v>3</v>
      </c>
      <c r="BX28" s="46">
        <f t="shared" si="20"/>
        <v>0.47058823529411764</v>
      </c>
      <c r="BY28" s="46">
        <f t="shared" si="21"/>
        <v>0.72727272727272729</v>
      </c>
      <c r="BZ28" s="44">
        <f t="shared" si="22"/>
        <v>0.5714285714285714</v>
      </c>
    </row>
    <row r="29" spans="1:84" x14ac:dyDescent="0.35">
      <c r="A29" s="64" t="s">
        <v>10</v>
      </c>
      <c r="B29" s="108"/>
      <c r="C29" s="108"/>
      <c r="D29" s="48" t="s">
        <v>37</v>
      </c>
      <c r="E29" s="49">
        <v>1</v>
      </c>
      <c r="F29" s="50">
        <v>1</v>
      </c>
      <c r="G29" s="50">
        <f t="shared" si="0"/>
        <v>0</v>
      </c>
      <c r="H29" s="48">
        <v>0</v>
      </c>
      <c r="I29" s="49">
        <v>0</v>
      </c>
      <c r="J29" s="50">
        <v>0</v>
      </c>
      <c r="K29" s="50">
        <f t="shared" si="42"/>
        <v>0</v>
      </c>
      <c r="L29" s="48">
        <v>0</v>
      </c>
      <c r="M29" s="49">
        <v>0</v>
      </c>
      <c r="N29" s="50">
        <v>0</v>
      </c>
      <c r="O29" s="50">
        <f t="shared" si="36"/>
        <v>0</v>
      </c>
      <c r="P29" s="48">
        <v>0</v>
      </c>
      <c r="Q29" s="49">
        <v>4</v>
      </c>
      <c r="R29" s="50">
        <v>4</v>
      </c>
      <c r="S29" s="50">
        <f t="shared" si="3"/>
        <v>0</v>
      </c>
      <c r="T29" s="48">
        <v>0</v>
      </c>
      <c r="U29" s="49">
        <v>3</v>
      </c>
      <c r="V29" s="50">
        <v>0</v>
      </c>
      <c r="W29" s="50">
        <f t="shared" si="37"/>
        <v>3</v>
      </c>
      <c r="X29" s="48">
        <v>0</v>
      </c>
      <c r="Y29" s="49">
        <v>1</v>
      </c>
      <c r="Z29" s="50">
        <v>1</v>
      </c>
      <c r="AA29" s="50">
        <f t="shared" si="40"/>
        <v>0</v>
      </c>
      <c r="AB29" s="48">
        <v>0</v>
      </c>
      <c r="AC29" s="49">
        <v>0</v>
      </c>
      <c r="AD29" s="50">
        <v>0</v>
      </c>
      <c r="AE29" s="50">
        <f t="shared" si="6"/>
        <v>0</v>
      </c>
      <c r="AF29" s="48">
        <v>0</v>
      </c>
      <c r="AG29" s="49">
        <v>1</v>
      </c>
      <c r="AH29" s="50">
        <v>0</v>
      </c>
      <c r="AI29" s="50">
        <f t="shared" si="7"/>
        <v>1</v>
      </c>
      <c r="AJ29" s="48">
        <v>0</v>
      </c>
      <c r="AK29" s="49">
        <v>0</v>
      </c>
      <c r="AL29" s="50">
        <v>0</v>
      </c>
      <c r="AM29" s="50">
        <f t="shared" si="8"/>
        <v>0</v>
      </c>
      <c r="AN29" s="48">
        <v>0</v>
      </c>
      <c r="AO29" s="49">
        <v>0</v>
      </c>
      <c r="AP29" s="50">
        <v>0</v>
      </c>
      <c r="AQ29" s="50">
        <f t="shared" si="9"/>
        <v>0</v>
      </c>
      <c r="AR29" s="48">
        <v>0</v>
      </c>
      <c r="AS29" s="49">
        <v>0</v>
      </c>
      <c r="AT29" s="50">
        <v>0</v>
      </c>
      <c r="AU29" s="50">
        <f t="shared" si="10"/>
        <v>0</v>
      </c>
      <c r="AV29" s="48">
        <v>0</v>
      </c>
      <c r="AW29" s="49">
        <v>0</v>
      </c>
      <c r="AX29" s="50">
        <v>0</v>
      </c>
      <c r="AY29" s="50">
        <f t="shared" si="11"/>
        <v>0</v>
      </c>
      <c r="AZ29" s="48">
        <v>0</v>
      </c>
      <c r="BA29" s="49">
        <v>0</v>
      </c>
      <c r="BB29" s="50">
        <v>0</v>
      </c>
      <c r="BC29" s="50">
        <f t="shared" si="12"/>
        <v>0</v>
      </c>
      <c r="BD29" s="48">
        <v>0</v>
      </c>
      <c r="BE29" s="49">
        <v>0</v>
      </c>
      <c r="BF29" s="50">
        <v>0</v>
      </c>
      <c r="BG29" s="50">
        <f t="shared" si="13"/>
        <v>0</v>
      </c>
      <c r="BH29" s="48">
        <v>0</v>
      </c>
      <c r="BI29" s="49">
        <v>0</v>
      </c>
      <c r="BJ29" s="50">
        <v>0</v>
      </c>
      <c r="BK29" s="50">
        <f t="shared" si="14"/>
        <v>0</v>
      </c>
      <c r="BL29" s="48">
        <v>0</v>
      </c>
      <c r="BM29" s="49">
        <v>0</v>
      </c>
      <c r="BN29" s="50">
        <v>0</v>
      </c>
      <c r="BO29" s="50">
        <f t="shared" si="15"/>
        <v>0</v>
      </c>
      <c r="BP29" s="48">
        <v>0</v>
      </c>
      <c r="BQ29" s="49">
        <v>0</v>
      </c>
      <c r="BR29" s="50">
        <v>0</v>
      </c>
      <c r="BS29" s="50">
        <f t="shared" si="16"/>
        <v>0</v>
      </c>
      <c r="BT29" s="48">
        <v>0</v>
      </c>
      <c r="BU29" s="49">
        <f t="shared" si="17"/>
        <v>6</v>
      </c>
      <c r="BV29" s="50">
        <f t="shared" si="18"/>
        <v>4</v>
      </c>
      <c r="BW29" s="50">
        <f t="shared" si="19"/>
        <v>0</v>
      </c>
      <c r="BX29" s="50">
        <f t="shared" si="20"/>
        <v>0.6</v>
      </c>
      <c r="BY29" s="50">
        <f t="shared" si="21"/>
        <v>1</v>
      </c>
      <c r="BZ29" s="48">
        <f t="shared" si="22"/>
        <v>0.74999999999999989</v>
      </c>
    </row>
    <row r="30" spans="1:84" ht="15" thickBot="1" x14ac:dyDescent="0.4">
      <c r="A30" s="50" t="s">
        <v>10</v>
      </c>
      <c r="B30" s="118"/>
      <c r="C30" s="118"/>
      <c r="D30" s="72" t="s">
        <v>38</v>
      </c>
      <c r="E30" s="73">
        <v>1</v>
      </c>
      <c r="F30" s="74">
        <v>1</v>
      </c>
      <c r="G30" s="74">
        <f t="shared" si="0"/>
        <v>0</v>
      </c>
      <c r="H30" s="72">
        <v>0</v>
      </c>
      <c r="I30" s="73">
        <v>0</v>
      </c>
      <c r="J30" s="74">
        <v>0</v>
      </c>
      <c r="K30" s="74">
        <f t="shared" si="42"/>
        <v>0</v>
      </c>
      <c r="L30" s="72">
        <v>0</v>
      </c>
      <c r="M30" s="73">
        <v>0</v>
      </c>
      <c r="N30" s="74">
        <v>0</v>
      </c>
      <c r="O30" s="74">
        <f t="shared" si="36"/>
        <v>0</v>
      </c>
      <c r="P30" s="72">
        <v>0</v>
      </c>
      <c r="Q30" s="73">
        <v>4</v>
      </c>
      <c r="R30" s="74">
        <v>4</v>
      </c>
      <c r="S30" s="74">
        <f t="shared" si="3"/>
        <v>0</v>
      </c>
      <c r="T30" s="72">
        <v>0</v>
      </c>
      <c r="U30" s="73">
        <v>3</v>
      </c>
      <c r="V30" s="74">
        <v>0</v>
      </c>
      <c r="W30" s="74">
        <f t="shared" si="37"/>
        <v>3</v>
      </c>
      <c r="X30" s="72">
        <v>0</v>
      </c>
      <c r="Y30" s="73">
        <v>1</v>
      </c>
      <c r="Z30" s="74">
        <v>1</v>
      </c>
      <c r="AA30" s="74">
        <f t="shared" si="40"/>
        <v>0</v>
      </c>
      <c r="AB30" s="72">
        <v>0</v>
      </c>
      <c r="AC30" s="73">
        <v>0</v>
      </c>
      <c r="AD30" s="74">
        <v>0</v>
      </c>
      <c r="AE30" s="74">
        <v>0</v>
      </c>
      <c r="AF30" s="72">
        <v>0</v>
      </c>
      <c r="AG30" s="73">
        <v>1</v>
      </c>
      <c r="AH30" s="74">
        <v>0</v>
      </c>
      <c r="AI30" s="74">
        <f t="shared" si="7"/>
        <v>1</v>
      </c>
      <c r="AJ30" s="72">
        <v>0</v>
      </c>
      <c r="AK30" s="73">
        <v>0</v>
      </c>
      <c r="AL30" s="74">
        <v>0</v>
      </c>
      <c r="AM30" s="74">
        <f t="shared" si="8"/>
        <v>0</v>
      </c>
      <c r="AN30" s="72">
        <v>0</v>
      </c>
      <c r="AO30" s="73">
        <v>0</v>
      </c>
      <c r="AP30" s="74">
        <v>0</v>
      </c>
      <c r="AQ30" s="74">
        <f t="shared" si="9"/>
        <v>0</v>
      </c>
      <c r="AR30" s="72">
        <v>0</v>
      </c>
      <c r="AS30" s="73">
        <v>0</v>
      </c>
      <c r="AT30" s="74">
        <v>0</v>
      </c>
      <c r="AU30" s="74">
        <f t="shared" si="10"/>
        <v>0</v>
      </c>
      <c r="AV30" s="72">
        <v>0</v>
      </c>
      <c r="AW30" s="73">
        <v>0</v>
      </c>
      <c r="AX30" s="74">
        <v>0</v>
      </c>
      <c r="AY30" s="74">
        <f t="shared" si="11"/>
        <v>0</v>
      </c>
      <c r="AZ30" s="72">
        <v>0</v>
      </c>
      <c r="BA30" s="73">
        <v>0</v>
      </c>
      <c r="BB30" s="74">
        <v>0</v>
      </c>
      <c r="BC30" s="74">
        <f t="shared" si="12"/>
        <v>0</v>
      </c>
      <c r="BD30" s="72">
        <v>0</v>
      </c>
      <c r="BE30" s="73">
        <v>0</v>
      </c>
      <c r="BF30" s="74">
        <v>0</v>
      </c>
      <c r="BG30" s="74">
        <f t="shared" si="13"/>
        <v>0</v>
      </c>
      <c r="BH30" s="72">
        <v>0</v>
      </c>
      <c r="BI30" s="73">
        <v>0</v>
      </c>
      <c r="BJ30" s="74">
        <v>0</v>
      </c>
      <c r="BK30" s="74">
        <f t="shared" si="14"/>
        <v>0</v>
      </c>
      <c r="BL30" s="72">
        <v>0</v>
      </c>
      <c r="BM30" s="73">
        <v>0</v>
      </c>
      <c r="BN30" s="74">
        <v>0</v>
      </c>
      <c r="BO30" s="74">
        <f t="shared" si="15"/>
        <v>0</v>
      </c>
      <c r="BP30" s="72">
        <v>0</v>
      </c>
      <c r="BQ30" s="73">
        <v>0</v>
      </c>
      <c r="BR30" s="74">
        <v>0</v>
      </c>
      <c r="BS30" s="74">
        <f t="shared" si="16"/>
        <v>0</v>
      </c>
      <c r="BT30" s="72">
        <v>0</v>
      </c>
      <c r="BU30" s="73">
        <f t="shared" si="17"/>
        <v>6</v>
      </c>
      <c r="BV30" s="74">
        <f t="shared" si="18"/>
        <v>4</v>
      </c>
      <c r="BW30" s="74">
        <f t="shared" si="19"/>
        <v>0</v>
      </c>
      <c r="BX30" s="74">
        <f t="shared" si="20"/>
        <v>0.6</v>
      </c>
      <c r="BY30" s="74">
        <f t="shared" si="21"/>
        <v>1</v>
      </c>
      <c r="BZ30" s="72">
        <f t="shared" si="22"/>
        <v>0.74999999999999989</v>
      </c>
    </row>
    <row r="31" spans="1:84" ht="15" thickTop="1" x14ac:dyDescent="0.35">
      <c r="D31" s="4" t="s">
        <v>88</v>
      </c>
      <c r="E31" s="4">
        <f t="shared" ref="E31:BP31" si="43">SUM(E3:E30)</f>
        <v>74</v>
      </c>
      <c r="F31" s="4">
        <f t="shared" si="43"/>
        <v>74</v>
      </c>
      <c r="G31" s="4">
        <f t="shared" si="43"/>
        <v>0</v>
      </c>
      <c r="H31" s="4">
        <f t="shared" si="43"/>
        <v>0</v>
      </c>
      <c r="I31" s="4">
        <f t="shared" si="43"/>
        <v>8</v>
      </c>
      <c r="J31" s="4">
        <f t="shared" si="43"/>
        <v>4</v>
      </c>
      <c r="K31" s="4">
        <f t="shared" si="43"/>
        <v>4</v>
      </c>
      <c r="L31" s="4">
        <f t="shared" si="43"/>
        <v>0</v>
      </c>
      <c r="M31" s="4">
        <f t="shared" si="43"/>
        <v>20</v>
      </c>
      <c r="N31" s="4">
        <f t="shared" si="43"/>
        <v>16</v>
      </c>
      <c r="O31" s="4">
        <f t="shared" si="43"/>
        <v>4</v>
      </c>
      <c r="P31" s="4">
        <f t="shared" si="43"/>
        <v>0</v>
      </c>
      <c r="Q31" s="4">
        <f t="shared" si="43"/>
        <v>100</v>
      </c>
      <c r="R31" s="4">
        <f t="shared" si="43"/>
        <v>100</v>
      </c>
      <c r="S31" s="4">
        <f t="shared" si="43"/>
        <v>0</v>
      </c>
      <c r="T31" s="4">
        <f t="shared" si="43"/>
        <v>11</v>
      </c>
      <c r="U31" s="4">
        <f t="shared" si="43"/>
        <v>14</v>
      </c>
      <c r="V31" s="4">
        <f t="shared" si="43"/>
        <v>8</v>
      </c>
      <c r="W31" s="4">
        <f t="shared" si="43"/>
        <v>6</v>
      </c>
      <c r="X31" s="4">
        <f t="shared" si="43"/>
        <v>10</v>
      </c>
      <c r="Y31" s="4">
        <f t="shared" si="43"/>
        <v>34</v>
      </c>
      <c r="Z31" s="4">
        <f t="shared" si="43"/>
        <v>31</v>
      </c>
      <c r="AA31" s="4">
        <f t="shared" si="43"/>
        <v>3</v>
      </c>
      <c r="AB31" s="4">
        <f t="shared" si="43"/>
        <v>1</v>
      </c>
      <c r="AC31" s="4">
        <f t="shared" si="43"/>
        <v>16</v>
      </c>
      <c r="AD31" s="4">
        <f t="shared" si="43"/>
        <v>14</v>
      </c>
      <c r="AE31" s="4">
        <f t="shared" si="43"/>
        <v>2</v>
      </c>
      <c r="AF31" s="4">
        <f t="shared" si="43"/>
        <v>0</v>
      </c>
      <c r="AG31" s="4">
        <f t="shared" si="43"/>
        <v>36</v>
      </c>
      <c r="AH31" s="4">
        <f t="shared" si="43"/>
        <v>17</v>
      </c>
      <c r="AI31" s="4">
        <f t="shared" si="43"/>
        <v>19</v>
      </c>
      <c r="AJ31" s="4">
        <f t="shared" si="43"/>
        <v>4</v>
      </c>
      <c r="AK31" s="4">
        <f t="shared" si="43"/>
        <v>22</v>
      </c>
      <c r="AL31" s="4">
        <f t="shared" si="43"/>
        <v>22</v>
      </c>
      <c r="AM31" s="4">
        <f t="shared" si="43"/>
        <v>0</v>
      </c>
      <c r="AN31" s="4">
        <f t="shared" si="43"/>
        <v>1</v>
      </c>
      <c r="AO31" s="4">
        <f t="shared" si="43"/>
        <v>2</v>
      </c>
      <c r="AP31" s="4">
        <f t="shared" si="43"/>
        <v>2</v>
      </c>
      <c r="AQ31" s="4">
        <f t="shared" si="43"/>
        <v>0</v>
      </c>
      <c r="AR31" s="4">
        <f t="shared" si="43"/>
        <v>4</v>
      </c>
      <c r="AS31" s="4">
        <f t="shared" si="43"/>
        <v>8</v>
      </c>
      <c r="AT31" s="4">
        <f t="shared" si="43"/>
        <v>2</v>
      </c>
      <c r="AU31" s="4">
        <f t="shared" si="43"/>
        <v>6</v>
      </c>
      <c r="AV31" s="4">
        <f t="shared" si="43"/>
        <v>4</v>
      </c>
      <c r="AW31" s="4">
        <f t="shared" si="43"/>
        <v>4</v>
      </c>
      <c r="AX31" s="4">
        <f t="shared" si="43"/>
        <v>2</v>
      </c>
      <c r="AY31" s="4">
        <f t="shared" si="43"/>
        <v>2</v>
      </c>
      <c r="AZ31" s="4">
        <f t="shared" si="43"/>
        <v>8</v>
      </c>
      <c r="BA31" s="4">
        <f t="shared" si="43"/>
        <v>46</v>
      </c>
      <c r="BB31" s="4">
        <f t="shared" si="43"/>
        <v>44</v>
      </c>
      <c r="BC31" s="4">
        <f t="shared" si="43"/>
        <v>2</v>
      </c>
      <c r="BD31" s="4">
        <f t="shared" si="43"/>
        <v>5</v>
      </c>
      <c r="BE31" s="4">
        <f t="shared" si="43"/>
        <v>6</v>
      </c>
      <c r="BF31" s="4">
        <f t="shared" si="43"/>
        <v>2</v>
      </c>
      <c r="BG31" s="4">
        <f t="shared" si="43"/>
        <v>4</v>
      </c>
      <c r="BH31" s="4">
        <f t="shared" si="43"/>
        <v>2</v>
      </c>
      <c r="BI31" s="4">
        <f t="shared" si="43"/>
        <v>4</v>
      </c>
      <c r="BJ31" s="4">
        <f t="shared" si="43"/>
        <v>2</v>
      </c>
      <c r="BK31" s="4">
        <f t="shared" si="43"/>
        <v>2</v>
      </c>
      <c r="BL31" s="4">
        <f t="shared" si="43"/>
        <v>0</v>
      </c>
      <c r="BM31" s="4">
        <f t="shared" si="43"/>
        <v>12</v>
      </c>
      <c r="BN31" s="4">
        <f t="shared" si="43"/>
        <v>2</v>
      </c>
      <c r="BO31" s="4">
        <f t="shared" si="43"/>
        <v>10</v>
      </c>
      <c r="BP31" s="4">
        <f t="shared" si="43"/>
        <v>2</v>
      </c>
      <c r="BQ31" s="4">
        <f t="shared" ref="BQ31" si="44">SUM(BQ3:BQ30)</f>
        <v>10</v>
      </c>
      <c r="BR31" s="4">
        <f t="shared" ref="BR31" si="45">SUM(BR3:BR30)</f>
        <v>4</v>
      </c>
      <c r="BS31" s="4">
        <f t="shared" ref="BS31" si="46">SUM(BS3:BS30)</f>
        <v>6</v>
      </c>
      <c r="BT31" s="4">
        <f t="shared" ref="BT31" si="47">SUM(BT3:BT30)</f>
        <v>2</v>
      </c>
    </row>
    <row r="33" spans="4:72" x14ac:dyDescent="0.35">
      <c r="D33" s="76" t="s">
        <v>7</v>
      </c>
      <c r="E33" s="112">
        <f>IFERROR(F31/(F31+G31),"")</f>
        <v>1</v>
      </c>
      <c r="F33" s="113"/>
      <c r="G33" s="113"/>
      <c r="H33" s="114"/>
      <c r="I33" s="112">
        <f t="shared" ref="I33" si="48">IFERROR(J31/(J31+K31),"")</f>
        <v>0.5</v>
      </c>
      <c r="J33" s="113"/>
      <c r="K33" s="113"/>
      <c r="L33" s="114"/>
      <c r="M33" s="112">
        <f t="shared" ref="M33" si="49">IFERROR(N31/(N31+O31),"")</f>
        <v>0.8</v>
      </c>
      <c r="N33" s="113"/>
      <c r="O33" s="113"/>
      <c r="P33" s="114"/>
      <c r="Q33" s="112">
        <f t="shared" ref="Q33" si="50">IFERROR(R31/(R31+S31),"")</f>
        <v>1</v>
      </c>
      <c r="R33" s="113"/>
      <c r="S33" s="113"/>
      <c r="T33" s="114"/>
      <c r="U33" s="112">
        <f t="shared" ref="U33" si="51">IFERROR(V31/(V31+W31),"")</f>
        <v>0.5714285714285714</v>
      </c>
      <c r="V33" s="113"/>
      <c r="W33" s="113"/>
      <c r="X33" s="114"/>
      <c r="Y33" s="112">
        <f t="shared" ref="Y33" si="52">IFERROR(Z31/(Z31+AA31),"")</f>
        <v>0.91176470588235292</v>
      </c>
      <c r="Z33" s="113"/>
      <c r="AA33" s="113"/>
      <c r="AB33" s="114"/>
      <c r="AC33" s="112">
        <f t="shared" ref="AC33" si="53">IFERROR(AD31/(AD31+AE31),"")</f>
        <v>0.875</v>
      </c>
      <c r="AD33" s="113"/>
      <c r="AE33" s="113"/>
      <c r="AF33" s="114"/>
      <c r="AG33" s="112">
        <f t="shared" ref="AG33" si="54">IFERROR(AH31/(AH31+AI31),"")</f>
        <v>0.47222222222222221</v>
      </c>
      <c r="AH33" s="113"/>
      <c r="AI33" s="113"/>
      <c r="AJ33" s="114"/>
      <c r="AK33" s="112">
        <f t="shared" ref="AK33" si="55">IFERROR(AL31/(AL31+AM31),"")</f>
        <v>1</v>
      </c>
      <c r="AL33" s="113"/>
      <c r="AM33" s="113"/>
      <c r="AN33" s="114"/>
      <c r="AO33" s="112">
        <f t="shared" ref="AO33" si="56">IFERROR(AP31/(AP31+AQ31),"")</f>
        <v>1</v>
      </c>
      <c r="AP33" s="113"/>
      <c r="AQ33" s="113"/>
      <c r="AR33" s="114"/>
      <c r="AS33" s="112">
        <f t="shared" ref="AS33" si="57">IFERROR(AT31/(AT31+AU31),"")</f>
        <v>0.25</v>
      </c>
      <c r="AT33" s="113"/>
      <c r="AU33" s="113"/>
      <c r="AV33" s="114"/>
      <c r="AW33" s="112">
        <f t="shared" ref="AW33" si="58">IFERROR(AX31/(AX31+AY31),"")</f>
        <v>0.5</v>
      </c>
      <c r="AX33" s="113"/>
      <c r="AY33" s="113"/>
      <c r="AZ33" s="114"/>
      <c r="BA33" s="112">
        <f t="shared" ref="BA33" si="59">IFERROR(BB31/(BB31+BC31),"")</f>
        <v>0.95652173913043481</v>
      </c>
      <c r="BB33" s="113"/>
      <c r="BC33" s="113"/>
      <c r="BD33" s="114"/>
      <c r="BE33" s="112">
        <f t="shared" ref="BE33" si="60">IFERROR(BF31/(BF31+BG31),"")</f>
        <v>0.33333333333333331</v>
      </c>
      <c r="BF33" s="113"/>
      <c r="BG33" s="113"/>
      <c r="BH33" s="114"/>
      <c r="BI33" s="112">
        <f t="shared" ref="BI33" si="61">IFERROR(BJ31/(BJ31+BK31),"")</f>
        <v>0.5</v>
      </c>
      <c r="BJ33" s="113"/>
      <c r="BK33" s="113"/>
      <c r="BL33" s="114"/>
      <c r="BM33" s="112">
        <f t="shared" ref="BM33" si="62">IFERROR(BN31/(BN31+BO31),"")</f>
        <v>0.16666666666666666</v>
      </c>
      <c r="BN33" s="113"/>
      <c r="BO33" s="113"/>
      <c r="BP33" s="114"/>
      <c r="BQ33" s="112">
        <f t="shared" ref="BQ33" si="63">IFERROR(BR31/(BR31+BS31),"")</f>
        <v>0.4</v>
      </c>
      <c r="BR33" s="113"/>
      <c r="BS33" s="113"/>
      <c r="BT33" s="114"/>
    </row>
    <row r="34" spans="4:72" x14ac:dyDescent="0.35">
      <c r="D34" s="76" t="s">
        <v>117</v>
      </c>
      <c r="E34" s="112">
        <f>IFERROR(F31/(F31+H31),"")</f>
        <v>1</v>
      </c>
      <c r="F34" s="113"/>
      <c r="G34" s="113"/>
      <c r="H34" s="114"/>
      <c r="I34" s="112">
        <f t="shared" ref="I34" si="64">IFERROR(J31/(J31+L31),"")</f>
        <v>1</v>
      </c>
      <c r="J34" s="113"/>
      <c r="K34" s="113"/>
      <c r="L34" s="114"/>
      <c r="M34" s="112">
        <f t="shared" ref="M34" si="65">IFERROR(N31/(N31+P31),"")</f>
        <v>1</v>
      </c>
      <c r="N34" s="113"/>
      <c r="O34" s="113"/>
      <c r="P34" s="114"/>
      <c r="Q34" s="112">
        <f t="shared" ref="Q34" si="66">IFERROR(R31/(R31+T31),"")</f>
        <v>0.90090090090090091</v>
      </c>
      <c r="R34" s="113"/>
      <c r="S34" s="113"/>
      <c r="T34" s="114"/>
      <c r="U34" s="112">
        <f t="shared" ref="U34" si="67">IFERROR(V31/(V31+X31),"")</f>
        <v>0.44444444444444442</v>
      </c>
      <c r="V34" s="113"/>
      <c r="W34" s="113"/>
      <c r="X34" s="114"/>
      <c r="Y34" s="112">
        <f t="shared" ref="Y34" si="68">IFERROR(Z31/(Z31+AB31),"")</f>
        <v>0.96875</v>
      </c>
      <c r="Z34" s="113"/>
      <c r="AA34" s="113"/>
      <c r="AB34" s="114"/>
      <c r="AC34" s="112">
        <f t="shared" ref="AC34" si="69">IFERROR(AD31/(AD31+AF31),"")</f>
        <v>1</v>
      </c>
      <c r="AD34" s="113"/>
      <c r="AE34" s="113"/>
      <c r="AF34" s="114"/>
      <c r="AG34" s="112">
        <f t="shared" ref="AG34" si="70">IFERROR(AH31/(AH31+AJ31),"")</f>
        <v>0.80952380952380953</v>
      </c>
      <c r="AH34" s="113"/>
      <c r="AI34" s="113"/>
      <c r="AJ34" s="114"/>
      <c r="AK34" s="112">
        <f t="shared" ref="AK34" si="71">IFERROR(AL31/(AL31+AN31),"")</f>
        <v>0.95652173913043481</v>
      </c>
      <c r="AL34" s="113"/>
      <c r="AM34" s="113"/>
      <c r="AN34" s="114"/>
      <c r="AO34" s="112">
        <f t="shared" ref="AO34" si="72">IFERROR(AP31/(AP31+AR31),"")</f>
        <v>0.33333333333333331</v>
      </c>
      <c r="AP34" s="113"/>
      <c r="AQ34" s="113"/>
      <c r="AR34" s="114"/>
      <c r="AS34" s="112">
        <f t="shared" ref="AS34" si="73">IFERROR(AT31/(AT31+AV31),"")</f>
        <v>0.33333333333333331</v>
      </c>
      <c r="AT34" s="113"/>
      <c r="AU34" s="113"/>
      <c r="AV34" s="114"/>
      <c r="AW34" s="112">
        <f t="shared" ref="AW34" si="74">IFERROR(AX31/(AX31+AZ31),"")</f>
        <v>0.2</v>
      </c>
      <c r="AX34" s="113"/>
      <c r="AY34" s="113"/>
      <c r="AZ34" s="114"/>
      <c r="BA34" s="112">
        <f t="shared" ref="BA34" si="75">IFERROR(BB31/(BB31+BD31),"")</f>
        <v>0.89795918367346939</v>
      </c>
      <c r="BB34" s="113"/>
      <c r="BC34" s="113"/>
      <c r="BD34" s="114"/>
      <c r="BE34" s="112">
        <f t="shared" ref="BE34" si="76">IFERROR(BF31/(BF31+BH31),"")</f>
        <v>0.5</v>
      </c>
      <c r="BF34" s="113"/>
      <c r="BG34" s="113"/>
      <c r="BH34" s="114"/>
      <c r="BI34" s="112">
        <f t="shared" ref="BI34" si="77">IFERROR(BJ31/(BJ31+BL31),"")</f>
        <v>1</v>
      </c>
      <c r="BJ34" s="113"/>
      <c r="BK34" s="113"/>
      <c r="BL34" s="114"/>
      <c r="BM34" s="112">
        <f t="shared" ref="BM34" si="78">IFERROR(BN31/(BN31+BP31),"")</f>
        <v>0.5</v>
      </c>
      <c r="BN34" s="113"/>
      <c r="BO34" s="113"/>
      <c r="BP34" s="114"/>
      <c r="BQ34" s="112">
        <f t="shared" ref="BQ34" si="79">IFERROR(BR31/(BR31+BT31),"")</f>
        <v>0.66666666666666663</v>
      </c>
      <c r="BR34" s="113"/>
      <c r="BS34" s="113"/>
      <c r="BT34" s="114"/>
    </row>
    <row r="35" spans="4:72" x14ac:dyDescent="0.35">
      <c r="D35" s="76" t="s">
        <v>8</v>
      </c>
      <c r="E35" s="112">
        <f>IFERROR(2*(E33*E34)/(E33+E34),IF(AND(E33=0,E34=0),0,""))</f>
        <v>1</v>
      </c>
      <c r="F35" s="113"/>
      <c r="G35" s="113"/>
      <c r="H35" s="114"/>
      <c r="I35" s="112">
        <f t="shared" ref="I35" si="80">IFERROR(2*(I33*I34)/(I33+I34),IF(AND(I33=0,I34=0),0,""))</f>
        <v>0.66666666666666663</v>
      </c>
      <c r="J35" s="113"/>
      <c r="K35" s="113"/>
      <c r="L35" s="114"/>
      <c r="M35" s="112">
        <f t="shared" ref="M35" si="81">IFERROR(2*(M33*M34)/(M33+M34),IF(AND(M33=0,M34=0),0,""))</f>
        <v>0.88888888888888895</v>
      </c>
      <c r="N35" s="113"/>
      <c r="O35" s="113"/>
      <c r="P35" s="114"/>
      <c r="Q35" s="112">
        <f t="shared" ref="Q35" si="82">IFERROR(2*(Q33*Q34)/(Q33+Q34),IF(AND(Q33=0,Q34=0),0,""))</f>
        <v>0.94786729857819896</v>
      </c>
      <c r="R35" s="113"/>
      <c r="S35" s="113"/>
      <c r="T35" s="114"/>
      <c r="U35" s="112">
        <f t="shared" ref="U35" si="83">IFERROR(2*(U33*U34)/(U33+U34),IF(AND(U33=0,U34=0),0,""))</f>
        <v>0.5</v>
      </c>
      <c r="V35" s="113"/>
      <c r="W35" s="113"/>
      <c r="X35" s="114"/>
      <c r="Y35" s="112">
        <f t="shared" ref="Y35" si="84">IFERROR(2*(Y33*Y34)/(Y33+Y34),IF(AND(Y33=0,Y34=0),0,""))</f>
        <v>0.93939393939393945</v>
      </c>
      <c r="Z35" s="113"/>
      <c r="AA35" s="113"/>
      <c r="AB35" s="114"/>
      <c r="AC35" s="112">
        <f t="shared" ref="AC35" si="85">IFERROR(2*(AC33*AC34)/(AC33+AC34),IF(AND(AC33=0,AC34=0),0,""))</f>
        <v>0.93333333333333335</v>
      </c>
      <c r="AD35" s="113"/>
      <c r="AE35" s="113"/>
      <c r="AF35" s="114"/>
      <c r="AG35" s="112">
        <f t="shared" ref="AG35" si="86">IFERROR(2*(AG33*AG34)/(AG33+AG34),IF(AND(AG33=0,AG34=0),0,""))</f>
        <v>0.59649122807017552</v>
      </c>
      <c r="AH35" s="113"/>
      <c r="AI35" s="113"/>
      <c r="AJ35" s="114"/>
      <c r="AK35" s="112">
        <f t="shared" ref="AK35" si="87">IFERROR(2*(AK33*AK34)/(AK33+AK34),IF(AND(AK33=0,AK34=0),0,""))</f>
        <v>0.97777777777777775</v>
      </c>
      <c r="AL35" s="113"/>
      <c r="AM35" s="113"/>
      <c r="AN35" s="114"/>
      <c r="AO35" s="112">
        <f t="shared" ref="AO35" si="88">IFERROR(2*(AO33*AO34)/(AO33+AO34),IF(AND(AO33=0,AO34=0),0,""))</f>
        <v>0.5</v>
      </c>
      <c r="AP35" s="113"/>
      <c r="AQ35" s="113"/>
      <c r="AR35" s="114"/>
      <c r="AS35" s="112">
        <f t="shared" ref="AS35" si="89">IFERROR(2*(AS33*AS34)/(AS33+AS34),IF(AND(AS33=0,AS34=0),0,""))</f>
        <v>0.28571428571428575</v>
      </c>
      <c r="AT35" s="113"/>
      <c r="AU35" s="113"/>
      <c r="AV35" s="114"/>
      <c r="AW35" s="112">
        <f t="shared" ref="AW35" si="90">IFERROR(2*(AW33*AW34)/(AW33+AW34),IF(AND(AW33=0,AW34=0),0,""))</f>
        <v>0.28571428571428575</v>
      </c>
      <c r="AX35" s="113"/>
      <c r="AY35" s="113"/>
      <c r="AZ35" s="114"/>
      <c r="BA35" s="112">
        <f t="shared" ref="BA35" si="91">IFERROR(2*(BA33*BA34)/(BA33+BA34),IF(AND(BA33=0,BA34=0),0,""))</f>
        <v>0.92631578947368431</v>
      </c>
      <c r="BB35" s="113"/>
      <c r="BC35" s="113"/>
      <c r="BD35" s="114"/>
      <c r="BE35" s="112">
        <f t="shared" ref="BE35" si="92">IFERROR(2*(BE33*BE34)/(BE33+BE34),IF(AND(BE33=0,BE34=0),0,""))</f>
        <v>0.4</v>
      </c>
      <c r="BF35" s="113"/>
      <c r="BG35" s="113"/>
      <c r="BH35" s="114"/>
      <c r="BI35" s="112">
        <f t="shared" ref="BI35" si="93">IFERROR(2*(BI33*BI34)/(BI33+BI34),IF(AND(BI33=0,BI34=0),0,""))</f>
        <v>0.66666666666666663</v>
      </c>
      <c r="BJ35" s="113"/>
      <c r="BK35" s="113"/>
      <c r="BL35" s="114"/>
      <c r="BM35" s="112">
        <f t="shared" ref="BM35" si="94">IFERROR(2*(BM33*BM34)/(BM33+BM34),IF(AND(BM33=0,BM34=0),0,""))</f>
        <v>0.25</v>
      </c>
      <c r="BN35" s="113"/>
      <c r="BO35" s="113"/>
      <c r="BP35" s="114"/>
      <c r="BQ35" s="112">
        <f t="shared" ref="BQ35" si="95">IFERROR(2*(BQ33*BQ34)/(BQ33+BQ34),IF(AND(BQ33=0,BQ34=0),0,""))</f>
        <v>0.5</v>
      </c>
      <c r="BR35" s="113"/>
      <c r="BS35" s="113"/>
      <c r="BT35" s="114"/>
    </row>
  </sheetData>
  <mergeCells count="84">
    <mergeCell ref="AS35:AV35"/>
    <mergeCell ref="AW35:AZ35"/>
    <mergeCell ref="BA35:BD35"/>
    <mergeCell ref="BE35:BH35"/>
    <mergeCell ref="BI35:BL35"/>
    <mergeCell ref="BM33:BP33"/>
    <mergeCell ref="BQ33:BT33"/>
    <mergeCell ref="E34:H34"/>
    <mergeCell ref="I34:L34"/>
    <mergeCell ref="M34:P34"/>
    <mergeCell ref="Q34:T34"/>
    <mergeCell ref="U34:X34"/>
    <mergeCell ref="Y34:AB34"/>
    <mergeCell ref="AC34:AF34"/>
    <mergeCell ref="AG34:AJ34"/>
    <mergeCell ref="AK34:AN34"/>
    <mergeCell ref="AO34:AR34"/>
    <mergeCell ref="AS34:AV34"/>
    <mergeCell ref="AW34:AZ34"/>
    <mergeCell ref="BA34:BD34"/>
    <mergeCell ref="BE34:BH34"/>
    <mergeCell ref="AS33:AV33"/>
    <mergeCell ref="AW33:AZ33"/>
    <mergeCell ref="BA33:BD33"/>
    <mergeCell ref="BE33:BH33"/>
    <mergeCell ref="BI33:BL33"/>
    <mergeCell ref="BI34:BL34"/>
    <mergeCell ref="BM34:BP34"/>
    <mergeCell ref="BQ34:BT34"/>
    <mergeCell ref="BM35:BP35"/>
    <mergeCell ref="BQ35:BT35"/>
    <mergeCell ref="E35:H35"/>
    <mergeCell ref="I35:L35"/>
    <mergeCell ref="M35:P35"/>
    <mergeCell ref="Q35:T35"/>
    <mergeCell ref="U35:X35"/>
    <mergeCell ref="Y35:AB35"/>
    <mergeCell ref="AC35:AF35"/>
    <mergeCell ref="AG35:AJ35"/>
    <mergeCell ref="AK35:AN35"/>
    <mergeCell ref="AO35:AR35"/>
    <mergeCell ref="AO33:AR33"/>
    <mergeCell ref="E33:H33"/>
    <mergeCell ref="I33:L33"/>
    <mergeCell ref="M33:P33"/>
    <mergeCell ref="Q33:T33"/>
    <mergeCell ref="U33:X33"/>
    <mergeCell ref="Y33:AB33"/>
    <mergeCell ref="AC33:AF33"/>
    <mergeCell ref="AG33:AJ33"/>
    <mergeCell ref="AK33:AN33"/>
    <mergeCell ref="A1:A2"/>
    <mergeCell ref="B1:B2"/>
    <mergeCell ref="C1:C2"/>
    <mergeCell ref="D1:D2"/>
    <mergeCell ref="E1:H1"/>
    <mergeCell ref="BU1:BU2"/>
    <mergeCell ref="BV1:BV2"/>
    <mergeCell ref="BW1:BW2"/>
    <mergeCell ref="AK1:AN1"/>
    <mergeCell ref="AO1:AR1"/>
    <mergeCell ref="AS1:AV1"/>
    <mergeCell ref="AW1:AZ1"/>
    <mergeCell ref="BA1:BD1"/>
    <mergeCell ref="BE1:BH1"/>
    <mergeCell ref="B3:B30"/>
    <mergeCell ref="C3:C30"/>
    <mergeCell ref="BI1:BL1"/>
    <mergeCell ref="BM1:BP1"/>
    <mergeCell ref="BQ1:BT1"/>
    <mergeCell ref="M1:P1"/>
    <mergeCell ref="Q1:T1"/>
    <mergeCell ref="U1:X1"/>
    <mergeCell ref="Y1:AB1"/>
    <mergeCell ref="AC1:AF1"/>
    <mergeCell ref="AG1:AJ1"/>
    <mergeCell ref="I1:L1"/>
    <mergeCell ref="CC1:CC2"/>
    <mergeCell ref="CD1:CD2"/>
    <mergeCell ref="CE1:CE2"/>
    <mergeCell ref="CF1:CF2"/>
    <mergeCell ref="BX1:BX2"/>
    <mergeCell ref="BY1:BY2"/>
    <mergeCell ref="BZ1:BZ2"/>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887A5-2F56-4BA7-9106-3DED3C6B27ED}">
  <dimension ref="A1:CF35"/>
  <sheetViews>
    <sheetView zoomScale="104" zoomScaleNormal="64" workbookViewId="0">
      <pane ySplit="2" topLeftCell="A19" activePane="bottomLeft" state="frozen"/>
      <selection activeCell="BQ37" sqref="BQ37"/>
      <selection pane="bottomLeft" activeCell="D34" sqref="D34"/>
    </sheetView>
  </sheetViews>
  <sheetFormatPr defaultRowHeight="14.5" x14ac:dyDescent="0.35"/>
  <cols>
    <col min="2" max="3" width="28.453125" customWidth="1"/>
    <col min="4" max="4" width="17.1796875" customWidth="1"/>
    <col min="5" max="5" width="9.1796875" customWidth="1"/>
    <col min="77" max="77" width="13.7265625" customWidth="1"/>
    <col min="81" max="81" width="12.90625" bestFit="1" customWidth="1"/>
    <col min="83" max="83" width="11.81640625" bestFit="1" customWidth="1"/>
  </cols>
  <sheetData>
    <row r="1" spans="1:84" ht="15.5" thickTop="1" thickBot="1" x14ac:dyDescent="0.4">
      <c r="A1" s="92" t="s">
        <v>0</v>
      </c>
      <c r="B1" s="119" t="s">
        <v>47</v>
      </c>
      <c r="C1" s="121" t="s">
        <v>48</v>
      </c>
      <c r="D1" s="96" t="s">
        <v>2</v>
      </c>
      <c r="E1" s="98" t="s">
        <v>3</v>
      </c>
      <c r="F1" s="99"/>
      <c r="G1" s="99"/>
      <c r="H1" s="100"/>
      <c r="I1" s="101" t="s">
        <v>71</v>
      </c>
      <c r="J1" s="101"/>
      <c r="K1" s="101"/>
      <c r="L1" s="102"/>
      <c r="M1" s="92" t="s">
        <v>72</v>
      </c>
      <c r="N1" s="103"/>
      <c r="O1" s="103"/>
      <c r="P1" s="96"/>
      <c r="Q1" s="92" t="s">
        <v>73</v>
      </c>
      <c r="R1" s="103"/>
      <c r="S1" s="103"/>
      <c r="T1" s="96"/>
      <c r="U1" s="92" t="s">
        <v>74</v>
      </c>
      <c r="V1" s="103"/>
      <c r="W1" s="103"/>
      <c r="X1" s="96"/>
      <c r="Y1" s="92" t="s">
        <v>75</v>
      </c>
      <c r="Z1" s="103"/>
      <c r="AA1" s="103"/>
      <c r="AB1" s="96"/>
      <c r="AC1" s="92" t="s">
        <v>76</v>
      </c>
      <c r="AD1" s="103"/>
      <c r="AE1" s="103"/>
      <c r="AF1" s="96"/>
      <c r="AG1" s="92" t="s">
        <v>77</v>
      </c>
      <c r="AH1" s="103"/>
      <c r="AI1" s="103"/>
      <c r="AJ1" s="96"/>
      <c r="AK1" s="92" t="s">
        <v>78</v>
      </c>
      <c r="AL1" s="103"/>
      <c r="AM1" s="103"/>
      <c r="AN1" s="96"/>
      <c r="AO1" s="92" t="s">
        <v>79</v>
      </c>
      <c r="AP1" s="103"/>
      <c r="AQ1" s="103"/>
      <c r="AR1" s="96"/>
      <c r="AS1" s="92" t="s">
        <v>80</v>
      </c>
      <c r="AT1" s="103"/>
      <c r="AU1" s="103"/>
      <c r="AV1" s="96"/>
      <c r="AW1" s="92" t="s">
        <v>81</v>
      </c>
      <c r="AX1" s="103"/>
      <c r="AY1" s="103"/>
      <c r="AZ1" s="111"/>
      <c r="BA1" s="104" t="s">
        <v>82</v>
      </c>
      <c r="BB1" s="101"/>
      <c r="BC1" s="101"/>
      <c r="BD1" s="102"/>
      <c r="BE1" s="92" t="s">
        <v>83</v>
      </c>
      <c r="BF1" s="103"/>
      <c r="BG1" s="103"/>
      <c r="BH1" s="96"/>
      <c r="BI1" s="92" t="s">
        <v>84</v>
      </c>
      <c r="BJ1" s="103"/>
      <c r="BK1" s="103"/>
      <c r="BL1" s="96"/>
      <c r="BM1" s="92" t="s">
        <v>85</v>
      </c>
      <c r="BN1" s="103"/>
      <c r="BO1" s="103"/>
      <c r="BP1" s="96"/>
      <c r="BQ1" s="92" t="s">
        <v>86</v>
      </c>
      <c r="BR1" s="103"/>
      <c r="BS1" s="103"/>
      <c r="BT1" s="96"/>
      <c r="BU1" s="109" t="s">
        <v>4</v>
      </c>
      <c r="BV1" s="103" t="s">
        <v>5</v>
      </c>
      <c r="BW1" s="103" t="s">
        <v>6</v>
      </c>
      <c r="BX1" s="103" t="s">
        <v>7</v>
      </c>
      <c r="BY1" s="103" t="s">
        <v>117</v>
      </c>
      <c r="BZ1" s="96" t="s">
        <v>8</v>
      </c>
      <c r="CC1" s="91" t="s">
        <v>2</v>
      </c>
      <c r="CD1" s="91" t="str">
        <f>BX1</f>
        <v>Recall</v>
      </c>
      <c r="CE1" s="91" t="str">
        <f>BY1</f>
        <v>Precision</v>
      </c>
      <c r="CF1" s="91" t="str">
        <f>BZ1</f>
        <v>F1</v>
      </c>
    </row>
    <row r="2" spans="1:84" ht="15.5" thickTop="1" thickBot="1" x14ac:dyDescent="0.4">
      <c r="A2" s="93"/>
      <c r="B2" s="120"/>
      <c r="C2" s="117"/>
      <c r="D2" s="97"/>
      <c r="E2" s="5" t="s">
        <v>9</v>
      </c>
      <c r="F2" s="1" t="s">
        <v>4</v>
      </c>
      <c r="G2" s="1" t="s">
        <v>5</v>
      </c>
      <c r="H2" s="2" t="s">
        <v>6</v>
      </c>
      <c r="I2" s="1" t="s">
        <v>9</v>
      </c>
      <c r="J2" s="3" t="s">
        <v>4</v>
      </c>
      <c r="K2" s="3" t="s">
        <v>5</v>
      </c>
      <c r="L2" s="2" t="s">
        <v>6</v>
      </c>
      <c r="M2" s="1" t="s">
        <v>9</v>
      </c>
      <c r="N2" s="3" t="s">
        <v>4</v>
      </c>
      <c r="O2" s="3" t="s">
        <v>5</v>
      </c>
      <c r="P2" s="2" t="s">
        <v>6</v>
      </c>
      <c r="Q2" s="1" t="s">
        <v>9</v>
      </c>
      <c r="R2" s="3" t="s">
        <v>4</v>
      </c>
      <c r="S2" s="3" t="s">
        <v>5</v>
      </c>
      <c r="T2" s="2" t="s">
        <v>6</v>
      </c>
      <c r="U2" s="1" t="s">
        <v>9</v>
      </c>
      <c r="V2" s="3" t="s">
        <v>4</v>
      </c>
      <c r="W2" s="3" t="s">
        <v>5</v>
      </c>
      <c r="X2" s="2" t="s">
        <v>6</v>
      </c>
      <c r="Y2" s="1" t="s">
        <v>9</v>
      </c>
      <c r="Z2" s="3" t="s">
        <v>4</v>
      </c>
      <c r="AA2" s="3" t="s">
        <v>5</v>
      </c>
      <c r="AB2" s="2" t="s">
        <v>6</v>
      </c>
      <c r="AC2" s="1" t="s">
        <v>9</v>
      </c>
      <c r="AD2" s="3" t="s">
        <v>4</v>
      </c>
      <c r="AE2" s="3" t="s">
        <v>5</v>
      </c>
      <c r="AF2" s="2" t="s">
        <v>6</v>
      </c>
      <c r="AG2" s="1" t="s">
        <v>9</v>
      </c>
      <c r="AH2" s="3" t="s">
        <v>4</v>
      </c>
      <c r="AI2" s="3" t="s">
        <v>5</v>
      </c>
      <c r="AJ2" s="2" t="s">
        <v>6</v>
      </c>
      <c r="AK2" s="1" t="s">
        <v>9</v>
      </c>
      <c r="AL2" s="3" t="s">
        <v>4</v>
      </c>
      <c r="AM2" s="3" t="s">
        <v>5</v>
      </c>
      <c r="AN2" s="2" t="s">
        <v>6</v>
      </c>
      <c r="AO2" s="1" t="s">
        <v>9</v>
      </c>
      <c r="AP2" s="3" t="s">
        <v>4</v>
      </c>
      <c r="AQ2" s="3" t="s">
        <v>5</v>
      </c>
      <c r="AR2" s="2" t="s">
        <v>6</v>
      </c>
      <c r="AS2" s="1" t="s">
        <v>9</v>
      </c>
      <c r="AT2" s="3" t="s">
        <v>4</v>
      </c>
      <c r="AU2" s="3" t="s">
        <v>5</v>
      </c>
      <c r="AV2" s="2" t="s">
        <v>6</v>
      </c>
      <c r="AW2" s="1" t="s">
        <v>9</v>
      </c>
      <c r="AX2" s="3" t="s">
        <v>4</v>
      </c>
      <c r="AY2" s="3" t="s">
        <v>5</v>
      </c>
      <c r="AZ2" s="68" t="s">
        <v>6</v>
      </c>
      <c r="BA2" s="66" t="s">
        <v>9</v>
      </c>
      <c r="BB2" s="67" t="s">
        <v>4</v>
      </c>
      <c r="BC2" s="67" t="s">
        <v>5</v>
      </c>
      <c r="BD2" s="68" t="s">
        <v>6</v>
      </c>
      <c r="BE2" s="5" t="s">
        <v>9</v>
      </c>
      <c r="BF2" s="3" t="s">
        <v>4</v>
      </c>
      <c r="BG2" s="3" t="s">
        <v>5</v>
      </c>
      <c r="BH2" s="2" t="s">
        <v>6</v>
      </c>
      <c r="BI2" s="1" t="s">
        <v>9</v>
      </c>
      <c r="BJ2" s="3" t="s">
        <v>4</v>
      </c>
      <c r="BK2" s="3" t="s">
        <v>5</v>
      </c>
      <c r="BL2" s="2" t="s">
        <v>6</v>
      </c>
      <c r="BM2" s="1" t="s">
        <v>9</v>
      </c>
      <c r="BN2" s="3" t="s">
        <v>4</v>
      </c>
      <c r="BO2" s="3" t="s">
        <v>5</v>
      </c>
      <c r="BP2" s="2" t="s">
        <v>6</v>
      </c>
      <c r="BQ2" s="1" t="s">
        <v>9</v>
      </c>
      <c r="BR2" s="3" t="s">
        <v>4</v>
      </c>
      <c r="BS2" s="3" t="s">
        <v>5</v>
      </c>
      <c r="BT2" s="2" t="s">
        <v>6</v>
      </c>
      <c r="BU2" s="110"/>
      <c r="BV2" s="105"/>
      <c r="BW2" s="105"/>
      <c r="BX2" s="105"/>
      <c r="BY2" s="105"/>
      <c r="BZ2" s="106"/>
      <c r="CC2" s="91"/>
      <c r="CD2" s="91"/>
      <c r="CE2" s="91"/>
      <c r="CF2" s="91"/>
    </row>
    <row r="3" spans="1:84" ht="15" thickTop="1" x14ac:dyDescent="0.35">
      <c r="A3" s="52" t="s">
        <v>10</v>
      </c>
      <c r="B3" s="107" t="s">
        <v>49</v>
      </c>
      <c r="C3" s="107" t="s">
        <v>50</v>
      </c>
      <c r="D3" s="6" t="s">
        <v>11</v>
      </c>
      <c r="E3" s="7">
        <v>2</v>
      </c>
      <c r="F3" s="8">
        <v>2</v>
      </c>
      <c r="G3" s="8">
        <f t="shared" ref="G3:G30" si="0">E3-F3</f>
        <v>0</v>
      </c>
      <c r="H3" s="6">
        <v>0</v>
      </c>
      <c r="I3" s="9">
        <v>0</v>
      </c>
      <c r="J3" s="8">
        <v>0</v>
      </c>
      <c r="K3" s="8">
        <f t="shared" ref="K3:K13" si="1">I3-J3</f>
        <v>0</v>
      </c>
      <c r="L3" s="6">
        <v>0</v>
      </c>
      <c r="M3" s="9">
        <v>0</v>
      </c>
      <c r="N3" s="8">
        <v>0</v>
      </c>
      <c r="O3" s="8">
        <f t="shared" ref="O3:O13" si="2">M3-N3</f>
        <v>0</v>
      </c>
      <c r="P3" s="6">
        <v>0</v>
      </c>
      <c r="Q3" s="9">
        <v>2</v>
      </c>
      <c r="R3" s="8">
        <v>2</v>
      </c>
      <c r="S3" s="8">
        <f t="shared" ref="S3:S30" si="3">Q3-R3</f>
        <v>0</v>
      </c>
      <c r="T3" s="6">
        <v>0</v>
      </c>
      <c r="U3" s="9">
        <v>2</v>
      </c>
      <c r="V3" s="8">
        <v>2</v>
      </c>
      <c r="W3" s="8">
        <f t="shared" ref="W3:W13" si="4">U3-V3</f>
        <v>0</v>
      </c>
      <c r="X3" s="6">
        <v>0</v>
      </c>
      <c r="Y3" s="9">
        <v>3</v>
      </c>
      <c r="Z3" s="8">
        <v>3</v>
      </c>
      <c r="AA3" s="8">
        <f t="shared" ref="AA3:AA15" si="5">Y3-Z3</f>
        <v>0</v>
      </c>
      <c r="AB3" s="6">
        <v>0</v>
      </c>
      <c r="AC3" s="9">
        <v>2</v>
      </c>
      <c r="AD3" s="8">
        <v>2</v>
      </c>
      <c r="AE3" s="8">
        <f t="shared" ref="AE3:AE29" si="6">AC3-AD3</f>
        <v>0</v>
      </c>
      <c r="AF3" s="6">
        <v>0</v>
      </c>
      <c r="AG3" s="9">
        <v>3</v>
      </c>
      <c r="AH3" s="8">
        <v>0</v>
      </c>
      <c r="AI3" s="8">
        <f t="shared" ref="AI3:AI30" si="7">AG3-AH3</f>
        <v>3</v>
      </c>
      <c r="AJ3" s="6">
        <v>0</v>
      </c>
      <c r="AK3" s="9">
        <v>1</v>
      </c>
      <c r="AL3" s="8">
        <v>1</v>
      </c>
      <c r="AM3" s="8">
        <f t="shared" ref="AM3:AM30" si="8">AK3-AL3</f>
        <v>0</v>
      </c>
      <c r="AN3" s="6">
        <v>0</v>
      </c>
      <c r="AO3" s="9">
        <v>0</v>
      </c>
      <c r="AP3" s="8">
        <v>0</v>
      </c>
      <c r="AQ3" s="8">
        <f t="shared" ref="AQ3:AQ30" si="9">AO3-AP3</f>
        <v>0</v>
      </c>
      <c r="AR3" s="6">
        <v>0</v>
      </c>
      <c r="AS3" s="9">
        <v>0</v>
      </c>
      <c r="AT3" s="8">
        <v>0</v>
      </c>
      <c r="AU3" s="8">
        <f t="shared" ref="AU3:AU30" si="10">AS3-AT3</f>
        <v>0</v>
      </c>
      <c r="AV3" s="6">
        <v>0</v>
      </c>
      <c r="AW3" s="9">
        <v>0</v>
      </c>
      <c r="AX3" s="8">
        <v>0</v>
      </c>
      <c r="AY3" s="8">
        <f t="shared" ref="AY3:AY30" si="11">AW3-AX3</f>
        <v>0</v>
      </c>
      <c r="AZ3" s="6">
        <v>0</v>
      </c>
      <c r="BA3" s="7">
        <v>1</v>
      </c>
      <c r="BB3" s="10">
        <v>1</v>
      </c>
      <c r="BC3" s="10">
        <f t="shared" ref="BC3:BC30" si="12">BA3-BB3</f>
        <v>0</v>
      </c>
      <c r="BD3" s="70">
        <v>0</v>
      </c>
      <c r="BE3" s="7">
        <v>1</v>
      </c>
      <c r="BF3" s="8">
        <v>0</v>
      </c>
      <c r="BG3" s="8">
        <f t="shared" ref="BG3:BG30" si="13">BE3-BF3</f>
        <v>1</v>
      </c>
      <c r="BH3" s="6">
        <v>1</v>
      </c>
      <c r="BI3" s="9">
        <v>0</v>
      </c>
      <c r="BJ3" s="8">
        <v>0</v>
      </c>
      <c r="BK3" s="8">
        <f t="shared" ref="BK3:BK30" si="14">BI3-BJ3</f>
        <v>0</v>
      </c>
      <c r="BL3" s="6">
        <v>0</v>
      </c>
      <c r="BM3" s="9">
        <v>0</v>
      </c>
      <c r="BN3" s="8">
        <v>0</v>
      </c>
      <c r="BO3" s="8">
        <f t="shared" ref="BO3:BO30" si="15">BM3-BN3</f>
        <v>0</v>
      </c>
      <c r="BP3" s="6">
        <v>0</v>
      </c>
      <c r="BQ3" s="9">
        <v>0</v>
      </c>
      <c r="BR3" s="8">
        <v>0</v>
      </c>
      <c r="BS3" s="8">
        <f t="shared" ref="BS3:BS30" si="16">BQ3-BR3</f>
        <v>0</v>
      </c>
      <c r="BT3" s="6">
        <v>0</v>
      </c>
      <c r="BU3" s="9">
        <f t="shared" ref="BU3:BU30" si="17">SUM(F3,J3,N3,R3,V3,Z3,AD3,AH3,AL3,AP3,AT3,AX3,BF3,BJ3,BN3,BR3,BB3)</f>
        <v>13</v>
      </c>
      <c r="BV3" s="8">
        <f t="shared" ref="BV3:BV30" si="18">SUM(BS3,BO3,BK3,BG3,AY3,AU3,AQ3,AM3,AI3,AE3,AA3,W3,S3,O3,K3,G3,BC3)</f>
        <v>4</v>
      </c>
      <c r="BW3" s="10">
        <f t="shared" ref="BW3:BW30" si="19">SUM(BT3,BP3,BL3,BH3,AZ3,AV3,AR3,AN3,AJ3,AF3,AB3,X3,T3,P3,L3,H3, BD3)</f>
        <v>1</v>
      </c>
      <c r="BX3" s="8">
        <f t="shared" ref="BX3:BX30" si="20">BU3/(BU3+BV3)</f>
        <v>0.76470588235294112</v>
      </c>
      <c r="BY3" s="8">
        <f t="shared" ref="BY3:BY30" si="21">BU3/(BU3+BW3)</f>
        <v>0.9285714285714286</v>
      </c>
      <c r="BZ3" s="6">
        <f>2*(BY3*BX3)/(BY3+BX3)</f>
        <v>0.83870967741935487</v>
      </c>
      <c r="CC3" s="75" t="s">
        <v>54</v>
      </c>
      <c r="CD3">
        <f>AVERAGE(BX3:BX4)</f>
        <v>0.64705882352941169</v>
      </c>
      <c r="CE3">
        <f t="shared" ref="CE3:CF3" si="22">AVERAGE(BY3:BY4)</f>
        <v>0.91428571428571437</v>
      </c>
      <c r="CF3">
        <f t="shared" si="22"/>
        <v>0.75268817204301075</v>
      </c>
    </row>
    <row r="4" spans="1:84" ht="15" customHeight="1" x14ac:dyDescent="0.35">
      <c r="A4" s="52" t="s">
        <v>10</v>
      </c>
      <c r="B4" s="108"/>
      <c r="C4" s="108"/>
      <c r="D4" s="70" t="s">
        <v>12</v>
      </c>
      <c r="E4" s="7">
        <v>2</v>
      </c>
      <c r="F4" s="10">
        <v>2</v>
      </c>
      <c r="G4" s="10">
        <f t="shared" si="0"/>
        <v>0</v>
      </c>
      <c r="H4" s="70">
        <v>0</v>
      </c>
      <c r="I4" s="7">
        <v>0</v>
      </c>
      <c r="J4" s="10">
        <v>0</v>
      </c>
      <c r="K4" s="10">
        <f t="shared" si="1"/>
        <v>0</v>
      </c>
      <c r="L4" s="70">
        <v>0</v>
      </c>
      <c r="M4" s="7">
        <v>0</v>
      </c>
      <c r="N4" s="10">
        <v>0</v>
      </c>
      <c r="O4" s="10">
        <f t="shared" si="2"/>
        <v>0</v>
      </c>
      <c r="P4" s="70">
        <v>0</v>
      </c>
      <c r="Q4" s="7">
        <v>2</v>
      </c>
      <c r="R4" s="10">
        <v>2</v>
      </c>
      <c r="S4" s="10">
        <f t="shared" si="3"/>
        <v>0</v>
      </c>
      <c r="T4" s="70">
        <v>0</v>
      </c>
      <c r="U4" s="7">
        <v>2</v>
      </c>
      <c r="V4" s="10">
        <v>0</v>
      </c>
      <c r="W4" s="10">
        <f t="shared" si="4"/>
        <v>2</v>
      </c>
      <c r="X4" s="70">
        <v>0</v>
      </c>
      <c r="Y4" s="7">
        <v>3</v>
      </c>
      <c r="Z4" s="10">
        <v>3</v>
      </c>
      <c r="AA4" s="10">
        <f t="shared" si="5"/>
        <v>0</v>
      </c>
      <c r="AB4" s="70">
        <v>0</v>
      </c>
      <c r="AC4" s="7">
        <v>2</v>
      </c>
      <c r="AD4" s="10">
        <v>0</v>
      </c>
      <c r="AE4" s="10">
        <f t="shared" si="6"/>
        <v>2</v>
      </c>
      <c r="AF4" s="70">
        <v>0</v>
      </c>
      <c r="AG4" s="7">
        <v>3</v>
      </c>
      <c r="AH4" s="10">
        <v>0</v>
      </c>
      <c r="AI4" s="10">
        <f t="shared" si="7"/>
        <v>3</v>
      </c>
      <c r="AJ4" s="70">
        <v>0</v>
      </c>
      <c r="AK4" s="7">
        <v>1</v>
      </c>
      <c r="AL4" s="10">
        <v>1</v>
      </c>
      <c r="AM4" s="10">
        <f t="shared" si="8"/>
        <v>0</v>
      </c>
      <c r="AN4" s="70">
        <v>0</v>
      </c>
      <c r="AO4" s="7">
        <v>0</v>
      </c>
      <c r="AP4" s="10">
        <v>0</v>
      </c>
      <c r="AQ4" s="10">
        <f t="shared" si="9"/>
        <v>0</v>
      </c>
      <c r="AR4" s="70">
        <v>0</v>
      </c>
      <c r="AS4" s="7">
        <v>0</v>
      </c>
      <c r="AT4" s="10">
        <v>0</v>
      </c>
      <c r="AU4" s="10">
        <f t="shared" si="10"/>
        <v>0</v>
      </c>
      <c r="AV4" s="70">
        <v>0</v>
      </c>
      <c r="AW4" s="7">
        <v>0</v>
      </c>
      <c r="AX4" s="10">
        <v>0</v>
      </c>
      <c r="AY4" s="10">
        <f t="shared" si="11"/>
        <v>0</v>
      </c>
      <c r="AZ4" s="70">
        <v>0</v>
      </c>
      <c r="BA4" s="7">
        <v>1</v>
      </c>
      <c r="BB4" s="10">
        <v>0</v>
      </c>
      <c r="BC4" s="10">
        <f t="shared" si="12"/>
        <v>1</v>
      </c>
      <c r="BD4" s="70">
        <v>1</v>
      </c>
      <c r="BE4" s="7">
        <v>1</v>
      </c>
      <c r="BF4" s="10">
        <v>1</v>
      </c>
      <c r="BG4" s="10">
        <f t="shared" si="13"/>
        <v>0</v>
      </c>
      <c r="BH4" s="70">
        <v>0</v>
      </c>
      <c r="BI4" s="7">
        <v>0</v>
      </c>
      <c r="BJ4" s="10">
        <v>0</v>
      </c>
      <c r="BK4" s="10">
        <f t="shared" si="14"/>
        <v>0</v>
      </c>
      <c r="BL4" s="70">
        <v>0</v>
      </c>
      <c r="BM4" s="7">
        <v>0</v>
      </c>
      <c r="BN4" s="10">
        <v>0</v>
      </c>
      <c r="BO4" s="10">
        <f t="shared" si="15"/>
        <v>0</v>
      </c>
      <c r="BP4" s="70">
        <v>0</v>
      </c>
      <c r="BQ4" s="7">
        <v>0</v>
      </c>
      <c r="BR4" s="10">
        <v>0</v>
      </c>
      <c r="BS4" s="10">
        <f t="shared" si="16"/>
        <v>0</v>
      </c>
      <c r="BT4" s="70">
        <v>0</v>
      </c>
      <c r="BU4" s="7">
        <f t="shared" si="17"/>
        <v>9</v>
      </c>
      <c r="BV4" s="10">
        <f t="shared" si="18"/>
        <v>8</v>
      </c>
      <c r="BW4" s="10">
        <f t="shared" si="19"/>
        <v>1</v>
      </c>
      <c r="BX4" s="10">
        <f t="shared" si="20"/>
        <v>0.52941176470588236</v>
      </c>
      <c r="BY4" s="10">
        <f t="shared" si="21"/>
        <v>0.9</v>
      </c>
      <c r="BZ4" s="70">
        <f t="shared" ref="BZ4:BZ30" si="23">2*(BY4*BX4)/(BY4+BX4)</f>
        <v>0.66666666666666674</v>
      </c>
      <c r="CC4" s="75" t="s">
        <v>55</v>
      </c>
      <c r="CD4">
        <f>AVERAGE(BX5:BX6)</f>
        <v>1</v>
      </c>
      <c r="CE4">
        <f t="shared" ref="CE4:CF4" si="24">AVERAGE(BY5:BY6)</f>
        <v>0.94117647058823528</v>
      </c>
      <c r="CF4">
        <f t="shared" si="24"/>
        <v>0.96875</v>
      </c>
    </row>
    <row r="5" spans="1:84" x14ac:dyDescent="0.35">
      <c r="A5" s="53" t="s">
        <v>10</v>
      </c>
      <c r="B5" s="108"/>
      <c r="C5" s="108"/>
      <c r="D5" s="11" t="s">
        <v>13</v>
      </c>
      <c r="E5" s="12">
        <v>4</v>
      </c>
      <c r="F5" s="13">
        <v>4</v>
      </c>
      <c r="G5" s="13">
        <f t="shared" si="0"/>
        <v>0</v>
      </c>
      <c r="H5" s="11">
        <v>0</v>
      </c>
      <c r="I5" s="12">
        <v>0</v>
      </c>
      <c r="J5" s="13">
        <v>0</v>
      </c>
      <c r="K5" s="13">
        <f t="shared" si="1"/>
        <v>0</v>
      </c>
      <c r="L5" s="11">
        <v>0</v>
      </c>
      <c r="M5" s="12">
        <v>0</v>
      </c>
      <c r="N5" s="13">
        <v>0</v>
      </c>
      <c r="O5" s="13">
        <f t="shared" si="2"/>
        <v>0</v>
      </c>
      <c r="P5" s="11">
        <v>0</v>
      </c>
      <c r="Q5" s="12">
        <v>4</v>
      </c>
      <c r="R5" s="13">
        <v>4</v>
      </c>
      <c r="S5" s="13">
        <f t="shared" si="3"/>
        <v>0</v>
      </c>
      <c r="T5" s="11">
        <v>0</v>
      </c>
      <c r="U5" s="12">
        <v>0</v>
      </c>
      <c r="V5" s="13">
        <v>0</v>
      </c>
      <c r="W5" s="13">
        <f t="shared" si="4"/>
        <v>0</v>
      </c>
      <c r="X5" s="11">
        <v>0</v>
      </c>
      <c r="Y5" s="12">
        <v>1</v>
      </c>
      <c r="Z5" s="13">
        <v>1</v>
      </c>
      <c r="AA5" s="13">
        <f t="shared" si="5"/>
        <v>0</v>
      </c>
      <c r="AB5" s="11">
        <v>0</v>
      </c>
      <c r="AC5" s="12">
        <v>0</v>
      </c>
      <c r="AD5" s="13">
        <v>0</v>
      </c>
      <c r="AE5" s="13">
        <f t="shared" si="6"/>
        <v>0</v>
      </c>
      <c r="AF5" s="11">
        <v>2</v>
      </c>
      <c r="AG5" s="12">
        <v>0</v>
      </c>
      <c r="AH5" s="13">
        <v>0</v>
      </c>
      <c r="AI5" s="13">
        <f t="shared" si="7"/>
        <v>0</v>
      </c>
      <c r="AJ5" s="11">
        <v>0</v>
      </c>
      <c r="AK5" s="12">
        <v>3</v>
      </c>
      <c r="AL5" s="13">
        <v>3</v>
      </c>
      <c r="AM5" s="13">
        <f t="shared" si="8"/>
        <v>0</v>
      </c>
      <c r="AN5" s="11">
        <v>0</v>
      </c>
      <c r="AO5" s="12">
        <v>0</v>
      </c>
      <c r="AP5" s="13">
        <v>0</v>
      </c>
      <c r="AQ5" s="13">
        <f t="shared" si="9"/>
        <v>0</v>
      </c>
      <c r="AR5" s="11">
        <v>0</v>
      </c>
      <c r="AS5" s="12">
        <v>0</v>
      </c>
      <c r="AT5" s="13">
        <v>0</v>
      </c>
      <c r="AU5" s="13">
        <f t="shared" si="10"/>
        <v>0</v>
      </c>
      <c r="AV5" s="11">
        <v>0</v>
      </c>
      <c r="AW5" s="12">
        <v>0</v>
      </c>
      <c r="AX5" s="13">
        <v>0</v>
      </c>
      <c r="AY5" s="13">
        <f t="shared" si="11"/>
        <v>0</v>
      </c>
      <c r="AZ5" s="11">
        <v>0</v>
      </c>
      <c r="BA5" s="12">
        <v>3</v>
      </c>
      <c r="BB5" s="13">
        <v>3</v>
      </c>
      <c r="BC5" s="13">
        <f t="shared" si="12"/>
        <v>0</v>
      </c>
      <c r="BD5" s="11">
        <v>0</v>
      </c>
      <c r="BE5" s="12">
        <v>0</v>
      </c>
      <c r="BF5" s="13">
        <v>0</v>
      </c>
      <c r="BG5" s="13">
        <f t="shared" si="13"/>
        <v>0</v>
      </c>
      <c r="BH5" s="11">
        <v>0</v>
      </c>
      <c r="BI5" s="12">
        <v>0</v>
      </c>
      <c r="BJ5" s="13">
        <v>0</v>
      </c>
      <c r="BK5" s="13">
        <f t="shared" si="14"/>
        <v>0</v>
      </c>
      <c r="BL5" s="11">
        <v>0</v>
      </c>
      <c r="BM5" s="12">
        <v>0</v>
      </c>
      <c r="BN5" s="13">
        <v>0</v>
      </c>
      <c r="BO5" s="13">
        <f t="shared" si="15"/>
        <v>0</v>
      </c>
      <c r="BP5" s="11">
        <v>0</v>
      </c>
      <c r="BQ5" s="12">
        <v>0</v>
      </c>
      <c r="BR5" s="13">
        <v>0</v>
      </c>
      <c r="BS5" s="13">
        <f t="shared" si="16"/>
        <v>0</v>
      </c>
      <c r="BT5" s="11">
        <v>0</v>
      </c>
      <c r="BU5" s="12">
        <f t="shared" si="17"/>
        <v>15</v>
      </c>
      <c r="BV5" s="13">
        <f t="shared" si="18"/>
        <v>0</v>
      </c>
      <c r="BW5" s="13">
        <f t="shared" si="19"/>
        <v>2</v>
      </c>
      <c r="BX5" s="13">
        <f t="shared" si="20"/>
        <v>1</v>
      </c>
      <c r="BY5" s="13">
        <f t="shared" si="21"/>
        <v>0.88235294117647056</v>
      </c>
      <c r="BZ5" s="11">
        <f t="shared" si="23"/>
        <v>0.9375</v>
      </c>
      <c r="CC5" s="75" t="s">
        <v>56</v>
      </c>
      <c r="CD5">
        <f>AVERAGE(BX7:BX8)</f>
        <v>1</v>
      </c>
      <c r="CE5">
        <f t="shared" ref="CE5:CF5" si="25">AVERAGE(BY7:BY8)</f>
        <v>0.98076923076923084</v>
      </c>
      <c r="CF5">
        <f t="shared" si="25"/>
        <v>0.99019607843137258</v>
      </c>
    </row>
    <row r="6" spans="1:84" x14ac:dyDescent="0.35">
      <c r="A6" s="53" t="s">
        <v>10</v>
      </c>
      <c r="B6" s="108"/>
      <c r="C6" s="108"/>
      <c r="D6" s="11" t="s">
        <v>14</v>
      </c>
      <c r="E6" s="12">
        <v>4</v>
      </c>
      <c r="F6" s="13">
        <v>4</v>
      </c>
      <c r="G6" s="13">
        <f t="shared" si="0"/>
        <v>0</v>
      </c>
      <c r="H6" s="11">
        <v>0</v>
      </c>
      <c r="I6" s="12">
        <v>0</v>
      </c>
      <c r="J6" s="13">
        <v>0</v>
      </c>
      <c r="K6" s="13">
        <f t="shared" si="1"/>
        <v>0</v>
      </c>
      <c r="L6" s="11">
        <v>0</v>
      </c>
      <c r="M6" s="12">
        <v>0</v>
      </c>
      <c r="N6" s="13">
        <v>0</v>
      </c>
      <c r="O6" s="13">
        <f t="shared" si="2"/>
        <v>0</v>
      </c>
      <c r="P6" s="11">
        <v>0</v>
      </c>
      <c r="Q6" s="12">
        <v>4</v>
      </c>
      <c r="R6" s="13">
        <v>4</v>
      </c>
      <c r="S6" s="13">
        <f t="shared" si="3"/>
        <v>0</v>
      </c>
      <c r="T6" s="11">
        <v>0</v>
      </c>
      <c r="U6" s="12">
        <v>0</v>
      </c>
      <c r="V6" s="13">
        <v>0</v>
      </c>
      <c r="W6" s="13">
        <f t="shared" si="4"/>
        <v>0</v>
      </c>
      <c r="X6" s="11">
        <v>0</v>
      </c>
      <c r="Y6" s="12">
        <v>1</v>
      </c>
      <c r="Z6" s="13">
        <v>1</v>
      </c>
      <c r="AA6" s="13">
        <f t="shared" si="5"/>
        <v>0</v>
      </c>
      <c r="AB6" s="11">
        <v>0</v>
      </c>
      <c r="AC6" s="12">
        <v>0</v>
      </c>
      <c r="AD6" s="13">
        <v>0</v>
      </c>
      <c r="AE6" s="13">
        <f t="shared" si="6"/>
        <v>0</v>
      </c>
      <c r="AF6" s="11">
        <v>0</v>
      </c>
      <c r="AG6" s="12">
        <v>0</v>
      </c>
      <c r="AH6" s="13">
        <v>0</v>
      </c>
      <c r="AI6" s="13">
        <f t="shared" si="7"/>
        <v>0</v>
      </c>
      <c r="AJ6" s="11">
        <v>0</v>
      </c>
      <c r="AK6" s="12">
        <v>3</v>
      </c>
      <c r="AL6" s="13">
        <v>3</v>
      </c>
      <c r="AM6" s="13">
        <f t="shared" si="8"/>
        <v>0</v>
      </c>
      <c r="AN6" s="11">
        <v>0</v>
      </c>
      <c r="AO6" s="12">
        <v>0</v>
      </c>
      <c r="AP6" s="13">
        <v>0</v>
      </c>
      <c r="AQ6" s="13">
        <f t="shared" si="9"/>
        <v>0</v>
      </c>
      <c r="AR6" s="11">
        <v>0</v>
      </c>
      <c r="AS6" s="12">
        <v>0</v>
      </c>
      <c r="AT6" s="13">
        <v>0</v>
      </c>
      <c r="AU6" s="13">
        <f t="shared" si="10"/>
        <v>0</v>
      </c>
      <c r="AV6" s="11">
        <v>0</v>
      </c>
      <c r="AW6" s="12">
        <v>0</v>
      </c>
      <c r="AX6" s="13">
        <v>0</v>
      </c>
      <c r="AY6" s="13">
        <f t="shared" si="11"/>
        <v>0</v>
      </c>
      <c r="AZ6" s="11">
        <v>0</v>
      </c>
      <c r="BA6" s="12">
        <v>3</v>
      </c>
      <c r="BB6" s="13">
        <v>3</v>
      </c>
      <c r="BC6" s="13">
        <f t="shared" si="12"/>
        <v>0</v>
      </c>
      <c r="BD6" s="11">
        <v>0</v>
      </c>
      <c r="BE6" s="12">
        <v>0</v>
      </c>
      <c r="BF6" s="13">
        <v>0</v>
      </c>
      <c r="BG6" s="13">
        <f t="shared" si="13"/>
        <v>0</v>
      </c>
      <c r="BH6" s="11">
        <v>0</v>
      </c>
      <c r="BI6" s="12">
        <v>0</v>
      </c>
      <c r="BJ6" s="13">
        <v>0</v>
      </c>
      <c r="BK6" s="13">
        <f t="shared" si="14"/>
        <v>0</v>
      </c>
      <c r="BL6" s="11">
        <v>0</v>
      </c>
      <c r="BM6" s="12">
        <v>0</v>
      </c>
      <c r="BN6" s="13">
        <v>0</v>
      </c>
      <c r="BO6" s="13">
        <f t="shared" si="15"/>
        <v>0</v>
      </c>
      <c r="BP6" s="11">
        <v>0</v>
      </c>
      <c r="BQ6" s="12">
        <v>0</v>
      </c>
      <c r="BR6" s="13">
        <v>0</v>
      </c>
      <c r="BS6" s="13">
        <f t="shared" si="16"/>
        <v>0</v>
      </c>
      <c r="BT6" s="11">
        <v>0</v>
      </c>
      <c r="BU6" s="12">
        <f t="shared" si="17"/>
        <v>15</v>
      </c>
      <c r="BV6" s="13">
        <f t="shared" si="18"/>
        <v>0</v>
      </c>
      <c r="BW6" s="13">
        <f t="shared" si="19"/>
        <v>0</v>
      </c>
      <c r="BX6" s="13">
        <f t="shared" si="20"/>
        <v>1</v>
      </c>
      <c r="BY6" s="13">
        <f t="shared" si="21"/>
        <v>1</v>
      </c>
      <c r="BZ6" s="11">
        <f t="shared" si="23"/>
        <v>1</v>
      </c>
      <c r="CC6" s="75" t="s">
        <v>57</v>
      </c>
      <c r="CD6">
        <f>AVERAGE(BX9:BX10)</f>
        <v>0.84615384615384615</v>
      </c>
      <c r="CE6">
        <f t="shared" ref="CE6:CF6" si="26">AVERAGE(BY9:BY10)</f>
        <v>0.91666666666666663</v>
      </c>
      <c r="CF6">
        <f t="shared" si="26"/>
        <v>0.87999999999999989</v>
      </c>
    </row>
    <row r="7" spans="1:84" x14ac:dyDescent="0.35">
      <c r="A7" s="54" t="s">
        <v>10</v>
      </c>
      <c r="B7" s="108"/>
      <c r="C7" s="108"/>
      <c r="D7" s="14" t="s">
        <v>15</v>
      </c>
      <c r="E7" s="15">
        <v>6</v>
      </c>
      <c r="F7" s="16">
        <v>6</v>
      </c>
      <c r="G7" s="16">
        <f t="shared" si="0"/>
        <v>0</v>
      </c>
      <c r="H7" s="14">
        <v>0</v>
      </c>
      <c r="I7" s="15">
        <v>0</v>
      </c>
      <c r="J7" s="16">
        <v>0</v>
      </c>
      <c r="K7" s="16">
        <f t="shared" si="1"/>
        <v>0</v>
      </c>
      <c r="L7" s="14">
        <v>0</v>
      </c>
      <c r="M7" s="15">
        <v>0</v>
      </c>
      <c r="N7" s="16">
        <v>0</v>
      </c>
      <c r="O7" s="16">
        <f t="shared" si="2"/>
        <v>0</v>
      </c>
      <c r="P7" s="14">
        <v>0</v>
      </c>
      <c r="Q7" s="15">
        <v>9</v>
      </c>
      <c r="R7" s="16">
        <v>9</v>
      </c>
      <c r="S7" s="16">
        <f t="shared" si="3"/>
        <v>0</v>
      </c>
      <c r="T7" s="14">
        <v>0</v>
      </c>
      <c r="U7" s="15">
        <v>0</v>
      </c>
      <c r="V7" s="16">
        <v>0</v>
      </c>
      <c r="W7" s="16">
        <f t="shared" si="4"/>
        <v>0</v>
      </c>
      <c r="X7" s="14">
        <v>0</v>
      </c>
      <c r="Y7" s="15">
        <v>0</v>
      </c>
      <c r="Z7" s="16">
        <v>0</v>
      </c>
      <c r="AA7" s="16">
        <f t="shared" si="5"/>
        <v>0</v>
      </c>
      <c r="AB7" s="14">
        <v>0</v>
      </c>
      <c r="AC7" s="15">
        <v>0</v>
      </c>
      <c r="AD7" s="16">
        <v>0</v>
      </c>
      <c r="AE7" s="16">
        <f t="shared" si="6"/>
        <v>0</v>
      </c>
      <c r="AF7" s="14">
        <v>0</v>
      </c>
      <c r="AG7" s="15">
        <v>0</v>
      </c>
      <c r="AH7" s="16">
        <v>0</v>
      </c>
      <c r="AI7" s="16">
        <f t="shared" si="7"/>
        <v>0</v>
      </c>
      <c r="AJ7" s="14">
        <v>0</v>
      </c>
      <c r="AK7" s="15">
        <v>5</v>
      </c>
      <c r="AL7" s="16">
        <v>5</v>
      </c>
      <c r="AM7" s="16">
        <f t="shared" si="8"/>
        <v>0</v>
      </c>
      <c r="AN7" s="14">
        <v>0</v>
      </c>
      <c r="AO7" s="15">
        <v>0</v>
      </c>
      <c r="AP7" s="16">
        <v>0</v>
      </c>
      <c r="AQ7" s="16">
        <f t="shared" si="9"/>
        <v>0</v>
      </c>
      <c r="AR7" s="14">
        <v>0</v>
      </c>
      <c r="AS7" s="15">
        <v>0</v>
      </c>
      <c r="AT7" s="16">
        <v>0</v>
      </c>
      <c r="AU7" s="16">
        <f t="shared" si="10"/>
        <v>0</v>
      </c>
      <c r="AV7" s="14">
        <v>0</v>
      </c>
      <c r="AW7" s="15">
        <v>0</v>
      </c>
      <c r="AX7" s="16">
        <v>0</v>
      </c>
      <c r="AY7" s="16">
        <f t="shared" si="11"/>
        <v>0</v>
      </c>
      <c r="AZ7" s="14">
        <v>0</v>
      </c>
      <c r="BA7" s="15">
        <v>5</v>
      </c>
      <c r="BB7" s="16">
        <v>5</v>
      </c>
      <c r="BC7" s="16">
        <f t="shared" si="12"/>
        <v>0</v>
      </c>
      <c r="BD7" s="14">
        <v>0</v>
      </c>
      <c r="BE7" s="15">
        <v>0</v>
      </c>
      <c r="BF7" s="16">
        <v>0</v>
      </c>
      <c r="BG7" s="16">
        <f t="shared" si="13"/>
        <v>0</v>
      </c>
      <c r="BH7" s="14">
        <v>0</v>
      </c>
      <c r="BI7" s="15">
        <v>0</v>
      </c>
      <c r="BJ7" s="16">
        <v>0</v>
      </c>
      <c r="BK7" s="16">
        <f t="shared" si="14"/>
        <v>0</v>
      </c>
      <c r="BL7" s="14">
        <v>0</v>
      </c>
      <c r="BM7" s="15">
        <v>0</v>
      </c>
      <c r="BN7" s="16">
        <v>0</v>
      </c>
      <c r="BO7" s="16">
        <f t="shared" si="15"/>
        <v>0</v>
      </c>
      <c r="BP7" s="14">
        <v>0</v>
      </c>
      <c r="BQ7" s="15">
        <v>0</v>
      </c>
      <c r="BR7" s="16">
        <v>0</v>
      </c>
      <c r="BS7" s="16">
        <f t="shared" si="16"/>
        <v>0</v>
      </c>
      <c r="BT7" s="14">
        <v>0</v>
      </c>
      <c r="BU7" s="15">
        <f t="shared" si="17"/>
        <v>25</v>
      </c>
      <c r="BV7" s="16">
        <f t="shared" si="18"/>
        <v>0</v>
      </c>
      <c r="BW7" s="16">
        <f t="shared" si="19"/>
        <v>0</v>
      </c>
      <c r="BX7" s="16">
        <f t="shared" si="20"/>
        <v>1</v>
      </c>
      <c r="BY7" s="16">
        <f t="shared" si="21"/>
        <v>1</v>
      </c>
      <c r="BZ7" s="14">
        <f t="shared" si="23"/>
        <v>1</v>
      </c>
      <c r="CC7" s="75" t="s">
        <v>58</v>
      </c>
      <c r="CD7">
        <f>AVERAGE(BX11:BX12)</f>
        <v>0.85185185185185186</v>
      </c>
      <c r="CE7">
        <f t="shared" ref="CE7:CF7" si="27">AVERAGE(BY11:BY12)</f>
        <v>0.87212643678160917</v>
      </c>
      <c r="CF7">
        <f t="shared" si="27"/>
        <v>0.85994397759103647</v>
      </c>
    </row>
    <row r="8" spans="1:84" x14ac:dyDescent="0.35">
      <c r="A8" s="54" t="s">
        <v>10</v>
      </c>
      <c r="B8" s="108"/>
      <c r="C8" s="108"/>
      <c r="D8" s="14" t="s">
        <v>16</v>
      </c>
      <c r="E8" s="15">
        <v>6</v>
      </c>
      <c r="F8" s="16">
        <v>6</v>
      </c>
      <c r="G8" s="16">
        <f t="shared" si="0"/>
        <v>0</v>
      </c>
      <c r="H8" s="14">
        <v>0</v>
      </c>
      <c r="I8" s="15">
        <v>0</v>
      </c>
      <c r="J8" s="16">
        <v>0</v>
      </c>
      <c r="K8" s="16">
        <f t="shared" si="1"/>
        <v>0</v>
      </c>
      <c r="L8" s="14">
        <v>0</v>
      </c>
      <c r="M8" s="15">
        <v>0</v>
      </c>
      <c r="N8" s="16">
        <v>0</v>
      </c>
      <c r="O8" s="16">
        <f t="shared" si="2"/>
        <v>0</v>
      </c>
      <c r="P8" s="14">
        <v>0</v>
      </c>
      <c r="Q8" s="15">
        <v>9</v>
      </c>
      <c r="R8" s="16">
        <v>9</v>
      </c>
      <c r="S8" s="16">
        <f t="shared" si="3"/>
        <v>0</v>
      </c>
      <c r="T8" s="14">
        <v>0</v>
      </c>
      <c r="U8" s="15">
        <v>0</v>
      </c>
      <c r="V8" s="16">
        <v>0</v>
      </c>
      <c r="W8" s="16">
        <f t="shared" si="4"/>
        <v>0</v>
      </c>
      <c r="X8" s="14">
        <v>0</v>
      </c>
      <c r="Y8" s="15">
        <v>0</v>
      </c>
      <c r="Z8" s="16">
        <v>0</v>
      </c>
      <c r="AA8" s="16">
        <f t="shared" si="5"/>
        <v>0</v>
      </c>
      <c r="AB8" s="14">
        <v>0</v>
      </c>
      <c r="AC8" s="15">
        <v>0</v>
      </c>
      <c r="AD8" s="16">
        <v>0</v>
      </c>
      <c r="AE8" s="16">
        <f t="shared" si="6"/>
        <v>0</v>
      </c>
      <c r="AF8" s="14">
        <v>0</v>
      </c>
      <c r="AG8" s="15">
        <v>0</v>
      </c>
      <c r="AH8" s="16">
        <v>0</v>
      </c>
      <c r="AI8" s="16">
        <f t="shared" si="7"/>
        <v>0</v>
      </c>
      <c r="AJ8" s="14">
        <v>0</v>
      </c>
      <c r="AK8" s="15">
        <v>5</v>
      </c>
      <c r="AL8" s="16">
        <v>5</v>
      </c>
      <c r="AM8" s="16">
        <f t="shared" si="8"/>
        <v>0</v>
      </c>
      <c r="AN8" s="14">
        <v>1</v>
      </c>
      <c r="AO8" s="15">
        <v>0</v>
      </c>
      <c r="AP8" s="16">
        <v>0</v>
      </c>
      <c r="AQ8" s="16">
        <f t="shared" si="9"/>
        <v>0</v>
      </c>
      <c r="AR8" s="14">
        <v>0</v>
      </c>
      <c r="AS8" s="15">
        <v>0</v>
      </c>
      <c r="AT8" s="16">
        <v>0</v>
      </c>
      <c r="AU8" s="16">
        <f t="shared" si="10"/>
        <v>0</v>
      </c>
      <c r="AV8" s="14">
        <v>0</v>
      </c>
      <c r="AW8" s="15">
        <v>0</v>
      </c>
      <c r="AX8" s="16">
        <v>0</v>
      </c>
      <c r="AY8" s="16">
        <f t="shared" si="11"/>
        <v>0</v>
      </c>
      <c r="AZ8" s="14">
        <v>0</v>
      </c>
      <c r="BA8" s="15">
        <v>5</v>
      </c>
      <c r="BB8" s="16">
        <v>5</v>
      </c>
      <c r="BC8" s="16">
        <f t="shared" si="12"/>
        <v>0</v>
      </c>
      <c r="BD8" s="14">
        <v>0</v>
      </c>
      <c r="BE8" s="15">
        <v>0</v>
      </c>
      <c r="BF8" s="16">
        <v>0</v>
      </c>
      <c r="BG8" s="16">
        <f t="shared" si="13"/>
        <v>0</v>
      </c>
      <c r="BH8" s="14">
        <v>0</v>
      </c>
      <c r="BI8" s="15">
        <v>0</v>
      </c>
      <c r="BJ8" s="16">
        <v>0</v>
      </c>
      <c r="BK8" s="16">
        <f t="shared" si="14"/>
        <v>0</v>
      </c>
      <c r="BL8" s="14">
        <v>0</v>
      </c>
      <c r="BM8" s="15">
        <v>0</v>
      </c>
      <c r="BN8" s="16">
        <v>0</v>
      </c>
      <c r="BO8" s="16">
        <f t="shared" si="15"/>
        <v>0</v>
      </c>
      <c r="BP8" s="14">
        <v>0</v>
      </c>
      <c r="BQ8" s="15">
        <v>0</v>
      </c>
      <c r="BR8" s="16">
        <v>0</v>
      </c>
      <c r="BS8" s="16">
        <f t="shared" si="16"/>
        <v>0</v>
      </c>
      <c r="BT8" s="14">
        <v>0</v>
      </c>
      <c r="BU8" s="15">
        <f t="shared" si="17"/>
        <v>25</v>
      </c>
      <c r="BV8" s="16">
        <f t="shared" si="18"/>
        <v>0</v>
      </c>
      <c r="BW8" s="16">
        <f t="shared" si="19"/>
        <v>1</v>
      </c>
      <c r="BX8" s="16">
        <f t="shared" si="20"/>
        <v>1</v>
      </c>
      <c r="BY8" s="16">
        <f t="shared" si="21"/>
        <v>0.96153846153846156</v>
      </c>
      <c r="BZ8" s="14">
        <f t="shared" si="23"/>
        <v>0.98039215686274506</v>
      </c>
      <c r="CC8" s="75" t="s">
        <v>59</v>
      </c>
      <c r="CD8">
        <f>AVERAGE(BX13:BX14)</f>
        <v>0.75</v>
      </c>
      <c r="CE8">
        <f t="shared" ref="CE8:CF8" si="28">AVERAGE(BY13:BY14)</f>
        <v>0.70535714285714279</v>
      </c>
      <c r="CF8">
        <f t="shared" si="28"/>
        <v>0.72619047619047616</v>
      </c>
    </row>
    <row r="9" spans="1:84" x14ac:dyDescent="0.35">
      <c r="A9" s="55" t="s">
        <v>10</v>
      </c>
      <c r="B9" s="108"/>
      <c r="C9" s="108"/>
      <c r="D9" s="17" t="s">
        <v>17</v>
      </c>
      <c r="E9" s="18">
        <v>3</v>
      </c>
      <c r="F9" s="19">
        <v>3</v>
      </c>
      <c r="G9" s="19">
        <f t="shared" si="0"/>
        <v>0</v>
      </c>
      <c r="H9" s="17">
        <v>0</v>
      </c>
      <c r="I9" s="18">
        <v>0</v>
      </c>
      <c r="J9" s="19">
        <v>0</v>
      </c>
      <c r="K9" s="19">
        <f t="shared" si="1"/>
        <v>0</v>
      </c>
      <c r="L9" s="17">
        <v>0</v>
      </c>
      <c r="M9" s="18">
        <v>0</v>
      </c>
      <c r="N9" s="19">
        <v>0</v>
      </c>
      <c r="O9" s="19">
        <f t="shared" si="2"/>
        <v>0</v>
      </c>
      <c r="P9" s="17">
        <v>0</v>
      </c>
      <c r="Q9" s="18">
        <v>5</v>
      </c>
      <c r="R9" s="19">
        <v>5</v>
      </c>
      <c r="S9" s="19">
        <f t="shared" si="3"/>
        <v>0</v>
      </c>
      <c r="T9" s="17">
        <v>0</v>
      </c>
      <c r="U9" s="18">
        <v>0</v>
      </c>
      <c r="V9" s="19">
        <v>0</v>
      </c>
      <c r="W9" s="19">
        <f t="shared" si="4"/>
        <v>0</v>
      </c>
      <c r="X9" s="17">
        <v>0</v>
      </c>
      <c r="Y9" s="18">
        <v>0</v>
      </c>
      <c r="Z9" s="19">
        <v>0</v>
      </c>
      <c r="AA9" s="19">
        <f t="shared" si="5"/>
        <v>0</v>
      </c>
      <c r="AB9" s="17">
        <v>0</v>
      </c>
      <c r="AC9" s="18">
        <v>0</v>
      </c>
      <c r="AD9" s="19">
        <v>0</v>
      </c>
      <c r="AE9" s="19">
        <f t="shared" si="6"/>
        <v>0</v>
      </c>
      <c r="AF9" s="17">
        <v>0</v>
      </c>
      <c r="AG9" s="18">
        <v>0</v>
      </c>
      <c r="AH9" s="19">
        <v>0</v>
      </c>
      <c r="AI9" s="19">
        <f t="shared" si="7"/>
        <v>0</v>
      </c>
      <c r="AJ9" s="17">
        <v>0</v>
      </c>
      <c r="AK9" s="18">
        <v>1</v>
      </c>
      <c r="AL9" s="19">
        <v>1</v>
      </c>
      <c r="AM9" s="19">
        <f t="shared" si="8"/>
        <v>0</v>
      </c>
      <c r="AN9" s="17">
        <v>0</v>
      </c>
      <c r="AO9" s="18">
        <v>0</v>
      </c>
      <c r="AP9" s="19">
        <v>0</v>
      </c>
      <c r="AQ9" s="19">
        <f t="shared" si="9"/>
        <v>0</v>
      </c>
      <c r="AR9" s="17">
        <v>0</v>
      </c>
      <c r="AS9" s="18">
        <v>1</v>
      </c>
      <c r="AT9" s="19">
        <v>0</v>
      </c>
      <c r="AU9" s="19">
        <f t="shared" si="10"/>
        <v>1</v>
      </c>
      <c r="AV9" s="17">
        <v>0</v>
      </c>
      <c r="AW9" s="18">
        <v>0</v>
      </c>
      <c r="AX9" s="19">
        <v>0</v>
      </c>
      <c r="AY9" s="19">
        <f t="shared" si="11"/>
        <v>0</v>
      </c>
      <c r="AZ9" s="17">
        <v>1</v>
      </c>
      <c r="BA9" s="18">
        <v>2</v>
      </c>
      <c r="BB9" s="19">
        <v>2</v>
      </c>
      <c r="BC9" s="19">
        <f t="shared" si="12"/>
        <v>0</v>
      </c>
      <c r="BD9" s="17">
        <v>0</v>
      </c>
      <c r="BE9" s="18">
        <v>0</v>
      </c>
      <c r="BF9" s="19">
        <v>0</v>
      </c>
      <c r="BG9" s="19">
        <f t="shared" si="13"/>
        <v>0</v>
      </c>
      <c r="BH9" s="17">
        <v>0</v>
      </c>
      <c r="BI9" s="18">
        <v>0</v>
      </c>
      <c r="BJ9" s="19">
        <v>0</v>
      </c>
      <c r="BK9" s="19">
        <f t="shared" si="14"/>
        <v>0</v>
      </c>
      <c r="BL9" s="17">
        <v>0</v>
      </c>
      <c r="BM9" s="18">
        <v>1</v>
      </c>
      <c r="BN9" s="19">
        <v>0</v>
      </c>
      <c r="BO9" s="19">
        <f t="shared" si="15"/>
        <v>1</v>
      </c>
      <c r="BP9" s="17">
        <v>0</v>
      </c>
      <c r="BQ9" s="18">
        <v>0</v>
      </c>
      <c r="BR9" s="19">
        <v>0</v>
      </c>
      <c r="BS9" s="19">
        <f t="shared" si="16"/>
        <v>0</v>
      </c>
      <c r="BT9" s="17">
        <v>0</v>
      </c>
      <c r="BU9" s="18">
        <f t="shared" si="17"/>
        <v>11</v>
      </c>
      <c r="BV9" s="19">
        <f t="shared" si="18"/>
        <v>2</v>
      </c>
      <c r="BW9" s="19">
        <f t="shared" si="19"/>
        <v>1</v>
      </c>
      <c r="BX9" s="19">
        <f t="shared" si="20"/>
        <v>0.84615384615384615</v>
      </c>
      <c r="BY9" s="19">
        <f t="shared" si="21"/>
        <v>0.91666666666666663</v>
      </c>
      <c r="BZ9" s="17">
        <f t="shared" si="23"/>
        <v>0.87999999999999989</v>
      </c>
      <c r="CC9" s="75" t="s">
        <v>60</v>
      </c>
      <c r="CD9">
        <f>AVERAGE(BX15:BX16)</f>
        <v>0.8125</v>
      </c>
      <c r="CE9">
        <f t="shared" ref="CE9:CF9" si="29">AVERAGE(BY15:BY16)</f>
        <v>0.8125</v>
      </c>
      <c r="CF9">
        <f t="shared" si="29"/>
        <v>0.8125</v>
      </c>
    </row>
    <row r="10" spans="1:84" x14ac:dyDescent="0.35">
      <c r="A10" s="55" t="s">
        <v>10</v>
      </c>
      <c r="B10" s="108"/>
      <c r="C10" s="108"/>
      <c r="D10" s="17" t="s">
        <v>18</v>
      </c>
      <c r="E10" s="18">
        <v>3</v>
      </c>
      <c r="F10" s="19">
        <v>3</v>
      </c>
      <c r="G10" s="19">
        <f t="shared" si="0"/>
        <v>0</v>
      </c>
      <c r="H10" s="17">
        <v>0</v>
      </c>
      <c r="I10" s="18">
        <v>0</v>
      </c>
      <c r="J10" s="19">
        <v>0</v>
      </c>
      <c r="K10" s="19">
        <f t="shared" si="1"/>
        <v>0</v>
      </c>
      <c r="L10" s="17">
        <v>0</v>
      </c>
      <c r="M10" s="18">
        <v>0</v>
      </c>
      <c r="N10" s="19">
        <v>0</v>
      </c>
      <c r="O10" s="19">
        <f t="shared" si="2"/>
        <v>0</v>
      </c>
      <c r="P10" s="17">
        <v>0</v>
      </c>
      <c r="Q10" s="18">
        <v>5</v>
      </c>
      <c r="R10" s="19">
        <v>5</v>
      </c>
      <c r="S10" s="19">
        <f t="shared" si="3"/>
        <v>0</v>
      </c>
      <c r="T10" s="17">
        <v>0</v>
      </c>
      <c r="U10" s="18">
        <v>0</v>
      </c>
      <c r="V10" s="19">
        <v>0</v>
      </c>
      <c r="W10" s="19">
        <f t="shared" si="4"/>
        <v>0</v>
      </c>
      <c r="X10" s="17">
        <v>0</v>
      </c>
      <c r="Y10" s="18">
        <v>0</v>
      </c>
      <c r="Z10" s="19">
        <v>0</v>
      </c>
      <c r="AA10" s="19">
        <f t="shared" si="5"/>
        <v>0</v>
      </c>
      <c r="AB10" s="17">
        <v>0</v>
      </c>
      <c r="AC10" s="18">
        <v>0</v>
      </c>
      <c r="AD10" s="19">
        <v>0</v>
      </c>
      <c r="AE10" s="19">
        <f t="shared" si="6"/>
        <v>0</v>
      </c>
      <c r="AF10" s="17">
        <v>0</v>
      </c>
      <c r="AG10" s="18">
        <v>0</v>
      </c>
      <c r="AH10" s="19">
        <v>0</v>
      </c>
      <c r="AI10" s="19">
        <f t="shared" si="7"/>
        <v>0</v>
      </c>
      <c r="AJ10" s="17">
        <v>0</v>
      </c>
      <c r="AK10" s="18">
        <v>1</v>
      </c>
      <c r="AL10" s="19">
        <v>1</v>
      </c>
      <c r="AM10" s="19">
        <f t="shared" si="8"/>
        <v>0</v>
      </c>
      <c r="AN10" s="17">
        <v>0</v>
      </c>
      <c r="AO10" s="18">
        <v>0</v>
      </c>
      <c r="AP10" s="19">
        <v>0</v>
      </c>
      <c r="AQ10" s="19">
        <f t="shared" si="9"/>
        <v>0</v>
      </c>
      <c r="AR10" s="17">
        <v>0</v>
      </c>
      <c r="AS10" s="18">
        <v>1</v>
      </c>
      <c r="AT10" s="19">
        <v>0</v>
      </c>
      <c r="AU10" s="19">
        <f t="shared" si="10"/>
        <v>1</v>
      </c>
      <c r="AV10" s="17">
        <v>0</v>
      </c>
      <c r="AW10" s="18">
        <v>0</v>
      </c>
      <c r="AX10" s="19">
        <v>0</v>
      </c>
      <c r="AY10" s="19">
        <f t="shared" si="11"/>
        <v>0</v>
      </c>
      <c r="AZ10" s="17">
        <v>1</v>
      </c>
      <c r="BA10" s="18">
        <v>2</v>
      </c>
      <c r="BB10" s="19">
        <v>2</v>
      </c>
      <c r="BC10" s="19">
        <f t="shared" si="12"/>
        <v>0</v>
      </c>
      <c r="BD10" s="17">
        <v>0</v>
      </c>
      <c r="BE10" s="18">
        <v>0</v>
      </c>
      <c r="BF10" s="19">
        <v>0</v>
      </c>
      <c r="BG10" s="19">
        <f t="shared" si="13"/>
        <v>0</v>
      </c>
      <c r="BH10" s="17">
        <v>0</v>
      </c>
      <c r="BI10" s="18">
        <v>0</v>
      </c>
      <c r="BJ10" s="19">
        <v>0</v>
      </c>
      <c r="BK10" s="19">
        <f t="shared" si="14"/>
        <v>0</v>
      </c>
      <c r="BL10" s="17">
        <v>0</v>
      </c>
      <c r="BM10" s="18">
        <v>1</v>
      </c>
      <c r="BN10" s="19">
        <v>0</v>
      </c>
      <c r="BO10" s="19">
        <f t="shared" si="15"/>
        <v>1</v>
      </c>
      <c r="BP10" s="17">
        <v>0</v>
      </c>
      <c r="BQ10" s="18">
        <v>0</v>
      </c>
      <c r="BR10" s="19">
        <v>0</v>
      </c>
      <c r="BS10" s="19">
        <f t="shared" si="16"/>
        <v>0</v>
      </c>
      <c r="BT10" s="17">
        <v>0</v>
      </c>
      <c r="BU10" s="18">
        <f t="shared" si="17"/>
        <v>11</v>
      </c>
      <c r="BV10" s="19">
        <f t="shared" si="18"/>
        <v>2</v>
      </c>
      <c r="BW10" s="19">
        <f t="shared" si="19"/>
        <v>1</v>
      </c>
      <c r="BX10" s="19">
        <f t="shared" si="20"/>
        <v>0.84615384615384615</v>
      </c>
      <c r="BY10" s="19">
        <f t="shared" si="21"/>
        <v>0.91666666666666663</v>
      </c>
      <c r="BZ10" s="17">
        <f t="shared" si="23"/>
        <v>0.87999999999999989</v>
      </c>
      <c r="CC10" s="75" t="s">
        <v>61</v>
      </c>
      <c r="CD10">
        <f>AVERAGE(BX17:BX18)</f>
        <v>0.95</v>
      </c>
      <c r="CE10">
        <f t="shared" ref="CE10:CF10" si="30">AVERAGE(BY17:BY18)</f>
        <v>0.85714285714285721</v>
      </c>
      <c r="CF10">
        <f t="shared" si="30"/>
        <v>0.89035087719298245</v>
      </c>
    </row>
    <row r="11" spans="1:84" x14ac:dyDescent="0.35">
      <c r="A11" s="56" t="s">
        <v>10</v>
      </c>
      <c r="B11" s="108"/>
      <c r="C11" s="108"/>
      <c r="D11" s="20" t="s">
        <v>19</v>
      </c>
      <c r="E11" s="21">
        <v>2</v>
      </c>
      <c r="F11" s="22">
        <v>2</v>
      </c>
      <c r="G11" s="22">
        <f t="shared" si="0"/>
        <v>0</v>
      </c>
      <c r="H11" s="20">
        <v>0</v>
      </c>
      <c r="I11" s="21">
        <v>2</v>
      </c>
      <c r="J11" s="22">
        <v>2</v>
      </c>
      <c r="K11" s="22">
        <f t="shared" si="1"/>
        <v>0</v>
      </c>
      <c r="L11" s="20">
        <v>0</v>
      </c>
      <c r="M11" s="21">
        <v>8</v>
      </c>
      <c r="N11" s="22">
        <v>8</v>
      </c>
      <c r="O11" s="22">
        <f t="shared" si="2"/>
        <v>0</v>
      </c>
      <c r="P11" s="20">
        <v>0</v>
      </c>
      <c r="Q11" s="21">
        <v>7</v>
      </c>
      <c r="R11" s="22">
        <v>7</v>
      </c>
      <c r="S11" s="22">
        <f t="shared" si="3"/>
        <v>0</v>
      </c>
      <c r="T11" s="20">
        <v>2</v>
      </c>
      <c r="U11" s="21">
        <v>0</v>
      </c>
      <c r="V11" s="22">
        <v>0</v>
      </c>
      <c r="W11" s="22">
        <f t="shared" si="4"/>
        <v>0</v>
      </c>
      <c r="X11" s="20">
        <v>0</v>
      </c>
      <c r="Y11" s="21">
        <v>1</v>
      </c>
      <c r="Z11" s="22">
        <v>1</v>
      </c>
      <c r="AA11" s="22">
        <f t="shared" si="5"/>
        <v>0</v>
      </c>
      <c r="AB11" s="20">
        <v>0</v>
      </c>
      <c r="AC11" s="21">
        <v>1</v>
      </c>
      <c r="AD11" s="22">
        <v>1</v>
      </c>
      <c r="AE11" s="22">
        <f t="shared" si="6"/>
        <v>0</v>
      </c>
      <c r="AF11" s="20">
        <v>0</v>
      </c>
      <c r="AG11" s="21">
        <v>3</v>
      </c>
      <c r="AH11" s="22">
        <v>0</v>
      </c>
      <c r="AI11" s="22">
        <f t="shared" si="7"/>
        <v>3</v>
      </c>
      <c r="AJ11" s="20">
        <v>0</v>
      </c>
      <c r="AK11" s="21">
        <v>0</v>
      </c>
      <c r="AL11" s="22">
        <v>0</v>
      </c>
      <c r="AM11" s="22">
        <f t="shared" si="8"/>
        <v>0</v>
      </c>
      <c r="AN11" s="20">
        <v>0</v>
      </c>
      <c r="AO11" s="21">
        <v>0</v>
      </c>
      <c r="AP11" s="22">
        <v>0</v>
      </c>
      <c r="AQ11" s="22">
        <f t="shared" si="9"/>
        <v>0</v>
      </c>
      <c r="AR11" s="20">
        <v>0</v>
      </c>
      <c r="AS11" s="21">
        <v>0</v>
      </c>
      <c r="AT11" s="22">
        <v>0</v>
      </c>
      <c r="AU11" s="22">
        <f t="shared" si="10"/>
        <v>0</v>
      </c>
      <c r="AV11" s="20">
        <v>0</v>
      </c>
      <c r="AW11" s="21">
        <v>1</v>
      </c>
      <c r="AX11" s="22">
        <v>1</v>
      </c>
      <c r="AY11" s="22">
        <f t="shared" si="11"/>
        <v>0</v>
      </c>
      <c r="AZ11" s="20">
        <v>1</v>
      </c>
      <c r="BA11" s="21">
        <v>1</v>
      </c>
      <c r="BB11" s="22">
        <v>1</v>
      </c>
      <c r="BC11" s="22">
        <f t="shared" si="12"/>
        <v>0</v>
      </c>
      <c r="BD11" s="20">
        <v>1</v>
      </c>
      <c r="BE11" s="21">
        <v>0</v>
      </c>
      <c r="BF11" s="22">
        <v>0</v>
      </c>
      <c r="BG11" s="22">
        <f t="shared" si="13"/>
        <v>0</v>
      </c>
      <c r="BH11" s="20">
        <v>0</v>
      </c>
      <c r="BI11" s="21">
        <v>0</v>
      </c>
      <c r="BJ11" s="22">
        <v>0</v>
      </c>
      <c r="BK11" s="22">
        <f t="shared" si="14"/>
        <v>0</v>
      </c>
      <c r="BL11" s="20">
        <v>0</v>
      </c>
      <c r="BM11" s="21">
        <v>1</v>
      </c>
      <c r="BN11" s="22">
        <v>1</v>
      </c>
      <c r="BO11" s="22">
        <f t="shared" si="15"/>
        <v>0</v>
      </c>
      <c r="BP11" s="20">
        <v>1</v>
      </c>
      <c r="BQ11" s="21">
        <v>0</v>
      </c>
      <c r="BR11" s="22">
        <v>0</v>
      </c>
      <c r="BS11" s="22">
        <f t="shared" si="16"/>
        <v>0</v>
      </c>
      <c r="BT11" s="20">
        <v>0</v>
      </c>
      <c r="BU11" s="21">
        <f t="shared" si="17"/>
        <v>24</v>
      </c>
      <c r="BV11" s="22">
        <f t="shared" si="18"/>
        <v>3</v>
      </c>
      <c r="BW11" s="22">
        <f t="shared" si="19"/>
        <v>5</v>
      </c>
      <c r="BX11" s="22">
        <f t="shared" si="20"/>
        <v>0.88888888888888884</v>
      </c>
      <c r="BY11" s="22">
        <f t="shared" si="21"/>
        <v>0.82758620689655171</v>
      </c>
      <c r="BZ11" s="20">
        <f t="shared" si="23"/>
        <v>0.85714285714285721</v>
      </c>
      <c r="CC11" s="75" t="s">
        <v>62</v>
      </c>
      <c r="CD11">
        <f>AVERAGE(BX19:BX20)</f>
        <v>0.61764705882352944</v>
      </c>
      <c r="CE11">
        <f t="shared" ref="CE11:CF11" si="31">AVERAGE(BY19:BY20)</f>
        <v>0.875</v>
      </c>
      <c r="CF11">
        <f t="shared" si="31"/>
        <v>0.72413793103448276</v>
      </c>
    </row>
    <row r="12" spans="1:84" x14ac:dyDescent="0.35">
      <c r="A12" s="56" t="s">
        <v>10</v>
      </c>
      <c r="B12" s="108"/>
      <c r="C12" s="108"/>
      <c r="D12" s="20" t="s">
        <v>20</v>
      </c>
      <c r="E12" s="21">
        <v>2</v>
      </c>
      <c r="F12" s="22">
        <v>2</v>
      </c>
      <c r="G12" s="22">
        <f t="shared" si="0"/>
        <v>0</v>
      </c>
      <c r="H12" s="20">
        <v>0</v>
      </c>
      <c r="I12" s="21">
        <v>2</v>
      </c>
      <c r="J12" s="22">
        <v>2</v>
      </c>
      <c r="K12" s="22">
        <f t="shared" si="1"/>
        <v>0</v>
      </c>
      <c r="L12" s="20">
        <v>0</v>
      </c>
      <c r="M12" s="21">
        <v>8</v>
      </c>
      <c r="N12" s="22">
        <v>8</v>
      </c>
      <c r="O12" s="22">
        <f t="shared" si="2"/>
        <v>0</v>
      </c>
      <c r="P12" s="20">
        <v>0</v>
      </c>
      <c r="Q12" s="21">
        <v>7</v>
      </c>
      <c r="R12" s="22">
        <v>7</v>
      </c>
      <c r="S12" s="22">
        <f t="shared" si="3"/>
        <v>0</v>
      </c>
      <c r="T12" s="20">
        <v>1</v>
      </c>
      <c r="U12" s="21">
        <v>0</v>
      </c>
      <c r="V12" s="22">
        <v>0</v>
      </c>
      <c r="W12" s="22">
        <f t="shared" si="4"/>
        <v>0</v>
      </c>
      <c r="X12" s="20">
        <v>0</v>
      </c>
      <c r="Y12" s="21">
        <v>1</v>
      </c>
      <c r="Z12" s="22">
        <v>1</v>
      </c>
      <c r="AA12" s="22">
        <f t="shared" si="5"/>
        <v>0</v>
      </c>
      <c r="AB12" s="20">
        <v>0</v>
      </c>
      <c r="AC12" s="21">
        <v>1</v>
      </c>
      <c r="AD12" s="22">
        <v>1</v>
      </c>
      <c r="AE12" s="22">
        <f t="shared" si="6"/>
        <v>0</v>
      </c>
      <c r="AF12" s="20">
        <v>0</v>
      </c>
      <c r="AG12" s="21">
        <v>3</v>
      </c>
      <c r="AH12" s="22">
        <v>0</v>
      </c>
      <c r="AI12" s="22">
        <f t="shared" si="7"/>
        <v>3</v>
      </c>
      <c r="AJ12" s="20">
        <v>0</v>
      </c>
      <c r="AK12" s="21">
        <v>0</v>
      </c>
      <c r="AL12" s="22">
        <v>0</v>
      </c>
      <c r="AM12" s="22">
        <f t="shared" si="8"/>
        <v>0</v>
      </c>
      <c r="AN12" s="20">
        <v>0</v>
      </c>
      <c r="AO12" s="21">
        <v>0</v>
      </c>
      <c r="AP12" s="22">
        <v>0</v>
      </c>
      <c r="AQ12" s="22">
        <f t="shared" si="9"/>
        <v>0</v>
      </c>
      <c r="AR12" s="20">
        <v>0</v>
      </c>
      <c r="AS12" s="21">
        <v>0</v>
      </c>
      <c r="AT12" s="22">
        <v>0</v>
      </c>
      <c r="AU12" s="22">
        <f t="shared" si="10"/>
        <v>0</v>
      </c>
      <c r="AV12" s="20">
        <v>0</v>
      </c>
      <c r="AW12" s="21">
        <v>1</v>
      </c>
      <c r="AX12" s="22">
        <v>1</v>
      </c>
      <c r="AY12" s="22">
        <f t="shared" si="11"/>
        <v>0</v>
      </c>
      <c r="AZ12" s="20">
        <v>0</v>
      </c>
      <c r="BA12" s="21">
        <v>1</v>
      </c>
      <c r="BB12" s="22">
        <v>0</v>
      </c>
      <c r="BC12" s="22">
        <f t="shared" si="12"/>
        <v>1</v>
      </c>
      <c r="BD12" s="20">
        <v>1</v>
      </c>
      <c r="BE12" s="21">
        <v>0</v>
      </c>
      <c r="BF12" s="22">
        <v>0</v>
      </c>
      <c r="BG12" s="22">
        <f t="shared" si="13"/>
        <v>0</v>
      </c>
      <c r="BH12" s="20">
        <v>0</v>
      </c>
      <c r="BI12" s="21">
        <v>0</v>
      </c>
      <c r="BJ12" s="22">
        <v>0</v>
      </c>
      <c r="BK12" s="22">
        <f t="shared" si="14"/>
        <v>0</v>
      </c>
      <c r="BL12" s="20">
        <v>0</v>
      </c>
      <c r="BM12" s="21">
        <v>1</v>
      </c>
      <c r="BN12" s="22">
        <v>0</v>
      </c>
      <c r="BO12" s="22">
        <f t="shared" si="15"/>
        <v>1</v>
      </c>
      <c r="BP12" s="20">
        <v>0</v>
      </c>
      <c r="BQ12" s="21">
        <v>0</v>
      </c>
      <c r="BR12" s="22">
        <v>0</v>
      </c>
      <c r="BS12" s="22">
        <f t="shared" si="16"/>
        <v>0</v>
      </c>
      <c r="BT12" s="20">
        <v>0</v>
      </c>
      <c r="BU12" s="21">
        <f t="shared" si="17"/>
        <v>22</v>
      </c>
      <c r="BV12" s="22">
        <f t="shared" si="18"/>
        <v>5</v>
      </c>
      <c r="BW12" s="22">
        <f t="shared" si="19"/>
        <v>2</v>
      </c>
      <c r="BX12" s="22">
        <f t="shared" si="20"/>
        <v>0.81481481481481477</v>
      </c>
      <c r="BY12" s="22">
        <f t="shared" si="21"/>
        <v>0.91666666666666663</v>
      </c>
      <c r="BZ12" s="20">
        <f t="shared" si="23"/>
        <v>0.86274509803921562</v>
      </c>
      <c r="CC12" s="75" t="s">
        <v>63</v>
      </c>
      <c r="CD12">
        <f>AVERAGE(BX21:BX22)</f>
        <v>0.9</v>
      </c>
      <c r="CE12">
        <f t="shared" ref="CE12:CF12" si="32">AVERAGE(BY21:BY22)</f>
        <v>0.95</v>
      </c>
      <c r="CF12">
        <f t="shared" si="32"/>
        <v>0.92368421052631589</v>
      </c>
    </row>
    <row r="13" spans="1:84" x14ac:dyDescent="0.35">
      <c r="A13" s="57" t="s">
        <v>10</v>
      </c>
      <c r="B13" s="108"/>
      <c r="C13" s="108"/>
      <c r="D13" s="23" t="s">
        <v>21</v>
      </c>
      <c r="E13" s="24">
        <v>3</v>
      </c>
      <c r="F13" s="25">
        <v>3</v>
      </c>
      <c r="G13" s="25">
        <f t="shared" si="0"/>
        <v>0</v>
      </c>
      <c r="H13" s="23">
        <v>0</v>
      </c>
      <c r="I13" s="24">
        <v>0</v>
      </c>
      <c r="J13" s="25">
        <v>0</v>
      </c>
      <c r="K13" s="25">
        <f t="shared" si="1"/>
        <v>0</v>
      </c>
      <c r="L13" s="23">
        <v>0</v>
      </c>
      <c r="M13" s="24">
        <v>0</v>
      </c>
      <c r="N13" s="25">
        <v>0</v>
      </c>
      <c r="O13" s="25">
        <f t="shared" si="2"/>
        <v>0</v>
      </c>
      <c r="P13" s="23">
        <v>0</v>
      </c>
      <c r="Q13" s="24">
        <v>5</v>
      </c>
      <c r="R13" s="25">
        <v>5</v>
      </c>
      <c r="S13" s="25">
        <f t="shared" si="3"/>
        <v>0</v>
      </c>
      <c r="T13" s="23">
        <v>2</v>
      </c>
      <c r="U13" s="24">
        <v>0</v>
      </c>
      <c r="V13" s="25">
        <v>0</v>
      </c>
      <c r="W13" s="25">
        <f t="shared" si="4"/>
        <v>0</v>
      </c>
      <c r="X13" s="23">
        <v>0</v>
      </c>
      <c r="Y13" s="24">
        <v>0</v>
      </c>
      <c r="Z13" s="25">
        <v>0</v>
      </c>
      <c r="AA13" s="25">
        <f t="shared" si="5"/>
        <v>0</v>
      </c>
      <c r="AB13" s="23">
        <v>0</v>
      </c>
      <c r="AC13" s="24">
        <v>0</v>
      </c>
      <c r="AD13" s="25">
        <v>0</v>
      </c>
      <c r="AE13" s="25">
        <f t="shared" si="6"/>
        <v>0</v>
      </c>
      <c r="AF13" s="23">
        <v>0</v>
      </c>
      <c r="AG13" s="24">
        <v>0</v>
      </c>
      <c r="AH13" s="25">
        <v>0</v>
      </c>
      <c r="AI13" s="25">
        <f t="shared" si="7"/>
        <v>0</v>
      </c>
      <c r="AJ13" s="23">
        <v>0</v>
      </c>
      <c r="AK13" s="24">
        <v>0</v>
      </c>
      <c r="AL13" s="25">
        <v>0</v>
      </c>
      <c r="AM13" s="25">
        <f t="shared" si="8"/>
        <v>0</v>
      </c>
      <c r="AN13" s="23">
        <v>0</v>
      </c>
      <c r="AO13" s="24">
        <v>0</v>
      </c>
      <c r="AP13" s="25">
        <v>0</v>
      </c>
      <c r="AQ13" s="25">
        <f t="shared" si="9"/>
        <v>0</v>
      </c>
      <c r="AR13" s="23">
        <v>2</v>
      </c>
      <c r="AS13" s="24">
        <v>2</v>
      </c>
      <c r="AT13" s="25">
        <v>0</v>
      </c>
      <c r="AU13" s="25">
        <f t="shared" si="10"/>
        <v>2</v>
      </c>
      <c r="AV13" s="23">
        <v>0</v>
      </c>
      <c r="AW13" s="24">
        <v>0</v>
      </c>
      <c r="AX13" s="25">
        <v>0</v>
      </c>
      <c r="AY13" s="25">
        <f t="shared" si="11"/>
        <v>0</v>
      </c>
      <c r="AZ13" s="23">
        <v>2</v>
      </c>
      <c r="BA13" s="24">
        <v>2</v>
      </c>
      <c r="BB13" s="25">
        <v>2</v>
      </c>
      <c r="BC13" s="25">
        <f t="shared" si="12"/>
        <v>0</v>
      </c>
      <c r="BD13" s="23">
        <v>0</v>
      </c>
      <c r="BE13" s="24">
        <v>0</v>
      </c>
      <c r="BF13" s="25">
        <v>0</v>
      </c>
      <c r="BG13" s="25">
        <f t="shared" si="13"/>
        <v>0</v>
      </c>
      <c r="BH13" s="23">
        <v>0</v>
      </c>
      <c r="BI13" s="24">
        <v>0</v>
      </c>
      <c r="BJ13" s="25">
        <v>0</v>
      </c>
      <c r="BK13" s="25">
        <f t="shared" si="14"/>
        <v>0</v>
      </c>
      <c r="BL13" s="23">
        <v>0</v>
      </c>
      <c r="BM13" s="24">
        <v>2</v>
      </c>
      <c r="BN13" s="25">
        <v>0</v>
      </c>
      <c r="BO13" s="25">
        <f t="shared" si="15"/>
        <v>2</v>
      </c>
      <c r="BP13" s="23">
        <v>0</v>
      </c>
      <c r="BQ13" s="24">
        <v>0</v>
      </c>
      <c r="BR13" s="25">
        <v>0</v>
      </c>
      <c r="BS13" s="25">
        <f t="shared" si="16"/>
        <v>0</v>
      </c>
      <c r="BT13" s="23">
        <v>0</v>
      </c>
      <c r="BU13" s="24">
        <f t="shared" si="17"/>
        <v>10</v>
      </c>
      <c r="BV13" s="25">
        <f t="shared" si="18"/>
        <v>4</v>
      </c>
      <c r="BW13" s="25">
        <f t="shared" si="19"/>
        <v>6</v>
      </c>
      <c r="BX13" s="25">
        <f t="shared" si="20"/>
        <v>0.7142857142857143</v>
      </c>
      <c r="BY13" s="25">
        <f t="shared" si="21"/>
        <v>0.625</v>
      </c>
      <c r="BZ13" s="23">
        <f t="shared" si="23"/>
        <v>0.66666666666666663</v>
      </c>
      <c r="CC13" s="75" t="s">
        <v>64</v>
      </c>
      <c r="CD13">
        <f>AVERAGE(BX23:BX24)</f>
        <v>0.75</v>
      </c>
      <c r="CE13">
        <f t="shared" ref="CE13:CF13" si="33">AVERAGE(BY23:BY24)</f>
        <v>0.87954545454545452</v>
      </c>
      <c r="CF13">
        <f t="shared" si="33"/>
        <v>0.79219600725952821</v>
      </c>
    </row>
    <row r="14" spans="1:84" x14ac:dyDescent="0.35">
      <c r="A14" s="57" t="s">
        <v>10</v>
      </c>
      <c r="B14" s="108"/>
      <c r="C14" s="108"/>
      <c r="D14" s="23" t="s">
        <v>22</v>
      </c>
      <c r="E14" s="24">
        <v>3</v>
      </c>
      <c r="F14" s="25">
        <v>3</v>
      </c>
      <c r="G14" s="25">
        <f t="shared" si="0"/>
        <v>0</v>
      </c>
      <c r="H14" s="23">
        <v>0</v>
      </c>
      <c r="I14" s="24">
        <v>0</v>
      </c>
      <c r="J14" s="24">
        <v>0</v>
      </c>
      <c r="K14" s="24">
        <v>0</v>
      </c>
      <c r="L14" s="23">
        <v>0</v>
      </c>
      <c r="M14" s="24">
        <v>0</v>
      </c>
      <c r="N14" s="24">
        <v>0</v>
      </c>
      <c r="O14" s="24">
        <v>0</v>
      </c>
      <c r="P14" s="23">
        <v>0</v>
      </c>
      <c r="Q14" s="24">
        <v>5</v>
      </c>
      <c r="R14" s="25">
        <v>5</v>
      </c>
      <c r="S14" s="25">
        <f t="shared" si="3"/>
        <v>0</v>
      </c>
      <c r="T14" s="23">
        <v>1</v>
      </c>
      <c r="U14" s="24">
        <v>0</v>
      </c>
      <c r="V14" s="25">
        <v>0</v>
      </c>
      <c r="W14" s="25">
        <v>0</v>
      </c>
      <c r="X14" s="23">
        <v>0</v>
      </c>
      <c r="Y14" s="24">
        <v>0</v>
      </c>
      <c r="Z14" s="24">
        <v>0</v>
      </c>
      <c r="AA14" s="24">
        <f t="shared" si="5"/>
        <v>0</v>
      </c>
      <c r="AB14" s="23">
        <v>0</v>
      </c>
      <c r="AC14" s="24">
        <v>0</v>
      </c>
      <c r="AD14" s="24">
        <v>0</v>
      </c>
      <c r="AE14" s="24">
        <f t="shared" si="6"/>
        <v>0</v>
      </c>
      <c r="AF14" s="23">
        <v>0</v>
      </c>
      <c r="AG14" s="24">
        <v>0</v>
      </c>
      <c r="AH14" s="24">
        <v>0</v>
      </c>
      <c r="AI14" s="24">
        <f t="shared" si="7"/>
        <v>0</v>
      </c>
      <c r="AJ14" s="23">
        <v>0</v>
      </c>
      <c r="AK14" s="24">
        <v>0</v>
      </c>
      <c r="AL14" s="24">
        <v>0</v>
      </c>
      <c r="AM14" s="24">
        <f t="shared" si="8"/>
        <v>0</v>
      </c>
      <c r="AN14" s="23">
        <v>0</v>
      </c>
      <c r="AO14" s="24">
        <v>0</v>
      </c>
      <c r="AP14" s="24">
        <v>0</v>
      </c>
      <c r="AQ14" s="24">
        <f t="shared" si="9"/>
        <v>0</v>
      </c>
      <c r="AR14" s="23">
        <v>0</v>
      </c>
      <c r="AS14" s="24">
        <v>2</v>
      </c>
      <c r="AT14" s="25">
        <v>1</v>
      </c>
      <c r="AU14" s="25">
        <f t="shared" si="10"/>
        <v>1</v>
      </c>
      <c r="AV14" s="23">
        <v>0</v>
      </c>
      <c r="AW14" s="24">
        <v>0</v>
      </c>
      <c r="AX14" s="25">
        <v>0</v>
      </c>
      <c r="AY14" s="25">
        <f t="shared" si="11"/>
        <v>0</v>
      </c>
      <c r="AZ14" s="23">
        <v>1</v>
      </c>
      <c r="BA14" s="24">
        <v>2</v>
      </c>
      <c r="BB14" s="25">
        <v>2</v>
      </c>
      <c r="BC14" s="25">
        <f t="shared" si="12"/>
        <v>0</v>
      </c>
      <c r="BD14" s="23">
        <v>0</v>
      </c>
      <c r="BE14" s="24">
        <v>0</v>
      </c>
      <c r="BF14" s="25">
        <v>0</v>
      </c>
      <c r="BG14" s="25">
        <f t="shared" si="13"/>
        <v>0</v>
      </c>
      <c r="BH14" s="23">
        <v>0</v>
      </c>
      <c r="BI14" s="24">
        <v>0</v>
      </c>
      <c r="BJ14" s="25">
        <v>0</v>
      </c>
      <c r="BK14" s="25">
        <f t="shared" si="14"/>
        <v>0</v>
      </c>
      <c r="BL14" s="23">
        <v>0</v>
      </c>
      <c r="BM14" s="24">
        <v>2</v>
      </c>
      <c r="BN14" s="25">
        <v>0</v>
      </c>
      <c r="BO14" s="25">
        <f t="shared" si="15"/>
        <v>2</v>
      </c>
      <c r="BP14" s="23">
        <v>1</v>
      </c>
      <c r="BQ14" s="24">
        <v>0</v>
      </c>
      <c r="BR14" s="25">
        <v>0</v>
      </c>
      <c r="BS14" s="25">
        <f t="shared" si="16"/>
        <v>0</v>
      </c>
      <c r="BT14" s="23">
        <v>0</v>
      </c>
      <c r="BU14" s="24">
        <f t="shared" si="17"/>
        <v>11</v>
      </c>
      <c r="BV14" s="25">
        <f t="shared" si="18"/>
        <v>3</v>
      </c>
      <c r="BW14" s="25">
        <f t="shared" si="19"/>
        <v>3</v>
      </c>
      <c r="BX14" s="25">
        <f t="shared" si="20"/>
        <v>0.7857142857142857</v>
      </c>
      <c r="BY14" s="25">
        <f t="shared" si="21"/>
        <v>0.7857142857142857</v>
      </c>
      <c r="BZ14" s="23">
        <f t="shared" si="23"/>
        <v>0.7857142857142857</v>
      </c>
      <c r="CC14" s="75" t="s">
        <v>65</v>
      </c>
      <c r="CD14">
        <f>AVERAGE(BX25:BX26)</f>
        <v>0.9285714285714286</v>
      </c>
      <c r="CE14">
        <f t="shared" ref="CE14:CF14" si="34">AVERAGE(BY25:BY26)</f>
        <v>1</v>
      </c>
      <c r="CF14">
        <f t="shared" si="34"/>
        <v>0.96153846153846145</v>
      </c>
    </row>
    <row r="15" spans="1:84" x14ac:dyDescent="0.35">
      <c r="A15" s="58" t="s">
        <v>10</v>
      </c>
      <c r="B15" s="108"/>
      <c r="C15" s="108"/>
      <c r="D15" s="26" t="s">
        <v>23</v>
      </c>
      <c r="E15" s="27">
        <v>2</v>
      </c>
      <c r="F15" s="28">
        <v>2</v>
      </c>
      <c r="G15" s="28">
        <f t="shared" si="0"/>
        <v>0</v>
      </c>
      <c r="H15" s="26">
        <v>0</v>
      </c>
      <c r="I15" s="27">
        <v>0</v>
      </c>
      <c r="J15" s="27">
        <v>0</v>
      </c>
      <c r="K15" s="27">
        <f t="shared" ref="K15:K23" si="35">I15-J15</f>
        <v>0</v>
      </c>
      <c r="L15" s="26">
        <v>0</v>
      </c>
      <c r="M15" s="27">
        <v>0</v>
      </c>
      <c r="N15" s="27">
        <v>0</v>
      </c>
      <c r="O15" s="27">
        <f t="shared" ref="O15:O30" si="36">M15-N15</f>
        <v>0</v>
      </c>
      <c r="P15" s="26">
        <v>0</v>
      </c>
      <c r="Q15" s="27">
        <v>3</v>
      </c>
      <c r="R15" s="28">
        <v>3</v>
      </c>
      <c r="S15" s="28">
        <f t="shared" si="3"/>
        <v>0</v>
      </c>
      <c r="T15" s="26">
        <v>1</v>
      </c>
      <c r="U15" s="27">
        <v>0</v>
      </c>
      <c r="V15" s="28">
        <v>0</v>
      </c>
      <c r="W15" s="28">
        <f t="shared" ref="W15:W30" si="37">U15-V15</f>
        <v>0</v>
      </c>
      <c r="X15" s="26">
        <v>0</v>
      </c>
      <c r="Y15" s="27">
        <v>0</v>
      </c>
      <c r="Z15" s="27">
        <v>0</v>
      </c>
      <c r="AA15" s="27">
        <f t="shared" si="5"/>
        <v>0</v>
      </c>
      <c r="AB15" s="26">
        <v>0</v>
      </c>
      <c r="AC15" s="27">
        <v>0</v>
      </c>
      <c r="AD15" s="27">
        <v>0</v>
      </c>
      <c r="AE15" s="27">
        <f t="shared" si="6"/>
        <v>0</v>
      </c>
      <c r="AF15" s="26">
        <v>0</v>
      </c>
      <c r="AG15" s="27">
        <v>0</v>
      </c>
      <c r="AH15" s="27">
        <v>0</v>
      </c>
      <c r="AI15" s="27">
        <f t="shared" si="7"/>
        <v>0</v>
      </c>
      <c r="AJ15" s="26">
        <v>0</v>
      </c>
      <c r="AK15" s="27">
        <v>0</v>
      </c>
      <c r="AL15" s="27">
        <v>0</v>
      </c>
      <c r="AM15" s="27">
        <f t="shared" si="8"/>
        <v>0</v>
      </c>
      <c r="AN15" s="26">
        <v>0</v>
      </c>
      <c r="AO15" s="27">
        <v>0</v>
      </c>
      <c r="AP15" s="27">
        <v>0</v>
      </c>
      <c r="AQ15" s="27">
        <f t="shared" si="9"/>
        <v>0</v>
      </c>
      <c r="AR15" s="26">
        <v>0</v>
      </c>
      <c r="AS15" s="27">
        <v>1</v>
      </c>
      <c r="AT15" s="28">
        <v>0</v>
      </c>
      <c r="AU15" s="28">
        <f t="shared" si="10"/>
        <v>1</v>
      </c>
      <c r="AV15" s="26">
        <v>0</v>
      </c>
      <c r="AW15" s="27">
        <v>0</v>
      </c>
      <c r="AX15" s="28">
        <v>0</v>
      </c>
      <c r="AY15" s="28">
        <f t="shared" si="11"/>
        <v>0</v>
      </c>
      <c r="AZ15" s="26">
        <v>1</v>
      </c>
      <c r="BA15" s="27">
        <v>1</v>
      </c>
      <c r="BB15" s="28">
        <v>1</v>
      </c>
      <c r="BC15" s="28">
        <f t="shared" si="12"/>
        <v>0</v>
      </c>
      <c r="BD15" s="26">
        <v>0</v>
      </c>
      <c r="BE15" s="27">
        <v>0</v>
      </c>
      <c r="BF15" s="28">
        <v>0</v>
      </c>
      <c r="BG15" s="28">
        <f t="shared" si="13"/>
        <v>0</v>
      </c>
      <c r="BH15" s="26">
        <v>0</v>
      </c>
      <c r="BI15" s="27">
        <v>0</v>
      </c>
      <c r="BJ15" s="28">
        <v>0</v>
      </c>
      <c r="BK15" s="28">
        <f t="shared" si="14"/>
        <v>0</v>
      </c>
      <c r="BL15" s="26">
        <v>0</v>
      </c>
      <c r="BM15" s="27">
        <v>1</v>
      </c>
      <c r="BN15" s="28">
        <v>0</v>
      </c>
      <c r="BO15" s="28">
        <f t="shared" si="15"/>
        <v>1</v>
      </c>
      <c r="BP15" s="26">
        <v>0</v>
      </c>
      <c r="BQ15" s="27">
        <v>0</v>
      </c>
      <c r="BR15" s="28">
        <v>0</v>
      </c>
      <c r="BS15" s="28">
        <f t="shared" si="16"/>
        <v>0</v>
      </c>
      <c r="BT15" s="26">
        <v>0</v>
      </c>
      <c r="BU15" s="27">
        <f t="shared" si="17"/>
        <v>6</v>
      </c>
      <c r="BV15" s="28">
        <f t="shared" si="18"/>
        <v>2</v>
      </c>
      <c r="BW15" s="28">
        <f t="shared" si="19"/>
        <v>2</v>
      </c>
      <c r="BX15" s="28">
        <f t="shared" si="20"/>
        <v>0.75</v>
      </c>
      <c r="BY15" s="28">
        <f t="shared" si="21"/>
        <v>0.75</v>
      </c>
      <c r="BZ15" s="26">
        <f t="shared" si="23"/>
        <v>0.75</v>
      </c>
      <c r="CC15" s="75" t="s">
        <v>66</v>
      </c>
      <c r="CD15">
        <f>AVERAGE(BX27:BX28)</f>
        <v>0.41176470588235292</v>
      </c>
      <c r="CE15">
        <f t="shared" ref="CE15:CF15" si="38">AVERAGE(BY27:BY28)</f>
        <v>0.60606060606060597</v>
      </c>
      <c r="CF15">
        <f t="shared" si="38"/>
        <v>0.49014778325123154</v>
      </c>
    </row>
    <row r="16" spans="1:84" x14ac:dyDescent="0.35">
      <c r="A16" s="58" t="s">
        <v>10</v>
      </c>
      <c r="B16" s="108"/>
      <c r="C16" s="108"/>
      <c r="D16" s="26" t="s">
        <v>24</v>
      </c>
      <c r="E16" s="27">
        <v>2</v>
      </c>
      <c r="F16" s="28">
        <v>2</v>
      </c>
      <c r="G16" s="28">
        <f t="shared" si="0"/>
        <v>0</v>
      </c>
      <c r="H16" s="26">
        <v>0</v>
      </c>
      <c r="I16" s="27">
        <v>0</v>
      </c>
      <c r="J16" s="27">
        <v>0</v>
      </c>
      <c r="K16" s="27">
        <f t="shared" si="35"/>
        <v>0</v>
      </c>
      <c r="L16" s="26">
        <v>0</v>
      </c>
      <c r="M16" s="27">
        <v>0</v>
      </c>
      <c r="N16" s="27">
        <v>0</v>
      </c>
      <c r="O16" s="27">
        <f t="shared" si="36"/>
        <v>0</v>
      </c>
      <c r="P16" s="26">
        <v>0</v>
      </c>
      <c r="Q16" s="27">
        <v>3</v>
      </c>
      <c r="R16" s="28">
        <v>3</v>
      </c>
      <c r="S16" s="28">
        <f t="shared" si="3"/>
        <v>0</v>
      </c>
      <c r="T16" s="26">
        <v>0</v>
      </c>
      <c r="U16" s="27">
        <v>0</v>
      </c>
      <c r="V16" s="28">
        <v>0</v>
      </c>
      <c r="W16" s="28">
        <f t="shared" si="37"/>
        <v>0</v>
      </c>
      <c r="X16" s="26">
        <v>0</v>
      </c>
      <c r="Y16" s="27">
        <v>0</v>
      </c>
      <c r="Z16" s="27">
        <v>0</v>
      </c>
      <c r="AA16" s="27">
        <v>0</v>
      </c>
      <c r="AB16" s="26">
        <v>0</v>
      </c>
      <c r="AC16" s="27">
        <v>0</v>
      </c>
      <c r="AD16" s="27">
        <v>0</v>
      </c>
      <c r="AE16" s="27">
        <f t="shared" si="6"/>
        <v>0</v>
      </c>
      <c r="AF16" s="26">
        <v>0</v>
      </c>
      <c r="AG16" s="27">
        <v>0</v>
      </c>
      <c r="AH16" s="27">
        <v>0</v>
      </c>
      <c r="AI16" s="27">
        <f t="shared" si="7"/>
        <v>0</v>
      </c>
      <c r="AJ16" s="26">
        <v>0</v>
      </c>
      <c r="AK16" s="27">
        <v>0</v>
      </c>
      <c r="AL16" s="27">
        <v>0</v>
      </c>
      <c r="AM16" s="27">
        <f t="shared" si="8"/>
        <v>0</v>
      </c>
      <c r="AN16" s="26">
        <v>0</v>
      </c>
      <c r="AO16" s="27">
        <v>0</v>
      </c>
      <c r="AP16" s="27">
        <v>0</v>
      </c>
      <c r="AQ16" s="27">
        <f t="shared" si="9"/>
        <v>0</v>
      </c>
      <c r="AR16" s="26">
        <v>0</v>
      </c>
      <c r="AS16" s="27">
        <v>1</v>
      </c>
      <c r="AT16" s="28">
        <v>0</v>
      </c>
      <c r="AU16" s="28">
        <f t="shared" si="10"/>
        <v>1</v>
      </c>
      <c r="AV16" s="26">
        <v>0</v>
      </c>
      <c r="AW16" s="27">
        <v>0</v>
      </c>
      <c r="AX16" s="28">
        <v>0</v>
      </c>
      <c r="AY16" s="28">
        <f t="shared" si="11"/>
        <v>0</v>
      </c>
      <c r="AZ16" s="26">
        <v>1</v>
      </c>
      <c r="BA16" s="27">
        <v>1</v>
      </c>
      <c r="BB16" s="28">
        <v>1</v>
      </c>
      <c r="BC16" s="28">
        <f t="shared" si="12"/>
        <v>0</v>
      </c>
      <c r="BD16" s="26">
        <v>0</v>
      </c>
      <c r="BE16" s="27">
        <v>0</v>
      </c>
      <c r="BF16" s="28">
        <v>0</v>
      </c>
      <c r="BG16" s="28">
        <f t="shared" si="13"/>
        <v>0</v>
      </c>
      <c r="BH16" s="26">
        <v>0</v>
      </c>
      <c r="BI16" s="27">
        <v>0</v>
      </c>
      <c r="BJ16" s="28">
        <v>0</v>
      </c>
      <c r="BK16" s="28">
        <f t="shared" si="14"/>
        <v>0</v>
      </c>
      <c r="BL16" s="26">
        <v>0</v>
      </c>
      <c r="BM16" s="27">
        <v>1</v>
      </c>
      <c r="BN16" s="28">
        <v>1</v>
      </c>
      <c r="BO16" s="28">
        <f t="shared" si="15"/>
        <v>0</v>
      </c>
      <c r="BP16" s="26">
        <v>0</v>
      </c>
      <c r="BQ16" s="27">
        <v>0</v>
      </c>
      <c r="BR16" s="28">
        <v>0</v>
      </c>
      <c r="BS16" s="28">
        <f t="shared" si="16"/>
        <v>0</v>
      </c>
      <c r="BT16" s="26">
        <v>0</v>
      </c>
      <c r="BU16" s="27">
        <f t="shared" si="17"/>
        <v>7</v>
      </c>
      <c r="BV16" s="28">
        <f t="shared" si="18"/>
        <v>1</v>
      </c>
      <c r="BW16" s="28">
        <f t="shared" si="19"/>
        <v>1</v>
      </c>
      <c r="BX16" s="28">
        <f t="shared" si="20"/>
        <v>0.875</v>
      </c>
      <c r="BY16" s="28">
        <f t="shared" si="21"/>
        <v>0.875</v>
      </c>
      <c r="BZ16" s="26">
        <f t="shared" si="23"/>
        <v>0.875</v>
      </c>
      <c r="CC16" s="75" t="s">
        <v>67</v>
      </c>
      <c r="CD16">
        <f>AVERAGE(BX29:BX30)</f>
        <v>1</v>
      </c>
      <c r="CE16">
        <f t="shared" ref="CE16:CF16" si="39">AVERAGE(BY29:BY30)</f>
        <v>0.90909090909090906</v>
      </c>
      <c r="CF16">
        <f t="shared" si="39"/>
        <v>0.95238095238095233</v>
      </c>
    </row>
    <row r="17" spans="1:84" x14ac:dyDescent="0.35">
      <c r="A17" s="59" t="s">
        <v>10</v>
      </c>
      <c r="B17" s="108"/>
      <c r="C17" s="108"/>
      <c r="D17" s="29" t="s">
        <v>25</v>
      </c>
      <c r="E17" s="30">
        <v>2</v>
      </c>
      <c r="F17" s="31">
        <v>2</v>
      </c>
      <c r="G17" s="31">
        <f t="shared" si="0"/>
        <v>0</v>
      </c>
      <c r="H17" s="29">
        <v>0</v>
      </c>
      <c r="I17" s="30">
        <v>0</v>
      </c>
      <c r="J17" s="31">
        <v>0</v>
      </c>
      <c r="K17" s="31">
        <f t="shared" si="35"/>
        <v>0</v>
      </c>
      <c r="L17" s="29">
        <v>0</v>
      </c>
      <c r="M17" s="30">
        <v>0</v>
      </c>
      <c r="N17" s="31">
        <v>0</v>
      </c>
      <c r="O17" s="31">
        <f t="shared" si="36"/>
        <v>0</v>
      </c>
      <c r="P17" s="29">
        <v>0</v>
      </c>
      <c r="Q17" s="30">
        <v>3</v>
      </c>
      <c r="R17" s="31">
        <v>3</v>
      </c>
      <c r="S17" s="31">
        <f t="shared" si="3"/>
        <v>0</v>
      </c>
      <c r="T17" s="29">
        <v>0</v>
      </c>
      <c r="U17" s="30">
        <v>0</v>
      </c>
      <c r="V17" s="31">
        <v>0</v>
      </c>
      <c r="W17" s="31">
        <f t="shared" si="37"/>
        <v>0</v>
      </c>
      <c r="X17" s="29">
        <v>3</v>
      </c>
      <c r="Y17" s="30">
        <v>1</v>
      </c>
      <c r="Z17" s="31">
        <v>1</v>
      </c>
      <c r="AA17" s="31">
        <f t="shared" ref="AA17:AA30" si="40">Y17-Z17</f>
        <v>0</v>
      </c>
      <c r="AB17" s="29">
        <v>0</v>
      </c>
      <c r="AC17" s="30">
        <v>1</v>
      </c>
      <c r="AD17" s="31">
        <v>1</v>
      </c>
      <c r="AE17" s="31">
        <f t="shared" si="6"/>
        <v>0</v>
      </c>
      <c r="AF17" s="29">
        <v>0</v>
      </c>
      <c r="AG17" s="30">
        <v>1</v>
      </c>
      <c r="AH17" s="31">
        <v>1</v>
      </c>
      <c r="AI17" s="31">
        <f t="shared" si="7"/>
        <v>0</v>
      </c>
      <c r="AJ17" s="29">
        <v>0</v>
      </c>
      <c r="AK17" s="30">
        <v>0</v>
      </c>
      <c r="AL17" s="31">
        <v>0</v>
      </c>
      <c r="AM17" s="31">
        <f t="shared" si="8"/>
        <v>0</v>
      </c>
      <c r="AN17" s="29">
        <v>0</v>
      </c>
      <c r="AO17" s="30">
        <v>0</v>
      </c>
      <c r="AP17" s="31">
        <v>0</v>
      </c>
      <c r="AQ17" s="31">
        <f t="shared" si="9"/>
        <v>0</v>
      </c>
      <c r="AR17" s="29">
        <v>0</v>
      </c>
      <c r="AS17" s="30">
        <v>0</v>
      </c>
      <c r="AT17" s="31">
        <v>0</v>
      </c>
      <c r="AU17" s="31">
        <f t="shared" si="10"/>
        <v>0</v>
      </c>
      <c r="AV17" s="29">
        <v>0</v>
      </c>
      <c r="AW17" s="30">
        <v>0</v>
      </c>
      <c r="AX17" s="31">
        <v>0</v>
      </c>
      <c r="AY17" s="31">
        <f t="shared" si="11"/>
        <v>0</v>
      </c>
      <c r="AZ17" s="29">
        <v>0</v>
      </c>
      <c r="BA17" s="30">
        <v>1</v>
      </c>
      <c r="BB17" s="31">
        <v>1</v>
      </c>
      <c r="BC17" s="31">
        <f t="shared" si="12"/>
        <v>0</v>
      </c>
      <c r="BD17" s="29">
        <v>0</v>
      </c>
      <c r="BE17" s="30">
        <v>0</v>
      </c>
      <c r="BF17" s="31">
        <v>0</v>
      </c>
      <c r="BG17" s="31">
        <f t="shared" si="13"/>
        <v>0</v>
      </c>
      <c r="BH17" s="29">
        <v>0</v>
      </c>
      <c r="BI17" s="30">
        <v>0</v>
      </c>
      <c r="BJ17" s="31">
        <v>0</v>
      </c>
      <c r="BK17" s="31">
        <f t="shared" si="14"/>
        <v>0</v>
      </c>
      <c r="BL17" s="29">
        <v>0</v>
      </c>
      <c r="BM17" s="30">
        <v>0</v>
      </c>
      <c r="BN17" s="31">
        <v>0</v>
      </c>
      <c r="BO17" s="31">
        <f t="shared" si="15"/>
        <v>0</v>
      </c>
      <c r="BP17" s="29">
        <v>1</v>
      </c>
      <c r="BQ17" s="30">
        <v>1</v>
      </c>
      <c r="BR17" s="31">
        <v>1</v>
      </c>
      <c r="BS17" s="31">
        <f t="shared" si="16"/>
        <v>0</v>
      </c>
      <c r="BT17" s="29">
        <v>0</v>
      </c>
      <c r="BU17" s="30">
        <f t="shared" si="17"/>
        <v>10</v>
      </c>
      <c r="BV17" s="31">
        <f t="shared" si="18"/>
        <v>0</v>
      </c>
      <c r="BW17" s="31">
        <f t="shared" si="19"/>
        <v>4</v>
      </c>
      <c r="BX17" s="31">
        <f t="shared" si="20"/>
        <v>1</v>
      </c>
      <c r="BY17" s="31">
        <f t="shared" si="21"/>
        <v>0.7142857142857143</v>
      </c>
      <c r="BZ17" s="29">
        <f t="shared" si="23"/>
        <v>0.83333333333333326</v>
      </c>
      <c r="CC17" s="75" t="s">
        <v>42</v>
      </c>
      <c r="CD17">
        <f>AVERAGE(CD3:CD16)</f>
        <v>0.81896769391517299</v>
      </c>
      <c r="CE17">
        <f t="shared" ref="CE17:CF17" si="41">AVERAGE(CE3:CE16)</f>
        <v>0.87283724919917305</v>
      </c>
      <c r="CF17">
        <f t="shared" si="41"/>
        <v>0.83747892338856089</v>
      </c>
    </row>
    <row r="18" spans="1:84" x14ac:dyDescent="0.35">
      <c r="A18" s="59" t="s">
        <v>10</v>
      </c>
      <c r="B18" s="108"/>
      <c r="C18" s="108"/>
      <c r="D18" s="29" t="s">
        <v>26</v>
      </c>
      <c r="E18" s="30">
        <v>2</v>
      </c>
      <c r="F18" s="31">
        <v>2</v>
      </c>
      <c r="G18" s="31">
        <f t="shared" si="0"/>
        <v>0</v>
      </c>
      <c r="H18" s="29">
        <v>0</v>
      </c>
      <c r="I18" s="30">
        <v>0</v>
      </c>
      <c r="J18" s="31">
        <v>0</v>
      </c>
      <c r="K18" s="31">
        <f t="shared" si="35"/>
        <v>0</v>
      </c>
      <c r="L18" s="29">
        <v>0</v>
      </c>
      <c r="M18" s="30">
        <v>0</v>
      </c>
      <c r="N18" s="31">
        <v>0</v>
      </c>
      <c r="O18" s="31">
        <f t="shared" si="36"/>
        <v>0</v>
      </c>
      <c r="P18" s="29">
        <v>0</v>
      </c>
      <c r="Q18" s="30">
        <v>3</v>
      </c>
      <c r="R18" s="31">
        <v>3</v>
      </c>
      <c r="S18" s="31">
        <f t="shared" si="3"/>
        <v>0</v>
      </c>
      <c r="T18" s="29">
        <v>0</v>
      </c>
      <c r="U18" s="30">
        <v>0</v>
      </c>
      <c r="V18" s="31">
        <v>0</v>
      </c>
      <c r="W18" s="31">
        <f t="shared" si="37"/>
        <v>0</v>
      </c>
      <c r="X18" s="29">
        <v>0</v>
      </c>
      <c r="Y18" s="30">
        <v>1</v>
      </c>
      <c r="Z18" s="31">
        <v>1</v>
      </c>
      <c r="AA18" s="31">
        <f t="shared" si="40"/>
        <v>0</v>
      </c>
      <c r="AB18" s="29">
        <v>0</v>
      </c>
      <c r="AC18" s="30">
        <v>1</v>
      </c>
      <c r="AD18" s="31">
        <v>1</v>
      </c>
      <c r="AE18" s="31">
        <f t="shared" si="6"/>
        <v>0</v>
      </c>
      <c r="AF18" s="29">
        <v>0</v>
      </c>
      <c r="AG18" s="30">
        <v>1</v>
      </c>
      <c r="AH18" s="31">
        <v>0</v>
      </c>
      <c r="AI18" s="31">
        <f t="shared" si="7"/>
        <v>1</v>
      </c>
      <c r="AJ18" s="29">
        <v>0</v>
      </c>
      <c r="AK18" s="30">
        <v>0</v>
      </c>
      <c r="AL18" s="31">
        <v>0</v>
      </c>
      <c r="AM18" s="31">
        <f t="shared" si="8"/>
        <v>0</v>
      </c>
      <c r="AN18" s="29">
        <v>0</v>
      </c>
      <c r="AO18" s="30">
        <v>0</v>
      </c>
      <c r="AP18" s="31">
        <v>0</v>
      </c>
      <c r="AQ18" s="31">
        <f t="shared" si="9"/>
        <v>0</v>
      </c>
      <c r="AR18" s="29">
        <v>0</v>
      </c>
      <c r="AS18" s="30">
        <v>0</v>
      </c>
      <c r="AT18" s="31">
        <v>0</v>
      </c>
      <c r="AU18" s="31">
        <f t="shared" si="10"/>
        <v>0</v>
      </c>
      <c r="AV18" s="29">
        <v>0</v>
      </c>
      <c r="AW18" s="30">
        <v>0</v>
      </c>
      <c r="AX18" s="31">
        <v>0</v>
      </c>
      <c r="AY18" s="31">
        <f t="shared" si="11"/>
        <v>0</v>
      </c>
      <c r="AZ18" s="29">
        <v>0</v>
      </c>
      <c r="BA18" s="30">
        <v>1</v>
      </c>
      <c r="BB18" s="31">
        <v>1</v>
      </c>
      <c r="BC18" s="31">
        <f t="shared" si="12"/>
        <v>0</v>
      </c>
      <c r="BD18" s="29">
        <v>0</v>
      </c>
      <c r="BE18" s="30">
        <v>0</v>
      </c>
      <c r="BF18" s="31">
        <v>0</v>
      </c>
      <c r="BG18" s="31">
        <f t="shared" si="13"/>
        <v>0</v>
      </c>
      <c r="BH18" s="29">
        <v>0</v>
      </c>
      <c r="BI18" s="30">
        <v>0</v>
      </c>
      <c r="BJ18" s="31">
        <v>0</v>
      </c>
      <c r="BK18" s="31">
        <f t="shared" si="14"/>
        <v>0</v>
      </c>
      <c r="BL18" s="29">
        <v>0</v>
      </c>
      <c r="BM18" s="30">
        <v>0</v>
      </c>
      <c r="BN18" s="31">
        <v>0</v>
      </c>
      <c r="BO18" s="31">
        <f t="shared" si="15"/>
        <v>0</v>
      </c>
      <c r="BP18" s="29">
        <v>0</v>
      </c>
      <c r="BQ18" s="30">
        <v>1</v>
      </c>
      <c r="BR18" s="31">
        <v>1</v>
      </c>
      <c r="BS18" s="31">
        <f t="shared" si="16"/>
        <v>0</v>
      </c>
      <c r="BT18" s="29">
        <v>0</v>
      </c>
      <c r="BU18" s="30">
        <f t="shared" si="17"/>
        <v>9</v>
      </c>
      <c r="BV18" s="31">
        <f t="shared" si="18"/>
        <v>1</v>
      </c>
      <c r="BW18" s="31">
        <f t="shared" si="19"/>
        <v>0</v>
      </c>
      <c r="BX18" s="31">
        <f t="shared" si="20"/>
        <v>0.9</v>
      </c>
      <c r="BY18" s="31">
        <f t="shared" si="21"/>
        <v>1</v>
      </c>
      <c r="BZ18" s="29">
        <f t="shared" si="23"/>
        <v>0.94736842105263164</v>
      </c>
    </row>
    <row r="19" spans="1:84" x14ac:dyDescent="0.35">
      <c r="A19" s="60" t="s">
        <v>10</v>
      </c>
      <c r="B19" s="108"/>
      <c r="C19" s="108"/>
      <c r="D19" s="32" t="s">
        <v>27</v>
      </c>
      <c r="E19" s="33">
        <v>3</v>
      </c>
      <c r="F19" s="34">
        <v>3</v>
      </c>
      <c r="G19" s="34">
        <f t="shared" si="0"/>
        <v>0</v>
      </c>
      <c r="H19" s="32">
        <v>0</v>
      </c>
      <c r="I19" s="33">
        <v>0</v>
      </c>
      <c r="J19" s="34">
        <v>0</v>
      </c>
      <c r="K19" s="34">
        <f t="shared" si="35"/>
        <v>0</v>
      </c>
      <c r="L19" s="32">
        <v>0</v>
      </c>
      <c r="M19" s="33">
        <v>0</v>
      </c>
      <c r="N19" s="34">
        <v>0</v>
      </c>
      <c r="O19" s="34">
        <f t="shared" si="36"/>
        <v>0</v>
      </c>
      <c r="P19" s="32">
        <v>0</v>
      </c>
      <c r="Q19" s="33">
        <v>3</v>
      </c>
      <c r="R19" s="34">
        <v>3</v>
      </c>
      <c r="S19" s="34">
        <f t="shared" si="3"/>
        <v>0</v>
      </c>
      <c r="T19" s="32">
        <v>0</v>
      </c>
      <c r="U19" s="33">
        <v>0</v>
      </c>
      <c r="V19" s="34">
        <v>0</v>
      </c>
      <c r="W19" s="34">
        <f t="shared" si="37"/>
        <v>0</v>
      </c>
      <c r="X19" s="32">
        <v>0</v>
      </c>
      <c r="Y19" s="33">
        <v>2</v>
      </c>
      <c r="Z19" s="34">
        <v>1</v>
      </c>
      <c r="AA19" s="34">
        <f t="shared" si="40"/>
        <v>1</v>
      </c>
      <c r="AB19" s="32">
        <v>0</v>
      </c>
      <c r="AC19" s="33">
        <v>2</v>
      </c>
      <c r="AD19" s="34">
        <v>1</v>
      </c>
      <c r="AE19" s="34">
        <f t="shared" si="6"/>
        <v>1</v>
      </c>
      <c r="AF19" s="32">
        <v>0</v>
      </c>
      <c r="AG19" s="33">
        <v>2</v>
      </c>
      <c r="AH19" s="34">
        <v>0</v>
      </c>
      <c r="AI19" s="34">
        <f t="shared" si="7"/>
        <v>2</v>
      </c>
      <c r="AJ19" s="32">
        <v>0</v>
      </c>
      <c r="AK19" s="33">
        <v>0</v>
      </c>
      <c r="AL19" s="34">
        <v>0</v>
      </c>
      <c r="AM19" s="34">
        <f t="shared" si="8"/>
        <v>0</v>
      </c>
      <c r="AN19" s="32">
        <v>0</v>
      </c>
      <c r="AO19" s="33">
        <v>0</v>
      </c>
      <c r="AP19" s="34">
        <v>0</v>
      </c>
      <c r="AQ19" s="34">
        <f t="shared" si="9"/>
        <v>0</v>
      </c>
      <c r="AR19" s="32">
        <v>1</v>
      </c>
      <c r="AS19" s="33">
        <v>0</v>
      </c>
      <c r="AT19" s="34">
        <v>0</v>
      </c>
      <c r="AU19" s="34">
        <f t="shared" si="10"/>
        <v>0</v>
      </c>
      <c r="AV19" s="32">
        <v>1</v>
      </c>
      <c r="AW19" s="33">
        <v>0</v>
      </c>
      <c r="AX19" s="34">
        <v>0</v>
      </c>
      <c r="AY19" s="34">
        <f t="shared" si="11"/>
        <v>0</v>
      </c>
      <c r="AZ19" s="32">
        <v>0</v>
      </c>
      <c r="BA19" s="33">
        <v>2</v>
      </c>
      <c r="BB19" s="34">
        <v>2</v>
      </c>
      <c r="BC19" s="34">
        <f t="shared" si="12"/>
        <v>0</v>
      </c>
      <c r="BD19" s="32">
        <v>0</v>
      </c>
      <c r="BE19" s="33">
        <v>0</v>
      </c>
      <c r="BF19" s="34">
        <v>0</v>
      </c>
      <c r="BG19" s="34">
        <f t="shared" si="13"/>
        <v>0</v>
      </c>
      <c r="BH19" s="32">
        <v>0</v>
      </c>
      <c r="BI19" s="33">
        <v>1</v>
      </c>
      <c r="BJ19" s="34">
        <v>0</v>
      </c>
      <c r="BK19" s="34">
        <f t="shared" si="14"/>
        <v>1</v>
      </c>
      <c r="BL19" s="32">
        <v>0</v>
      </c>
      <c r="BM19" s="33">
        <v>0</v>
      </c>
      <c r="BN19" s="34">
        <v>0</v>
      </c>
      <c r="BO19" s="34">
        <f t="shared" si="15"/>
        <v>0</v>
      </c>
      <c r="BP19" s="32">
        <v>0</v>
      </c>
      <c r="BQ19" s="33">
        <v>2</v>
      </c>
      <c r="BR19" s="34">
        <v>0</v>
      </c>
      <c r="BS19" s="34">
        <f t="shared" si="16"/>
        <v>2</v>
      </c>
      <c r="BT19" s="32">
        <v>0</v>
      </c>
      <c r="BU19" s="33">
        <f t="shared" si="17"/>
        <v>10</v>
      </c>
      <c r="BV19" s="34">
        <f t="shared" si="18"/>
        <v>7</v>
      </c>
      <c r="BW19" s="34">
        <f t="shared" si="19"/>
        <v>2</v>
      </c>
      <c r="BX19" s="34">
        <f t="shared" si="20"/>
        <v>0.58823529411764708</v>
      </c>
      <c r="BY19" s="34">
        <f t="shared" si="21"/>
        <v>0.83333333333333337</v>
      </c>
      <c r="BZ19" s="32">
        <f t="shared" si="23"/>
        <v>0.68965517241379315</v>
      </c>
    </row>
    <row r="20" spans="1:84" x14ac:dyDescent="0.35">
      <c r="A20" s="60" t="s">
        <v>10</v>
      </c>
      <c r="B20" s="108"/>
      <c r="C20" s="108"/>
      <c r="D20" s="32" t="s">
        <v>28</v>
      </c>
      <c r="E20" s="33">
        <v>3</v>
      </c>
      <c r="F20" s="34">
        <v>3</v>
      </c>
      <c r="G20" s="34">
        <f t="shared" si="0"/>
        <v>0</v>
      </c>
      <c r="H20" s="32">
        <v>0</v>
      </c>
      <c r="I20" s="33">
        <v>0</v>
      </c>
      <c r="J20" s="34">
        <v>0</v>
      </c>
      <c r="K20" s="34">
        <f t="shared" si="35"/>
        <v>0</v>
      </c>
      <c r="L20" s="32">
        <v>0</v>
      </c>
      <c r="M20" s="33">
        <v>0</v>
      </c>
      <c r="N20" s="34">
        <v>0</v>
      </c>
      <c r="O20" s="34">
        <f t="shared" si="36"/>
        <v>0</v>
      </c>
      <c r="P20" s="32">
        <v>0</v>
      </c>
      <c r="Q20" s="33">
        <v>3</v>
      </c>
      <c r="R20" s="34">
        <v>3</v>
      </c>
      <c r="S20" s="34">
        <f t="shared" si="3"/>
        <v>0</v>
      </c>
      <c r="T20" s="32">
        <v>0</v>
      </c>
      <c r="U20" s="33">
        <v>0</v>
      </c>
      <c r="V20" s="34">
        <v>0</v>
      </c>
      <c r="W20" s="34">
        <f t="shared" si="37"/>
        <v>0</v>
      </c>
      <c r="X20" s="32">
        <v>0</v>
      </c>
      <c r="Y20" s="33">
        <v>2</v>
      </c>
      <c r="Z20" s="34">
        <v>2</v>
      </c>
      <c r="AA20" s="34">
        <f t="shared" si="40"/>
        <v>0</v>
      </c>
      <c r="AB20" s="32">
        <v>0</v>
      </c>
      <c r="AC20" s="33">
        <v>2</v>
      </c>
      <c r="AD20" s="34">
        <v>2</v>
      </c>
      <c r="AE20" s="34">
        <f t="shared" si="6"/>
        <v>0</v>
      </c>
      <c r="AF20" s="32">
        <v>0</v>
      </c>
      <c r="AG20" s="33">
        <v>2</v>
      </c>
      <c r="AH20" s="34">
        <v>0</v>
      </c>
      <c r="AI20" s="34">
        <f t="shared" si="7"/>
        <v>2</v>
      </c>
      <c r="AJ20" s="32">
        <v>0</v>
      </c>
      <c r="AK20" s="33">
        <v>0</v>
      </c>
      <c r="AL20" s="34">
        <v>0</v>
      </c>
      <c r="AM20" s="34">
        <f t="shared" si="8"/>
        <v>0</v>
      </c>
      <c r="AN20" s="32">
        <v>0</v>
      </c>
      <c r="AO20" s="33">
        <v>0</v>
      </c>
      <c r="AP20" s="34">
        <v>0</v>
      </c>
      <c r="AQ20" s="34">
        <f t="shared" si="9"/>
        <v>0</v>
      </c>
      <c r="AR20" s="32">
        <v>0</v>
      </c>
      <c r="AS20" s="33">
        <v>0</v>
      </c>
      <c r="AT20" s="34">
        <v>0</v>
      </c>
      <c r="AU20" s="34">
        <f t="shared" si="10"/>
        <v>0</v>
      </c>
      <c r="AV20" s="32">
        <v>0</v>
      </c>
      <c r="AW20" s="33">
        <v>0</v>
      </c>
      <c r="AX20" s="34">
        <v>0</v>
      </c>
      <c r="AY20" s="34">
        <f t="shared" si="11"/>
        <v>0</v>
      </c>
      <c r="AZ20" s="32">
        <v>0</v>
      </c>
      <c r="BA20" s="33">
        <v>2</v>
      </c>
      <c r="BB20" s="34">
        <v>1</v>
      </c>
      <c r="BC20" s="34">
        <f t="shared" si="12"/>
        <v>1</v>
      </c>
      <c r="BD20" s="32">
        <v>0</v>
      </c>
      <c r="BE20" s="33">
        <v>0</v>
      </c>
      <c r="BF20" s="34">
        <v>0</v>
      </c>
      <c r="BG20" s="34">
        <f t="shared" si="13"/>
        <v>0</v>
      </c>
      <c r="BH20" s="32">
        <v>0</v>
      </c>
      <c r="BI20" s="33">
        <v>1</v>
      </c>
      <c r="BJ20" s="34">
        <v>0</v>
      </c>
      <c r="BK20" s="34">
        <f t="shared" si="14"/>
        <v>1</v>
      </c>
      <c r="BL20" s="32">
        <v>0</v>
      </c>
      <c r="BM20" s="33">
        <v>0</v>
      </c>
      <c r="BN20" s="34">
        <v>0</v>
      </c>
      <c r="BO20" s="34">
        <f t="shared" si="15"/>
        <v>0</v>
      </c>
      <c r="BP20" s="32">
        <v>0</v>
      </c>
      <c r="BQ20" s="33">
        <v>2</v>
      </c>
      <c r="BR20" s="34">
        <v>0</v>
      </c>
      <c r="BS20" s="34">
        <f t="shared" si="16"/>
        <v>2</v>
      </c>
      <c r="BT20" s="32">
        <v>1</v>
      </c>
      <c r="BU20" s="33">
        <f t="shared" si="17"/>
        <v>11</v>
      </c>
      <c r="BV20" s="34">
        <f t="shared" si="18"/>
        <v>6</v>
      </c>
      <c r="BW20" s="34">
        <f t="shared" si="19"/>
        <v>1</v>
      </c>
      <c r="BX20" s="34">
        <f t="shared" si="20"/>
        <v>0.6470588235294118</v>
      </c>
      <c r="BY20" s="34">
        <f t="shared" si="21"/>
        <v>0.91666666666666663</v>
      </c>
      <c r="BZ20" s="32">
        <f t="shared" si="23"/>
        <v>0.75862068965517238</v>
      </c>
    </row>
    <row r="21" spans="1:84" x14ac:dyDescent="0.35">
      <c r="A21" s="61" t="s">
        <v>10</v>
      </c>
      <c r="B21" s="108"/>
      <c r="C21" s="108"/>
      <c r="D21" s="35" t="s">
        <v>29</v>
      </c>
      <c r="E21" s="36">
        <v>2</v>
      </c>
      <c r="F21" s="37">
        <v>2</v>
      </c>
      <c r="G21" s="37">
        <f t="shared" si="0"/>
        <v>0</v>
      </c>
      <c r="H21" s="35">
        <v>0</v>
      </c>
      <c r="I21" s="36">
        <v>0</v>
      </c>
      <c r="J21" s="37">
        <v>0</v>
      </c>
      <c r="K21" s="37">
        <f t="shared" si="35"/>
        <v>0</v>
      </c>
      <c r="L21" s="35">
        <v>0</v>
      </c>
      <c r="M21" s="36">
        <v>0</v>
      </c>
      <c r="N21" s="37">
        <v>0</v>
      </c>
      <c r="O21" s="37">
        <f t="shared" si="36"/>
        <v>0</v>
      </c>
      <c r="P21" s="35">
        <v>0</v>
      </c>
      <c r="Q21" s="36">
        <v>3</v>
      </c>
      <c r="R21" s="37">
        <v>3</v>
      </c>
      <c r="S21" s="37">
        <f t="shared" si="3"/>
        <v>0</v>
      </c>
      <c r="T21" s="35">
        <v>0</v>
      </c>
      <c r="U21" s="36">
        <v>0</v>
      </c>
      <c r="V21" s="37">
        <v>0</v>
      </c>
      <c r="W21" s="37">
        <f t="shared" si="37"/>
        <v>0</v>
      </c>
      <c r="X21" s="35">
        <v>0</v>
      </c>
      <c r="Y21" s="36">
        <v>1</v>
      </c>
      <c r="Z21" s="37">
        <v>1</v>
      </c>
      <c r="AA21" s="37">
        <f t="shared" si="40"/>
        <v>0</v>
      </c>
      <c r="AB21" s="35">
        <v>0</v>
      </c>
      <c r="AC21" s="36">
        <v>1</v>
      </c>
      <c r="AD21" s="37">
        <v>1</v>
      </c>
      <c r="AE21" s="37">
        <f t="shared" si="6"/>
        <v>0</v>
      </c>
      <c r="AF21" s="35">
        <v>0</v>
      </c>
      <c r="AG21" s="36">
        <v>1</v>
      </c>
      <c r="AH21" s="37">
        <v>0</v>
      </c>
      <c r="AI21" s="37">
        <f t="shared" si="7"/>
        <v>1</v>
      </c>
      <c r="AJ21" s="35">
        <v>0</v>
      </c>
      <c r="AK21" s="36">
        <v>0</v>
      </c>
      <c r="AL21" s="37">
        <v>0</v>
      </c>
      <c r="AM21" s="37">
        <f t="shared" si="8"/>
        <v>0</v>
      </c>
      <c r="AN21" s="35">
        <v>0</v>
      </c>
      <c r="AO21" s="36">
        <v>0</v>
      </c>
      <c r="AP21" s="37">
        <v>0</v>
      </c>
      <c r="AQ21" s="37">
        <f t="shared" si="9"/>
        <v>0</v>
      </c>
      <c r="AR21" s="35">
        <v>0</v>
      </c>
      <c r="AS21" s="36">
        <v>0</v>
      </c>
      <c r="AT21" s="37">
        <v>0</v>
      </c>
      <c r="AU21" s="37">
        <f t="shared" si="10"/>
        <v>0</v>
      </c>
      <c r="AV21" s="35">
        <v>0</v>
      </c>
      <c r="AW21" s="36">
        <v>0</v>
      </c>
      <c r="AX21" s="37">
        <v>0</v>
      </c>
      <c r="AY21" s="37">
        <f t="shared" si="11"/>
        <v>0</v>
      </c>
      <c r="AZ21" s="35">
        <v>0</v>
      </c>
      <c r="BA21" s="36">
        <v>1</v>
      </c>
      <c r="BB21" s="37">
        <v>1</v>
      </c>
      <c r="BC21" s="37">
        <f t="shared" si="12"/>
        <v>0</v>
      </c>
      <c r="BD21" s="35">
        <v>0</v>
      </c>
      <c r="BE21" s="36">
        <v>0</v>
      </c>
      <c r="BF21" s="37">
        <v>0</v>
      </c>
      <c r="BG21" s="37">
        <f t="shared" si="13"/>
        <v>0</v>
      </c>
      <c r="BH21" s="35">
        <v>0</v>
      </c>
      <c r="BI21" s="36">
        <v>0</v>
      </c>
      <c r="BJ21" s="37">
        <v>0</v>
      </c>
      <c r="BK21" s="37">
        <f t="shared" si="14"/>
        <v>0</v>
      </c>
      <c r="BL21" s="35">
        <v>0</v>
      </c>
      <c r="BM21" s="36">
        <v>0</v>
      </c>
      <c r="BN21" s="37">
        <v>0</v>
      </c>
      <c r="BO21" s="37">
        <f t="shared" si="15"/>
        <v>0</v>
      </c>
      <c r="BP21" s="35">
        <v>0</v>
      </c>
      <c r="BQ21" s="36">
        <v>1</v>
      </c>
      <c r="BR21" s="37">
        <v>1</v>
      </c>
      <c r="BS21" s="37">
        <f t="shared" si="16"/>
        <v>0</v>
      </c>
      <c r="BT21" s="35">
        <v>0</v>
      </c>
      <c r="BU21" s="36">
        <f t="shared" si="17"/>
        <v>9</v>
      </c>
      <c r="BV21" s="37">
        <f t="shared" si="18"/>
        <v>1</v>
      </c>
      <c r="BW21" s="37">
        <f t="shared" si="19"/>
        <v>0</v>
      </c>
      <c r="BX21" s="37">
        <f t="shared" si="20"/>
        <v>0.9</v>
      </c>
      <c r="BY21" s="37">
        <f t="shared" si="21"/>
        <v>1</v>
      </c>
      <c r="BZ21" s="35">
        <f t="shared" si="23"/>
        <v>0.94736842105263164</v>
      </c>
    </row>
    <row r="22" spans="1:84" x14ac:dyDescent="0.35">
      <c r="A22" s="61" t="s">
        <v>10</v>
      </c>
      <c r="B22" s="108"/>
      <c r="C22" s="108"/>
      <c r="D22" s="35" t="s">
        <v>30</v>
      </c>
      <c r="E22" s="36">
        <v>2</v>
      </c>
      <c r="F22" s="37">
        <v>2</v>
      </c>
      <c r="G22" s="37">
        <f t="shared" si="0"/>
        <v>0</v>
      </c>
      <c r="H22" s="35">
        <v>0</v>
      </c>
      <c r="I22" s="36">
        <v>0</v>
      </c>
      <c r="J22" s="37">
        <v>0</v>
      </c>
      <c r="K22" s="37">
        <f t="shared" si="35"/>
        <v>0</v>
      </c>
      <c r="L22" s="35">
        <v>0</v>
      </c>
      <c r="M22" s="36">
        <v>0</v>
      </c>
      <c r="N22" s="37">
        <v>0</v>
      </c>
      <c r="O22" s="37">
        <f t="shared" si="36"/>
        <v>0</v>
      </c>
      <c r="P22" s="35">
        <v>0</v>
      </c>
      <c r="Q22" s="36">
        <v>3</v>
      </c>
      <c r="R22" s="37">
        <v>3</v>
      </c>
      <c r="S22" s="37">
        <f t="shared" si="3"/>
        <v>0</v>
      </c>
      <c r="T22" s="35">
        <v>0</v>
      </c>
      <c r="U22" s="36">
        <v>0</v>
      </c>
      <c r="V22" s="37">
        <v>0</v>
      </c>
      <c r="W22" s="37">
        <f t="shared" si="37"/>
        <v>0</v>
      </c>
      <c r="X22" s="35">
        <v>0</v>
      </c>
      <c r="Y22" s="36">
        <v>1</v>
      </c>
      <c r="Z22" s="37">
        <v>1</v>
      </c>
      <c r="AA22" s="37">
        <f t="shared" si="40"/>
        <v>0</v>
      </c>
      <c r="AB22" s="35">
        <v>0</v>
      </c>
      <c r="AC22" s="36">
        <v>1</v>
      </c>
      <c r="AD22" s="37">
        <v>1</v>
      </c>
      <c r="AE22" s="37">
        <f t="shared" si="6"/>
        <v>0</v>
      </c>
      <c r="AF22" s="35">
        <v>0</v>
      </c>
      <c r="AG22" s="36">
        <v>1</v>
      </c>
      <c r="AH22" s="37">
        <v>1</v>
      </c>
      <c r="AI22" s="37">
        <f t="shared" si="7"/>
        <v>0</v>
      </c>
      <c r="AJ22" s="35">
        <v>0</v>
      </c>
      <c r="AK22" s="36">
        <v>0</v>
      </c>
      <c r="AL22" s="37">
        <v>0</v>
      </c>
      <c r="AM22" s="37">
        <f t="shared" si="8"/>
        <v>0</v>
      </c>
      <c r="AN22" s="35">
        <v>0</v>
      </c>
      <c r="AO22" s="36">
        <v>0</v>
      </c>
      <c r="AP22" s="37">
        <v>0</v>
      </c>
      <c r="AQ22" s="37">
        <f t="shared" si="9"/>
        <v>0</v>
      </c>
      <c r="AR22" s="35">
        <v>0</v>
      </c>
      <c r="AS22" s="36">
        <v>0</v>
      </c>
      <c r="AT22" s="37">
        <v>0</v>
      </c>
      <c r="AU22" s="37">
        <f t="shared" si="10"/>
        <v>0</v>
      </c>
      <c r="AV22" s="35">
        <v>0</v>
      </c>
      <c r="AW22" s="36">
        <v>0</v>
      </c>
      <c r="AX22" s="37">
        <v>0</v>
      </c>
      <c r="AY22" s="37">
        <f t="shared" si="11"/>
        <v>0</v>
      </c>
      <c r="AZ22" s="35">
        <v>1</v>
      </c>
      <c r="BA22" s="36">
        <v>1</v>
      </c>
      <c r="BB22" s="37">
        <v>1</v>
      </c>
      <c r="BC22" s="37">
        <f t="shared" si="12"/>
        <v>0</v>
      </c>
      <c r="BD22" s="35">
        <v>0</v>
      </c>
      <c r="BE22" s="36">
        <v>0</v>
      </c>
      <c r="BF22" s="37">
        <v>0</v>
      </c>
      <c r="BG22" s="37">
        <f t="shared" si="13"/>
        <v>0</v>
      </c>
      <c r="BH22" s="35">
        <v>0</v>
      </c>
      <c r="BI22" s="36">
        <v>0</v>
      </c>
      <c r="BJ22" s="37">
        <v>0</v>
      </c>
      <c r="BK22" s="37">
        <f t="shared" si="14"/>
        <v>0</v>
      </c>
      <c r="BL22" s="35">
        <v>0</v>
      </c>
      <c r="BM22" s="36">
        <v>0</v>
      </c>
      <c r="BN22" s="37">
        <v>0</v>
      </c>
      <c r="BO22" s="37">
        <f t="shared" si="15"/>
        <v>0</v>
      </c>
      <c r="BP22" s="35">
        <v>0</v>
      </c>
      <c r="BQ22" s="36">
        <v>1</v>
      </c>
      <c r="BR22" s="37">
        <v>0</v>
      </c>
      <c r="BS22" s="37">
        <f t="shared" si="16"/>
        <v>1</v>
      </c>
      <c r="BT22" s="35">
        <v>0</v>
      </c>
      <c r="BU22" s="36">
        <f t="shared" si="17"/>
        <v>9</v>
      </c>
      <c r="BV22" s="37">
        <f t="shared" si="18"/>
        <v>1</v>
      </c>
      <c r="BW22" s="37">
        <f t="shared" si="19"/>
        <v>1</v>
      </c>
      <c r="BX22" s="37">
        <f t="shared" si="20"/>
        <v>0.9</v>
      </c>
      <c r="BY22" s="37">
        <f t="shared" si="21"/>
        <v>0.9</v>
      </c>
      <c r="BZ22" s="35">
        <f t="shared" si="23"/>
        <v>0.9</v>
      </c>
    </row>
    <row r="23" spans="1:84" x14ac:dyDescent="0.35">
      <c r="A23" s="62" t="s">
        <v>10</v>
      </c>
      <c r="B23" s="108"/>
      <c r="C23" s="108"/>
      <c r="D23" s="38" t="s">
        <v>31</v>
      </c>
      <c r="E23" s="39">
        <v>4</v>
      </c>
      <c r="F23" s="40">
        <v>4</v>
      </c>
      <c r="G23" s="40">
        <f t="shared" si="0"/>
        <v>0</v>
      </c>
      <c r="H23" s="38">
        <v>0</v>
      </c>
      <c r="I23" s="39">
        <v>0</v>
      </c>
      <c r="J23" s="40">
        <v>0</v>
      </c>
      <c r="K23" s="40">
        <f t="shared" si="35"/>
        <v>0</v>
      </c>
      <c r="L23" s="38">
        <v>0</v>
      </c>
      <c r="M23" s="39">
        <v>0</v>
      </c>
      <c r="N23" s="40">
        <v>0</v>
      </c>
      <c r="O23" s="40">
        <f t="shared" si="36"/>
        <v>0</v>
      </c>
      <c r="P23" s="38">
        <v>0</v>
      </c>
      <c r="Q23" s="39">
        <v>0</v>
      </c>
      <c r="R23" s="40">
        <v>0</v>
      </c>
      <c r="S23" s="40">
        <f t="shared" si="3"/>
        <v>0</v>
      </c>
      <c r="T23" s="38">
        <v>0</v>
      </c>
      <c r="U23" s="39">
        <v>0</v>
      </c>
      <c r="V23" s="40">
        <v>0</v>
      </c>
      <c r="W23" s="40">
        <f t="shared" si="37"/>
        <v>0</v>
      </c>
      <c r="X23" s="38">
        <v>0</v>
      </c>
      <c r="Y23" s="39">
        <v>4</v>
      </c>
      <c r="Z23" s="40">
        <v>4</v>
      </c>
      <c r="AA23" s="40">
        <f t="shared" si="40"/>
        <v>0</v>
      </c>
      <c r="AB23" s="38">
        <v>0</v>
      </c>
      <c r="AC23" s="39">
        <v>1</v>
      </c>
      <c r="AD23" s="40">
        <v>1</v>
      </c>
      <c r="AE23" s="40">
        <f t="shared" si="6"/>
        <v>0</v>
      </c>
      <c r="AF23" s="38">
        <v>0</v>
      </c>
      <c r="AG23" s="39">
        <v>2</v>
      </c>
      <c r="AH23" s="40">
        <v>2</v>
      </c>
      <c r="AI23" s="40">
        <f t="shared" si="7"/>
        <v>0</v>
      </c>
      <c r="AJ23" s="38">
        <v>2</v>
      </c>
      <c r="AK23" s="39">
        <v>1</v>
      </c>
      <c r="AL23" s="40">
        <v>1</v>
      </c>
      <c r="AM23" s="40">
        <f t="shared" si="8"/>
        <v>0</v>
      </c>
      <c r="AN23" s="38">
        <v>0</v>
      </c>
      <c r="AO23" s="39">
        <v>1</v>
      </c>
      <c r="AP23" s="40">
        <v>1</v>
      </c>
      <c r="AQ23" s="40">
        <f t="shared" si="9"/>
        <v>0</v>
      </c>
      <c r="AR23" s="38">
        <v>0</v>
      </c>
      <c r="AS23" s="39">
        <v>0</v>
      </c>
      <c r="AT23" s="40">
        <v>0</v>
      </c>
      <c r="AU23" s="40">
        <f t="shared" si="10"/>
        <v>0</v>
      </c>
      <c r="AV23" s="38">
        <v>0</v>
      </c>
      <c r="AW23" s="39">
        <v>0</v>
      </c>
      <c r="AX23" s="40">
        <v>0</v>
      </c>
      <c r="AY23" s="40">
        <f t="shared" si="11"/>
        <v>0</v>
      </c>
      <c r="AZ23" s="38">
        <v>1</v>
      </c>
      <c r="BA23" s="39">
        <v>3</v>
      </c>
      <c r="BB23" s="40">
        <v>3</v>
      </c>
      <c r="BC23" s="40">
        <f t="shared" si="12"/>
        <v>0</v>
      </c>
      <c r="BD23" s="38">
        <v>0</v>
      </c>
      <c r="BE23" s="39">
        <v>0</v>
      </c>
      <c r="BF23" s="40">
        <v>0</v>
      </c>
      <c r="BG23" s="40">
        <f t="shared" si="13"/>
        <v>0</v>
      </c>
      <c r="BH23" s="38">
        <v>0</v>
      </c>
      <c r="BI23" s="39">
        <v>1</v>
      </c>
      <c r="BJ23" s="40">
        <v>1</v>
      </c>
      <c r="BK23" s="40">
        <f t="shared" si="14"/>
        <v>0</v>
      </c>
      <c r="BL23" s="38">
        <v>0</v>
      </c>
      <c r="BM23" s="39">
        <v>0</v>
      </c>
      <c r="BN23" s="40">
        <v>0</v>
      </c>
      <c r="BO23" s="40">
        <f t="shared" si="15"/>
        <v>0</v>
      </c>
      <c r="BP23" s="38">
        <v>0</v>
      </c>
      <c r="BQ23" s="39">
        <v>1</v>
      </c>
      <c r="BR23" s="40">
        <v>0</v>
      </c>
      <c r="BS23" s="40">
        <f t="shared" si="16"/>
        <v>1</v>
      </c>
      <c r="BT23" s="38">
        <v>0</v>
      </c>
      <c r="BU23" s="39">
        <f t="shared" si="17"/>
        <v>17</v>
      </c>
      <c r="BV23" s="40">
        <f t="shared" si="18"/>
        <v>1</v>
      </c>
      <c r="BW23" s="40">
        <f t="shared" si="19"/>
        <v>3</v>
      </c>
      <c r="BX23" s="40">
        <f t="shared" si="20"/>
        <v>0.94444444444444442</v>
      </c>
      <c r="BY23" s="40">
        <f t="shared" si="21"/>
        <v>0.85</v>
      </c>
      <c r="BZ23" s="38">
        <f t="shared" si="23"/>
        <v>0.89473684210526316</v>
      </c>
    </row>
    <row r="24" spans="1:84" x14ac:dyDescent="0.35">
      <c r="A24" s="62" t="s">
        <v>10</v>
      </c>
      <c r="B24" s="108"/>
      <c r="C24" s="108"/>
      <c r="D24" s="38" t="s">
        <v>32</v>
      </c>
      <c r="E24" s="39">
        <v>4</v>
      </c>
      <c r="F24" s="40">
        <v>3</v>
      </c>
      <c r="G24" s="40">
        <f t="shared" si="0"/>
        <v>1</v>
      </c>
      <c r="H24" s="38">
        <v>0</v>
      </c>
      <c r="I24" s="39">
        <v>0</v>
      </c>
      <c r="J24" s="40">
        <v>0</v>
      </c>
      <c r="K24" s="40">
        <v>0</v>
      </c>
      <c r="L24" s="38">
        <v>0</v>
      </c>
      <c r="M24" s="39">
        <v>0</v>
      </c>
      <c r="N24" s="40">
        <v>0</v>
      </c>
      <c r="O24" s="40">
        <f t="shared" si="36"/>
        <v>0</v>
      </c>
      <c r="P24" s="38">
        <v>0</v>
      </c>
      <c r="Q24" s="39">
        <v>0</v>
      </c>
      <c r="R24" s="40">
        <v>0</v>
      </c>
      <c r="S24" s="40">
        <f t="shared" si="3"/>
        <v>0</v>
      </c>
      <c r="T24" s="38">
        <v>0</v>
      </c>
      <c r="U24" s="39">
        <v>0</v>
      </c>
      <c r="V24" s="40">
        <v>0</v>
      </c>
      <c r="W24" s="40">
        <f t="shared" si="37"/>
        <v>0</v>
      </c>
      <c r="X24" s="38">
        <v>0</v>
      </c>
      <c r="Y24" s="39">
        <v>4</v>
      </c>
      <c r="Z24" s="40">
        <v>3</v>
      </c>
      <c r="AA24" s="40">
        <f t="shared" si="40"/>
        <v>1</v>
      </c>
      <c r="AB24" s="38">
        <v>1</v>
      </c>
      <c r="AC24" s="39">
        <v>1</v>
      </c>
      <c r="AD24" s="40">
        <v>0</v>
      </c>
      <c r="AE24" s="40">
        <f t="shared" si="6"/>
        <v>1</v>
      </c>
      <c r="AF24" s="38">
        <v>0</v>
      </c>
      <c r="AG24" s="39">
        <v>2</v>
      </c>
      <c r="AH24" s="40">
        <v>0</v>
      </c>
      <c r="AI24" s="40">
        <f t="shared" si="7"/>
        <v>2</v>
      </c>
      <c r="AJ24" s="38">
        <v>0</v>
      </c>
      <c r="AK24" s="39">
        <v>1</v>
      </c>
      <c r="AL24" s="40">
        <v>1</v>
      </c>
      <c r="AM24" s="40">
        <f t="shared" si="8"/>
        <v>0</v>
      </c>
      <c r="AN24" s="38">
        <v>0</v>
      </c>
      <c r="AO24" s="39">
        <v>1</v>
      </c>
      <c r="AP24" s="40">
        <v>1</v>
      </c>
      <c r="AQ24" s="40">
        <f t="shared" si="9"/>
        <v>0</v>
      </c>
      <c r="AR24" s="38">
        <v>0</v>
      </c>
      <c r="AS24" s="39">
        <v>0</v>
      </c>
      <c r="AT24" s="40">
        <v>0</v>
      </c>
      <c r="AU24" s="40">
        <f t="shared" si="10"/>
        <v>0</v>
      </c>
      <c r="AV24" s="38">
        <v>0</v>
      </c>
      <c r="AW24" s="39">
        <v>0</v>
      </c>
      <c r="AX24" s="40">
        <v>0</v>
      </c>
      <c r="AY24" s="40">
        <f t="shared" si="11"/>
        <v>0</v>
      </c>
      <c r="AZ24" s="38">
        <v>0</v>
      </c>
      <c r="BA24" s="39">
        <v>3</v>
      </c>
      <c r="BB24" s="40">
        <v>2</v>
      </c>
      <c r="BC24" s="40">
        <f t="shared" si="12"/>
        <v>1</v>
      </c>
      <c r="BD24" s="38">
        <v>0</v>
      </c>
      <c r="BE24" s="39">
        <v>0</v>
      </c>
      <c r="BF24" s="40">
        <v>0</v>
      </c>
      <c r="BG24" s="40">
        <f t="shared" si="13"/>
        <v>0</v>
      </c>
      <c r="BH24" s="38">
        <v>0</v>
      </c>
      <c r="BI24" s="39">
        <v>1</v>
      </c>
      <c r="BJ24" s="40">
        <v>0</v>
      </c>
      <c r="BK24" s="40">
        <f t="shared" si="14"/>
        <v>1</v>
      </c>
      <c r="BL24" s="38">
        <v>0</v>
      </c>
      <c r="BM24" s="39">
        <v>0</v>
      </c>
      <c r="BN24" s="40">
        <v>0</v>
      </c>
      <c r="BO24" s="40">
        <f t="shared" si="15"/>
        <v>0</v>
      </c>
      <c r="BP24" s="38">
        <v>0</v>
      </c>
      <c r="BQ24" s="39">
        <v>1</v>
      </c>
      <c r="BR24" s="40">
        <v>0</v>
      </c>
      <c r="BS24" s="40">
        <f t="shared" si="16"/>
        <v>1</v>
      </c>
      <c r="BT24" s="38">
        <v>0</v>
      </c>
      <c r="BU24" s="39">
        <f t="shared" si="17"/>
        <v>10</v>
      </c>
      <c r="BV24" s="40">
        <f t="shared" si="18"/>
        <v>8</v>
      </c>
      <c r="BW24" s="40">
        <f t="shared" si="19"/>
        <v>1</v>
      </c>
      <c r="BX24" s="40">
        <f t="shared" si="20"/>
        <v>0.55555555555555558</v>
      </c>
      <c r="BY24" s="40">
        <f t="shared" si="21"/>
        <v>0.90909090909090906</v>
      </c>
      <c r="BZ24" s="38">
        <f t="shared" si="23"/>
        <v>0.68965517241379315</v>
      </c>
    </row>
    <row r="25" spans="1:84" ht="15" customHeight="1" x14ac:dyDescent="0.35">
      <c r="A25" s="63" t="s">
        <v>10</v>
      </c>
      <c r="B25" s="108"/>
      <c r="C25" s="108"/>
      <c r="D25" s="41" t="s">
        <v>33</v>
      </c>
      <c r="E25" s="42">
        <v>1</v>
      </c>
      <c r="F25" s="43">
        <v>1</v>
      </c>
      <c r="G25" s="43">
        <f t="shared" si="0"/>
        <v>0</v>
      </c>
      <c r="H25" s="41">
        <v>0</v>
      </c>
      <c r="I25" s="42">
        <v>0</v>
      </c>
      <c r="J25" s="43">
        <v>0</v>
      </c>
      <c r="K25" s="43">
        <f t="shared" ref="K25:K30" si="42">I25-J25</f>
        <v>0</v>
      </c>
      <c r="L25" s="41">
        <v>0</v>
      </c>
      <c r="M25" s="42">
        <v>0</v>
      </c>
      <c r="N25" s="43">
        <v>0</v>
      </c>
      <c r="O25" s="43">
        <f t="shared" si="36"/>
        <v>0</v>
      </c>
      <c r="P25" s="41">
        <v>0</v>
      </c>
      <c r="Q25" s="42">
        <v>0</v>
      </c>
      <c r="R25" s="43">
        <v>0</v>
      </c>
      <c r="S25" s="43">
        <f t="shared" si="3"/>
        <v>0</v>
      </c>
      <c r="T25" s="41">
        <v>0</v>
      </c>
      <c r="U25" s="42">
        <v>0</v>
      </c>
      <c r="V25" s="43">
        <v>0</v>
      </c>
      <c r="W25" s="43">
        <f t="shared" si="37"/>
        <v>0</v>
      </c>
      <c r="X25" s="41">
        <v>0</v>
      </c>
      <c r="Y25" s="42">
        <v>2</v>
      </c>
      <c r="Z25" s="43">
        <v>2</v>
      </c>
      <c r="AA25" s="43">
        <f t="shared" si="40"/>
        <v>0</v>
      </c>
      <c r="AB25" s="41">
        <v>0</v>
      </c>
      <c r="AC25" s="42">
        <v>0</v>
      </c>
      <c r="AD25" s="43">
        <v>0</v>
      </c>
      <c r="AE25" s="43">
        <f t="shared" si="6"/>
        <v>0</v>
      </c>
      <c r="AF25" s="41">
        <v>0</v>
      </c>
      <c r="AG25" s="42">
        <v>2</v>
      </c>
      <c r="AH25" s="43">
        <v>2</v>
      </c>
      <c r="AI25" s="43">
        <f t="shared" si="7"/>
        <v>0</v>
      </c>
      <c r="AJ25" s="41">
        <v>0</v>
      </c>
      <c r="AK25" s="42">
        <v>0</v>
      </c>
      <c r="AL25" s="43">
        <v>0</v>
      </c>
      <c r="AM25" s="43">
        <f t="shared" si="8"/>
        <v>0</v>
      </c>
      <c r="AN25" s="41">
        <v>0</v>
      </c>
      <c r="AO25" s="42">
        <v>0</v>
      </c>
      <c r="AP25" s="43">
        <v>0</v>
      </c>
      <c r="AQ25" s="43">
        <f t="shared" si="9"/>
        <v>0</v>
      </c>
      <c r="AR25" s="41">
        <v>0</v>
      </c>
      <c r="AS25" s="42">
        <v>0</v>
      </c>
      <c r="AT25" s="43">
        <v>0</v>
      </c>
      <c r="AU25" s="43">
        <f t="shared" si="10"/>
        <v>0</v>
      </c>
      <c r="AV25" s="41">
        <v>0</v>
      </c>
      <c r="AW25" s="42">
        <v>0</v>
      </c>
      <c r="AX25" s="43">
        <v>0</v>
      </c>
      <c r="AY25" s="43">
        <f t="shared" si="11"/>
        <v>0</v>
      </c>
      <c r="AZ25" s="41">
        <v>0</v>
      </c>
      <c r="BA25" s="42">
        <v>0</v>
      </c>
      <c r="BB25" s="43">
        <v>0</v>
      </c>
      <c r="BC25" s="43">
        <f t="shared" si="12"/>
        <v>0</v>
      </c>
      <c r="BD25" s="41">
        <v>0</v>
      </c>
      <c r="BE25" s="42">
        <v>2</v>
      </c>
      <c r="BF25" s="43">
        <v>1</v>
      </c>
      <c r="BG25" s="43">
        <f t="shared" si="13"/>
        <v>1</v>
      </c>
      <c r="BH25" s="41">
        <v>0</v>
      </c>
      <c r="BI25" s="42">
        <v>0</v>
      </c>
      <c r="BJ25" s="43">
        <v>0</v>
      </c>
      <c r="BK25" s="43">
        <f t="shared" si="14"/>
        <v>0</v>
      </c>
      <c r="BL25" s="41">
        <v>0</v>
      </c>
      <c r="BM25" s="42">
        <v>0</v>
      </c>
      <c r="BN25" s="43">
        <v>0</v>
      </c>
      <c r="BO25" s="43">
        <f t="shared" si="15"/>
        <v>0</v>
      </c>
      <c r="BP25" s="41">
        <v>0</v>
      </c>
      <c r="BQ25" s="42">
        <v>0</v>
      </c>
      <c r="BR25" s="43">
        <v>0</v>
      </c>
      <c r="BS25" s="43">
        <f t="shared" si="16"/>
        <v>0</v>
      </c>
      <c r="BT25" s="41">
        <v>0</v>
      </c>
      <c r="BU25" s="42">
        <f t="shared" si="17"/>
        <v>6</v>
      </c>
      <c r="BV25" s="43">
        <f t="shared" si="18"/>
        <v>1</v>
      </c>
      <c r="BW25" s="43">
        <f t="shared" si="19"/>
        <v>0</v>
      </c>
      <c r="BX25" s="43">
        <f t="shared" si="20"/>
        <v>0.8571428571428571</v>
      </c>
      <c r="BY25" s="43">
        <f t="shared" si="21"/>
        <v>1</v>
      </c>
      <c r="BZ25" s="41">
        <f t="shared" si="23"/>
        <v>0.92307692307692302</v>
      </c>
    </row>
    <row r="26" spans="1:84" ht="15" customHeight="1" x14ac:dyDescent="0.35">
      <c r="A26" s="63" t="s">
        <v>10</v>
      </c>
      <c r="B26" s="108"/>
      <c r="C26" s="108"/>
      <c r="D26" s="41" t="s">
        <v>34</v>
      </c>
      <c r="E26" s="42">
        <v>1</v>
      </c>
      <c r="F26" s="43">
        <v>1</v>
      </c>
      <c r="G26" s="43">
        <f t="shared" si="0"/>
        <v>0</v>
      </c>
      <c r="H26" s="41">
        <v>0</v>
      </c>
      <c r="I26" s="42">
        <v>0</v>
      </c>
      <c r="J26" s="43">
        <v>0</v>
      </c>
      <c r="K26" s="43">
        <f t="shared" si="42"/>
        <v>0</v>
      </c>
      <c r="L26" s="41">
        <v>0</v>
      </c>
      <c r="M26" s="42">
        <v>0</v>
      </c>
      <c r="N26" s="43">
        <v>0</v>
      </c>
      <c r="O26" s="43">
        <f t="shared" si="36"/>
        <v>0</v>
      </c>
      <c r="P26" s="41">
        <v>0</v>
      </c>
      <c r="Q26" s="42">
        <v>0</v>
      </c>
      <c r="R26" s="43">
        <v>0</v>
      </c>
      <c r="S26" s="43">
        <f t="shared" si="3"/>
        <v>0</v>
      </c>
      <c r="T26" s="41">
        <v>0</v>
      </c>
      <c r="U26" s="42">
        <v>0</v>
      </c>
      <c r="V26" s="43">
        <v>0</v>
      </c>
      <c r="W26" s="43">
        <f t="shared" si="37"/>
        <v>0</v>
      </c>
      <c r="X26" s="41">
        <v>0</v>
      </c>
      <c r="Y26" s="42">
        <v>2</v>
      </c>
      <c r="Z26" s="43">
        <v>2</v>
      </c>
      <c r="AA26" s="43">
        <f t="shared" si="40"/>
        <v>0</v>
      </c>
      <c r="AB26" s="41">
        <v>0</v>
      </c>
      <c r="AC26" s="42">
        <v>0</v>
      </c>
      <c r="AD26" s="43">
        <v>0</v>
      </c>
      <c r="AE26" s="43">
        <f t="shared" si="6"/>
        <v>0</v>
      </c>
      <c r="AF26" s="41">
        <v>0</v>
      </c>
      <c r="AG26" s="42">
        <v>2</v>
      </c>
      <c r="AH26" s="43">
        <v>2</v>
      </c>
      <c r="AI26" s="43">
        <f t="shared" si="7"/>
        <v>0</v>
      </c>
      <c r="AJ26" s="41">
        <v>0</v>
      </c>
      <c r="AK26" s="42">
        <v>0</v>
      </c>
      <c r="AL26" s="43">
        <v>0</v>
      </c>
      <c r="AM26" s="43">
        <f t="shared" si="8"/>
        <v>0</v>
      </c>
      <c r="AN26" s="41">
        <v>0</v>
      </c>
      <c r="AO26" s="42">
        <v>0</v>
      </c>
      <c r="AP26" s="43">
        <v>0</v>
      </c>
      <c r="AQ26" s="43">
        <f t="shared" si="9"/>
        <v>0</v>
      </c>
      <c r="AR26" s="41">
        <v>0</v>
      </c>
      <c r="AS26" s="42">
        <v>0</v>
      </c>
      <c r="AT26" s="43">
        <v>0</v>
      </c>
      <c r="AU26" s="43">
        <f t="shared" si="10"/>
        <v>0</v>
      </c>
      <c r="AV26" s="41">
        <v>0</v>
      </c>
      <c r="AW26" s="42">
        <v>0</v>
      </c>
      <c r="AX26" s="43">
        <v>0</v>
      </c>
      <c r="AY26" s="43">
        <f t="shared" si="11"/>
        <v>0</v>
      </c>
      <c r="AZ26" s="41">
        <v>0</v>
      </c>
      <c r="BA26" s="42">
        <v>0</v>
      </c>
      <c r="BB26" s="43">
        <v>0</v>
      </c>
      <c r="BC26" s="43">
        <f t="shared" si="12"/>
        <v>0</v>
      </c>
      <c r="BD26" s="41">
        <v>0</v>
      </c>
      <c r="BE26" s="42">
        <v>2</v>
      </c>
      <c r="BF26" s="43">
        <v>2</v>
      </c>
      <c r="BG26" s="43">
        <f t="shared" si="13"/>
        <v>0</v>
      </c>
      <c r="BH26" s="41">
        <v>0</v>
      </c>
      <c r="BI26" s="42">
        <v>0</v>
      </c>
      <c r="BJ26" s="43">
        <v>0</v>
      </c>
      <c r="BK26" s="43">
        <f t="shared" si="14"/>
        <v>0</v>
      </c>
      <c r="BL26" s="41">
        <v>0</v>
      </c>
      <c r="BM26" s="42">
        <v>0</v>
      </c>
      <c r="BN26" s="43">
        <v>0</v>
      </c>
      <c r="BO26" s="43">
        <f t="shared" si="15"/>
        <v>0</v>
      </c>
      <c r="BP26" s="41">
        <v>0</v>
      </c>
      <c r="BQ26" s="42">
        <v>0</v>
      </c>
      <c r="BR26" s="43">
        <v>0</v>
      </c>
      <c r="BS26" s="43">
        <f t="shared" si="16"/>
        <v>0</v>
      </c>
      <c r="BT26" s="41">
        <v>0</v>
      </c>
      <c r="BU26" s="42">
        <f t="shared" si="17"/>
        <v>7</v>
      </c>
      <c r="BV26" s="43">
        <f t="shared" si="18"/>
        <v>0</v>
      </c>
      <c r="BW26" s="43">
        <f t="shared" si="19"/>
        <v>0</v>
      </c>
      <c r="BX26" s="43">
        <f t="shared" si="20"/>
        <v>1</v>
      </c>
      <c r="BY26" s="43">
        <f t="shared" si="21"/>
        <v>1</v>
      </c>
      <c r="BZ26" s="41">
        <f t="shared" si="23"/>
        <v>1</v>
      </c>
    </row>
    <row r="27" spans="1:84" x14ac:dyDescent="0.35">
      <c r="A27" s="47" t="s">
        <v>10</v>
      </c>
      <c r="B27" s="108"/>
      <c r="C27" s="108"/>
      <c r="D27" s="44" t="s">
        <v>35</v>
      </c>
      <c r="E27" s="45">
        <v>2</v>
      </c>
      <c r="F27" s="46">
        <v>2</v>
      </c>
      <c r="G27" s="46">
        <f t="shared" si="0"/>
        <v>0</v>
      </c>
      <c r="H27" s="44">
        <v>0</v>
      </c>
      <c r="I27" s="45">
        <v>2</v>
      </c>
      <c r="J27" s="46">
        <v>0</v>
      </c>
      <c r="K27" s="46">
        <f t="shared" si="42"/>
        <v>2</v>
      </c>
      <c r="L27" s="44">
        <v>0</v>
      </c>
      <c r="M27" s="45">
        <v>2</v>
      </c>
      <c r="N27" s="46">
        <v>0</v>
      </c>
      <c r="O27" s="46">
        <f t="shared" si="36"/>
        <v>2</v>
      </c>
      <c r="P27" s="44">
        <v>0</v>
      </c>
      <c r="Q27" s="45">
        <v>2</v>
      </c>
      <c r="R27" s="46">
        <v>2</v>
      </c>
      <c r="S27" s="46">
        <f t="shared" si="3"/>
        <v>0</v>
      </c>
      <c r="T27" s="44">
        <v>0</v>
      </c>
      <c r="U27" s="45">
        <v>2</v>
      </c>
      <c r="V27" s="46">
        <v>0</v>
      </c>
      <c r="W27" s="46">
        <f t="shared" si="37"/>
        <v>2</v>
      </c>
      <c r="X27" s="44">
        <v>0</v>
      </c>
      <c r="Y27" s="45">
        <v>1</v>
      </c>
      <c r="Z27" s="46">
        <v>1</v>
      </c>
      <c r="AA27" s="46">
        <f t="shared" si="40"/>
        <v>0</v>
      </c>
      <c r="AB27" s="44">
        <v>1</v>
      </c>
      <c r="AC27" s="45">
        <v>0</v>
      </c>
      <c r="AD27" s="46">
        <v>0</v>
      </c>
      <c r="AE27" s="46">
        <f t="shared" si="6"/>
        <v>0</v>
      </c>
      <c r="AF27" s="44">
        <v>1</v>
      </c>
      <c r="AG27" s="45">
        <v>3</v>
      </c>
      <c r="AH27" s="46">
        <v>1</v>
      </c>
      <c r="AI27" s="46">
        <f t="shared" si="7"/>
        <v>2</v>
      </c>
      <c r="AJ27" s="44">
        <v>1</v>
      </c>
      <c r="AK27" s="45">
        <v>0</v>
      </c>
      <c r="AL27" s="46">
        <v>0</v>
      </c>
      <c r="AM27" s="46">
        <f t="shared" si="8"/>
        <v>0</v>
      </c>
      <c r="AN27" s="44">
        <v>0</v>
      </c>
      <c r="AO27" s="45">
        <v>0</v>
      </c>
      <c r="AP27" s="46">
        <v>0</v>
      </c>
      <c r="AQ27" s="46">
        <f t="shared" si="9"/>
        <v>0</v>
      </c>
      <c r="AR27" s="44">
        <v>0</v>
      </c>
      <c r="AS27" s="45">
        <v>0</v>
      </c>
      <c r="AT27" s="46">
        <v>0</v>
      </c>
      <c r="AU27" s="46">
        <f t="shared" si="10"/>
        <v>0</v>
      </c>
      <c r="AV27" s="44">
        <v>0</v>
      </c>
      <c r="AW27" s="45">
        <v>1</v>
      </c>
      <c r="AX27" s="46">
        <v>0</v>
      </c>
      <c r="AY27" s="46">
        <f t="shared" si="11"/>
        <v>1</v>
      </c>
      <c r="AZ27" s="44">
        <v>1</v>
      </c>
      <c r="BA27" s="45">
        <v>1</v>
      </c>
      <c r="BB27" s="46">
        <v>0</v>
      </c>
      <c r="BC27" s="46">
        <f t="shared" si="12"/>
        <v>1</v>
      </c>
      <c r="BD27" s="44">
        <v>1</v>
      </c>
      <c r="BE27" s="45">
        <v>0</v>
      </c>
      <c r="BF27" s="46">
        <v>0</v>
      </c>
      <c r="BG27" s="46">
        <f t="shared" si="13"/>
        <v>0</v>
      </c>
      <c r="BH27" s="44">
        <v>0</v>
      </c>
      <c r="BI27" s="45">
        <v>0</v>
      </c>
      <c r="BJ27" s="46">
        <v>0</v>
      </c>
      <c r="BK27" s="46">
        <f t="shared" si="14"/>
        <v>0</v>
      </c>
      <c r="BL27" s="44">
        <v>0</v>
      </c>
      <c r="BM27" s="45">
        <v>1</v>
      </c>
      <c r="BN27" s="46">
        <v>0</v>
      </c>
      <c r="BO27" s="46">
        <f t="shared" si="15"/>
        <v>1</v>
      </c>
      <c r="BP27" s="44">
        <v>0</v>
      </c>
      <c r="BQ27" s="45">
        <v>0</v>
      </c>
      <c r="BR27" s="46">
        <v>0</v>
      </c>
      <c r="BS27" s="46">
        <f t="shared" si="16"/>
        <v>0</v>
      </c>
      <c r="BT27" s="44">
        <v>0</v>
      </c>
      <c r="BU27" s="45">
        <f t="shared" si="17"/>
        <v>6</v>
      </c>
      <c r="BV27" s="46">
        <f t="shared" si="18"/>
        <v>11</v>
      </c>
      <c r="BW27" s="46">
        <f t="shared" si="19"/>
        <v>5</v>
      </c>
      <c r="BX27" s="46">
        <f t="shared" si="20"/>
        <v>0.35294117647058826</v>
      </c>
      <c r="BY27" s="46">
        <f t="shared" si="21"/>
        <v>0.54545454545454541</v>
      </c>
      <c r="BZ27" s="44">
        <f t="shared" si="23"/>
        <v>0.42857142857142855</v>
      </c>
    </row>
    <row r="28" spans="1:84" x14ac:dyDescent="0.35">
      <c r="A28" s="47" t="s">
        <v>10</v>
      </c>
      <c r="B28" s="108"/>
      <c r="C28" s="108"/>
      <c r="D28" s="44" t="s">
        <v>36</v>
      </c>
      <c r="E28" s="45">
        <v>2</v>
      </c>
      <c r="F28" s="46">
        <v>2</v>
      </c>
      <c r="G28" s="46">
        <f t="shared" si="0"/>
        <v>0</v>
      </c>
      <c r="H28" s="44">
        <v>0</v>
      </c>
      <c r="I28" s="45">
        <v>2</v>
      </c>
      <c r="J28" s="46">
        <v>0</v>
      </c>
      <c r="K28" s="46">
        <f t="shared" si="42"/>
        <v>2</v>
      </c>
      <c r="L28" s="44">
        <v>0</v>
      </c>
      <c r="M28" s="45">
        <v>2</v>
      </c>
      <c r="N28" s="46">
        <v>0</v>
      </c>
      <c r="O28" s="46">
        <f t="shared" si="36"/>
        <v>2</v>
      </c>
      <c r="P28" s="44">
        <v>0</v>
      </c>
      <c r="Q28" s="45">
        <v>2</v>
      </c>
      <c r="R28" s="46">
        <v>2</v>
      </c>
      <c r="S28" s="46">
        <f t="shared" si="3"/>
        <v>0</v>
      </c>
      <c r="T28" s="44">
        <v>0</v>
      </c>
      <c r="U28" s="45">
        <v>2</v>
      </c>
      <c r="V28" s="46">
        <v>2</v>
      </c>
      <c r="W28" s="46">
        <f t="shared" si="37"/>
        <v>0</v>
      </c>
      <c r="X28" s="44">
        <v>0</v>
      </c>
      <c r="Y28" s="45">
        <v>1</v>
      </c>
      <c r="Z28" s="46">
        <v>1</v>
      </c>
      <c r="AA28" s="46">
        <f t="shared" si="40"/>
        <v>0</v>
      </c>
      <c r="AB28" s="44">
        <v>1</v>
      </c>
      <c r="AC28" s="45">
        <v>0</v>
      </c>
      <c r="AD28" s="46">
        <v>0</v>
      </c>
      <c r="AE28" s="46">
        <f t="shared" si="6"/>
        <v>0</v>
      </c>
      <c r="AF28" s="44">
        <v>0</v>
      </c>
      <c r="AG28" s="45">
        <v>3</v>
      </c>
      <c r="AH28" s="46">
        <v>1</v>
      </c>
      <c r="AI28" s="46">
        <f t="shared" si="7"/>
        <v>2</v>
      </c>
      <c r="AJ28" s="44">
        <v>1</v>
      </c>
      <c r="AK28" s="45">
        <v>0</v>
      </c>
      <c r="AL28" s="46">
        <v>0</v>
      </c>
      <c r="AM28" s="46">
        <f t="shared" si="8"/>
        <v>0</v>
      </c>
      <c r="AN28" s="44">
        <v>0</v>
      </c>
      <c r="AO28" s="45">
        <v>0</v>
      </c>
      <c r="AP28" s="46">
        <v>0</v>
      </c>
      <c r="AQ28" s="46">
        <f t="shared" si="9"/>
        <v>0</v>
      </c>
      <c r="AR28" s="44">
        <v>0</v>
      </c>
      <c r="AS28" s="45">
        <v>0</v>
      </c>
      <c r="AT28" s="46">
        <v>0</v>
      </c>
      <c r="AU28" s="46">
        <f t="shared" si="10"/>
        <v>0</v>
      </c>
      <c r="AV28" s="44">
        <v>0</v>
      </c>
      <c r="AW28" s="45">
        <v>1</v>
      </c>
      <c r="AX28" s="46">
        <v>0</v>
      </c>
      <c r="AY28" s="46">
        <f t="shared" si="11"/>
        <v>1</v>
      </c>
      <c r="AZ28" s="44">
        <v>1</v>
      </c>
      <c r="BA28" s="45">
        <v>1</v>
      </c>
      <c r="BB28" s="46">
        <v>0</v>
      </c>
      <c r="BC28" s="46">
        <f t="shared" si="12"/>
        <v>1</v>
      </c>
      <c r="BD28" s="44">
        <v>1</v>
      </c>
      <c r="BE28" s="45">
        <v>0</v>
      </c>
      <c r="BF28" s="46">
        <v>0</v>
      </c>
      <c r="BG28" s="46">
        <f t="shared" si="13"/>
        <v>0</v>
      </c>
      <c r="BH28" s="44">
        <v>0</v>
      </c>
      <c r="BI28" s="45">
        <v>0</v>
      </c>
      <c r="BJ28" s="46">
        <v>0</v>
      </c>
      <c r="BK28" s="46">
        <f t="shared" si="14"/>
        <v>0</v>
      </c>
      <c r="BL28" s="44">
        <v>0</v>
      </c>
      <c r="BM28" s="45">
        <v>1</v>
      </c>
      <c r="BN28" s="46">
        <v>0</v>
      </c>
      <c r="BO28" s="46">
        <f t="shared" si="15"/>
        <v>1</v>
      </c>
      <c r="BP28" s="44">
        <v>0</v>
      </c>
      <c r="BQ28" s="45">
        <v>0</v>
      </c>
      <c r="BR28" s="46">
        <v>0</v>
      </c>
      <c r="BS28" s="46">
        <f t="shared" si="16"/>
        <v>0</v>
      </c>
      <c r="BT28" s="44">
        <v>0</v>
      </c>
      <c r="BU28" s="45">
        <f t="shared" si="17"/>
        <v>8</v>
      </c>
      <c r="BV28" s="46">
        <f t="shared" si="18"/>
        <v>9</v>
      </c>
      <c r="BW28" s="46">
        <f t="shared" si="19"/>
        <v>4</v>
      </c>
      <c r="BX28" s="46">
        <f t="shared" si="20"/>
        <v>0.47058823529411764</v>
      </c>
      <c r="BY28" s="46">
        <f t="shared" si="21"/>
        <v>0.66666666666666663</v>
      </c>
      <c r="BZ28" s="44">
        <f t="shared" si="23"/>
        <v>0.55172413793103448</v>
      </c>
    </row>
    <row r="29" spans="1:84" x14ac:dyDescent="0.35">
      <c r="A29" s="64" t="s">
        <v>10</v>
      </c>
      <c r="B29" s="108"/>
      <c r="C29" s="108"/>
      <c r="D29" s="48" t="s">
        <v>37</v>
      </c>
      <c r="E29" s="49">
        <v>1</v>
      </c>
      <c r="F29" s="50">
        <v>1</v>
      </c>
      <c r="G29" s="50">
        <f t="shared" si="0"/>
        <v>0</v>
      </c>
      <c r="H29" s="48">
        <v>0</v>
      </c>
      <c r="I29" s="49">
        <v>0</v>
      </c>
      <c r="J29" s="50">
        <v>0</v>
      </c>
      <c r="K29" s="50">
        <f t="shared" si="42"/>
        <v>0</v>
      </c>
      <c r="L29" s="48">
        <v>0</v>
      </c>
      <c r="M29" s="49">
        <v>0</v>
      </c>
      <c r="N29" s="50">
        <v>0</v>
      </c>
      <c r="O29" s="50">
        <f t="shared" si="36"/>
        <v>0</v>
      </c>
      <c r="P29" s="48">
        <v>0</v>
      </c>
      <c r="Q29" s="49">
        <v>4</v>
      </c>
      <c r="R29" s="50">
        <v>4</v>
      </c>
      <c r="S29" s="50">
        <f t="shared" si="3"/>
        <v>0</v>
      </c>
      <c r="T29" s="48">
        <v>0</v>
      </c>
      <c r="U29" s="49">
        <v>3</v>
      </c>
      <c r="V29" s="50">
        <v>3</v>
      </c>
      <c r="W29" s="50">
        <f t="shared" si="37"/>
        <v>0</v>
      </c>
      <c r="X29" s="48">
        <v>1</v>
      </c>
      <c r="Y29" s="49">
        <v>1</v>
      </c>
      <c r="Z29" s="50">
        <v>1</v>
      </c>
      <c r="AA29" s="50">
        <f t="shared" si="40"/>
        <v>0</v>
      </c>
      <c r="AB29" s="48">
        <v>0</v>
      </c>
      <c r="AC29" s="49">
        <v>0</v>
      </c>
      <c r="AD29" s="50">
        <v>0</v>
      </c>
      <c r="AE29" s="50">
        <f t="shared" si="6"/>
        <v>0</v>
      </c>
      <c r="AF29" s="48">
        <v>0</v>
      </c>
      <c r="AG29" s="49">
        <v>1</v>
      </c>
      <c r="AH29" s="50">
        <v>1</v>
      </c>
      <c r="AI29" s="50">
        <f t="shared" si="7"/>
        <v>0</v>
      </c>
      <c r="AJ29" s="48">
        <v>0</v>
      </c>
      <c r="AK29" s="49">
        <v>0</v>
      </c>
      <c r="AL29" s="50">
        <v>0</v>
      </c>
      <c r="AM29" s="50">
        <f t="shared" si="8"/>
        <v>0</v>
      </c>
      <c r="AN29" s="48">
        <v>0</v>
      </c>
      <c r="AO29" s="49">
        <v>0</v>
      </c>
      <c r="AP29" s="50">
        <v>0</v>
      </c>
      <c r="AQ29" s="50">
        <f t="shared" si="9"/>
        <v>0</v>
      </c>
      <c r="AR29" s="48">
        <v>0</v>
      </c>
      <c r="AS29" s="49">
        <v>0</v>
      </c>
      <c r="AT29" s="50">
        <v>0</v>
      </c>
      <c r="AU29" s="50">
        <f t="shared" si="10"/>
        <v>0</v>
      </c>
      <c r="AV29" s="48">
        <v>0</v>
      </c>
      <c r="AW29" s="49">
        <v>0</v>
      </c>
      <c r="AX29" s="50">
        <v>0</v>
      </c>
      <c r="AY29" s="50">
        <f t="shared" si="11"/>
        <v>0</v>
      </c>
      <c r="AZ29" s="48">
        <v>0</v>
      </c>
      <c r="BA29" s="49">
        <v>0</v>
      </c>
      <c r="BB29" s="50">
        <v>0</v>
      </c>
      <c r="BC29" s="50">
        <f t="shared" si="12"/>
        <v>0</v>
      </c>
      <c r="BD29" s="48">
        <v>0</v>
      </c>
      <c r="BE29" s="49">
        <v>0</v>
      </c>
      <c r="BF29" s="50">
        <v>0</v>
      </c>
      <c r="BG29" s="50">
        <f t="shared" si="13"/>
        <v>0</v>
      </c>
      <c r="BH29" s="48">
        <v>0</v>
      </c>
      <c r="BI29" s="49">
        <v>0</v>
      </c>
      <c r="BJ29" s="50">
        <v>0</v>
      </c>
      <c r="BK29" s="50">
        <f t="shared" si="14"/>
        <v>0</v>
      </c>
      <c r="BL29" s="48">
        <v>0</v>
      </c>
      <c r="BM29" s="49">
        <v>0</v>
      </c>
      <c r="BN29" s="50">
        <v>0</v>
      </c>
      <c r="BO29" s="50">
        <f t="shared" si="15"/>
        <v>0</v>
      </c>
      <c r="BP29" s="48">
        <v>0</v>
      </c>
      <c r="BQ29" s="49">
        <v>0</v>
      </c>
      <c r="BR29" s="50">
        <v>0</v>
      </c>
      <c r="BS29" s="50">
        <f t="shared" si="16"/>
        <v>0</v>
      </c>
      <c r="BT29" s="48">
        <v>0</v>
      </c>
      <c r="BU29" s="49">
        <f t="shared" si="17"/>
        <v>10</v>
      </c>
      <c r="BV29" s="50">
        <f t="shared" si="18"/>
        <v>0</v>
      </c>
      <c r="BW29" s="50">
        <f t="shared" si="19"/>
        <v>1</v>
      </c>
      <c r="BX29" s="50">
        <f t="shared" si="20"/>
        <v>1</v>
      </c>
      <c r="BY29" s="50">
        <f t="shared" si="21"/>
        <v>0.90909090909090906</v>
      </c>
      <c r="BZ29" s="48">
        <f t="shared" si="23"/>
        <v>0.95238095238095233</v>
      </c>
    </row>
    <row r="30" spans="1:84" ht="15" thickBot="1" x14ac:dyDescent="0.4">
      <c r="A30" s="50" t="s">
        <v>10</v>
      </c>
      <c r="B30" s="118"/>
      <c r="C30" s="118"/>
      <c r="D30" s="72" t="s">
        <v>38</v>
      </c>
      <c r="E30" s="73">
        <v>1</v>
      </c>
      <c r="F30" s="74">
        <v>1</v>
      </c>
      <c r="G30" s="74">
        <f t="shared" si="0"/>
        <v>0</v>
      </c>
      <c r="H30" s="72">
        <v>0</v>
      </c>
      <c r="I30" s="73">
        <v>0</v>
      </c>
      <c r="J30" s="74">
        <v>0</v>
      </c>
      <c r="K30" s="74">
        <f t="shared" si="42"/>
        <v>0</v>
      </c>
      <c r="L30" s="72">
        <v>0</v>
      </c>
      <c r="M30" s="73">
        <v>0</v>
      </c>
      <c r="N30" s="74">
        <v>0</v>
      </c>
      <c r="O30" s="74">
        <f t="shared" si="36"/>
        <v>0</v>
      </c>
      <c r="P30" s="72">
        <v>0</v>
      </c>
      <c r="Q30" s="73">
        <v>4</v>
      </c>
      <c r="R30" s="74">
        <v>4</v>
      </c>
      <c r="S30" s="74">
        <f t="shared" si="3"/>
        <v>0</v>
      </c>
      <c r="T30" s="72">
        <v>0</v>
      </c>
      <c r="U30" s="73">
        <v>3</v>
      </c>
      <c r="V30" s="74">
        <v>3</v>
      </c>
      <c r="W30" s="74">
        <f t="shared" si="37"/>
        <v>0</v>
      </c>
      <c r="X30" s="72">
        <v>1</v>
      </c>
      <c r="Y30" s="73">
        <v>1</v>
      </c>
      <c r="Z30" s="74">
        <v>1</v>
      </c>
      <c r="AA30" s="74">
        <f t="shared" si="40"/>
        <v>0</v>
      </c>
      <c r="AB30" s="72">
        <v>0</v>
      </c>
      <c r="AC30" s="73">
        <v>0</v>
      </c>
      <c r="AD30" s="74">
        <v>0</v>
      </c>
      <c r="AE30" s="74">
        <v>0</v>
      </c>
      <c r="AF30" s="72">
        <v>0</v>
      </c>
      <c r="AG30" s="73">
        <v>1</v>
      </c>
      <c r="AH30" s="74">
        <v>1</v>
      </c>
      <c r="AI30" s="74">
        <f t="shared" si="7"/>
        <v>0</v>
      </c>
      <c r="AJ30" s="72">
        <v>0</v>
      </c>
      <c r="AK30" s="73">
        <v>0</v>
      </c>
      <c r="AL30" s="74">
        <v>0</v>
      </c>
      <c r="AM30" s="74">
        <f t="shared" si="8"/>
        <v>0</v>
      </c>
      <c r="AN30" s="72">
        <v>0</v>
      </c>
      <c r="AO30" s="73">
        <v>0</v>
      </c>
      <c r="AP30" s="74">
        <v>0</v>
      </c>
      <c r="AQ30" s="74">
        <f t="shared" si="9"/>
        <v>0</v>
      </c>
      <c r="AR30" s="72">
        <v>0</v>
      </c>
      <c r="AS30" s="73">
        <v>0</v>
      </c>
      <c r="AT30" s="74">
        <v>0</v>
      </c>
      <c r="AU30" s="74">
        <f t="shared" si="10"/>
        <v>0</v>
      </c>
      <c r="AV30" s="72">
        <v>0</v>
      </c>
      <c r="AW30" s="73">
        <v>0</v>
      </c>
      <c r="AX30" s="74">
        <v>0</v>
      </c>
      <c r="AY30" s="74">
        <f t="shared" si="11"/>
        <v>0</v>
      </c>
      <c r="AZ30" s="72">
        <v>0</v>
      </c>
      <c r="BA30" s="73">
        <v>0</v>
      </c>
      <c r="BB30" s="74">
        <v>0</v>
      </c>
      <c r="BC30" s="74">
        <f t="shared" si="12"/>
        <v>0</v>
      </c>
      <c r="BD30" s="72">
        <v>0</v>
      </c>
      <c r="BE30" s="73">
        <v>0</v>
      </c>
      <c r="BF30" s="74">
        <v>0</v>
      </c>
      <c r="BG30" s="74">
        <f t="shared" si="13"/>
        <v>0</v>
      </c>
      <c r="BH30" s="72">
        <v>0</v>
      </c>
      <c r="BI30" s="73">
        <v>0</v>
      </c>
      <c r="BJ30" s="74">
        <v>0</v>
      </c>
      <c r="BK30" s="74">
        <f t="shared" si="14"/>
        <v>0</v>
      </c>
      <c r="BL30" s="72">
        <v>0</v>
      </c>
      <c r="BM30" s="73">
        <v>0</v>
      </c>
      <c r="BN30" s="74">
        <v>0</v>
      </c>
      <c r="BO30" s="74">
        <f t="shared" si="15"/>
        <v>0</v>
      </c>
      <c r="BP30" s="72">
        <v>0</v>
      </c>
      <c r="BQ30" s="73">
        <v>0</v>
      </c>
      <c r="BR30" s="74">
        <v>0</v>
      </c>
      <c r="BS30" s="74">
        <f t="shared" si="16"/>
        <v>0</v>
      </c>
      <c r="BT30" s="72">
        <v>0</v>
      </c>
      <c r="BU30" s="73">
        <f t="shared" si="17"/>
        <v>10</v>
      </c>
      <c r="BV30" s="74">
        <f t="shared" si="18"/>
        <v>0</v>
      </c>
      <c r="BW30" s="74">
        <f t="shared" si="19"/>
        <v>1</v>
      </c>
      <c r="BX30" s="74">
        <f t="shared" si="20"/>
        <v>1</v>
      </c>
      <c r="BY30" s="74">
        <f t="shared" si="21"/>
        <v>0.90909090909090906</v>
      </c>
      <c r="BZ30" s="72">
        <f t="shared" si="23"/>
        <v>0.95238095238095233</v>
      </c>
    </row>
    <row r="31" spans="1:84" ht="15" thickTop="1" x14ac:dyDescent="0.35">
      <c r="D31" s="4" t="s">
        <v>88</v>
      </c>
      <c r="E31" s="4">
        <f t="shared" ref="E31:BP31" si="43">SUM(E3:E30)</f>
        <v>74</v>
      </c>
      <c r="F31" s="4">
        <f t="shared" si="43"/>
        <v>73</v>
      </c>
      <c r="G31" s="4">
        <f t="shared" si="43"/>
        <v>1</v>
      </c>
      <c r="H31" s="4">
        <f t="shared" si="43"/>
        <v>0</v>
      </c>
      <c r="I31" s="4">
        <f t="shared" si="43"/>
        <v>8</v>
      </c>
      <c r="J31" s="4">
        <f t="shared" si="43"/>
        <v>4</v>
      </c>
      <c r="K31" s="4">
        <f t="shared" si="43"/>
        <v>4</v>
      </c>
      <c r="L31" s="4">
        <f t="shared" si="43"/>
        <v>0</v>
      </c>
      <c r="M31" s="4">
        <f t="shared" si="43"/>
        <v>20</v>
      </c>
      <c r="N31" s="4">
        <f t="shared" si="43"/>
        <v>16</v>
      </c>
      <c r="O31" s="4">
        <f t="shared" si="43"/>
        <v>4</v>
      </c>
      <c r="P31" s="4">
        <f t="shared" si="43"/>
        <v>0</v>
      </c>
      <c r="Q31" s="4">
        <f t="shared" si="43"/>
        <v>100</v>
      </c>
      <c r="R31" s="4">
        <f t="shared" si="43"/>
        <v>100</v>
      </c>
      <c r="S31" s="4">
        <f t="shared" si="43"/>
        <v>0</v>
      </c>
      <c r="T31" s="4">
        <f t="shared" si="43"/>
        <v>7</v>
      </c>
      <c r="U31" s="4">
        <f t="shared" si="43"/>
        <v>14</v>
      </c>
      <c r="V31" s="4">
        <f t="shared" si="43"/>
        <v>10</v>
      </c>
      <c r="W31" s="4">
        <f t="shared" si="43"/>
        <v>4</v>
      </c>
      <c r="X31" s="4">
        <f t="shared" si="43"/>
        <v>5</v>
      </c>
      <c r="Y31" s="4">
        <f t="shared" si="43"/>
        <v>34</v>
      </c>
      <c r="Z31" s="4">
        <f t="shared" si="43"/>
        <v>32</v>
      </c>
      <c r="AA31" s="4">
        <f t="shared" si="43"/>
        <v>2</v>
      </c>
      <c r="AB31" s="4">
        <f t="shared" si="43"/>
        <v>3</v>
      </c>
      <c r="AC31" s="4">
        <f t="shared" si="43"/>
        <v>16</v>
      </c>
      <c r="AD31" s="4">
        <f t="shared" si="43"/>
        <v>12</v>
      </c>
      <c r="AE31" s="4">
        <f t="shared" si="43"/>
        <v>4</v>
      </c>
      <c r="AF31" s="4">
        <f t="shared" si="43"/>
        <v>3</v>
      </c>
      <c r="AG31" s="4">
        <f t="shared" si="43"/>
        <v>36</v>
      </c>
      <c r="AH31" s="4">
        <f t="shared" si="43"/>
        <v>12</v>
      </c>
      <c r="AI31" s="4">
        <f t="shared" si="43"/>
        <v>24</v>
      </c>
      <c r="AJ31" s="4">
        <f t="shared" si="43"/>
        <v>4</v>
      </c>
      <c r="AK31" s="4">
        <f t="shared" si="43"/>
        <v>22</v>
      </c>
      <c r="AL31" s="4">
        <f t="shared" si="43"/>
        <v>22</v>
      </c>
      <c r="AM31" s="4">
        <f t="shared" si="43"/>
        <v>0</v>
      </c>
      <c r="AN31" s="4">
        <f t="shared" si="43"/>
        <v>1</v>
      </c>
      <c r="AO31" s="4">
        <f t="shared" si="43"/>
        <v>2</v>
      </c>
      <c r="AP31" s="4">
        <f t="shared" si="43"/>
        <v>2</v>
      </c>
      <c r="AQ31" s="4">
        <f t="shared" si="43"/>
        <v>0</v>
      </c>
      <c r="AR31" s="4">
        <f t="shared" si="43"/>
        <v>3</v>
      </c>
      <c r="AS31" s="4">
        <f t="shared" si="43"/>
        <v>8</v>
      </c>
      <c r="AT31" s="4">
        <f t="shared" si="43"/>
        <v>1</v>
      </c>
      <c r="AU31" s="4">
        <f t="shared" si="43"/>
        <v>7</v>
      </c>
      <c r="AV31" s="4">
        <f t="shared" si="43"/>
        <v>1</v>
      </c>
      <c r="AW31" s="4">
        <f t="shared" si="43"/>
        <v>4</v>
      </c>
      <c r="AX31" s="4">
        <f t="shared" si="43"/>
        <v>2</v>
      </c>
      <c r="AY31" s="4">
        <f t="shared" si="43"/>
        <v>2</v>
      </c>
      <c r="AZ31" s="4">
        <f t="shared" si="43"/>
        <v>12</v>
      </c>
      <c r="BA31" s="4">
        <f t="shared" si="43"/>
        <v>46</v>
      </c>
      <c r="BB31" s="4">
        <f t="shared" si="43"/>
        <v>40</v>
      </c>
      <c r="BC31" s="4">
        <f t="shared" si="43"/>
        <v>6</v>
      </c>
      <c r="BD31" s="4">
        <f t="shared" si="43"/>
        <v>5</v>
      </c>
      <c r="BE31" s="4">
        <f t="shared" si="43"/>
        <v>6</v>
      </c>
      <c r="BF31" s="4">
        <f t="shared" si="43"/>
        <v>4</v>
      </c>
      <c r="BG31" s="4">
        <f t="shared" si="43"/>
        <v>2</v>
      </c>
      <c r="BH31" s="4">
        <f t="shared" si="43"/>
        <v>1</v>
      </c>
      <c r="BI31" s="4">
        <f t="shared" si="43"/>
        <v>4</v>
      </c>
      <c r="BJ31" s="4">
        <f t="shared" si="43"/>
        <v>1</v>
      </c>
      <c r="BK31" s="4">
        <f t="shared" si="43"/>
        <v>3</v>
      </c>
      <c r="BL31" s="4">
        <f t="shared" si="43"/>
        <v>0</v>
      </c>
      <c r="BM31" s="4">
        <f t="shared" si="43"/>
        <v>12</v>
      </c>
      <c r="BN31" s="4">
        <f t="shared" si="43"/>
        <v>2</v>
      </c>
      <c r="BO31" s="4">
        <f t="shared" si="43"/>
        <v>10</v>
      </c>
      <c r="BP31" s="4">
        <f t="shared" si="43"/>
        <v>3</v>
      </c>
      <c r="BQ31" s="4">
        <f t="shared" ref="BQ31:BT31" si="44">SUM(BQ3:BQ30)</f>
        <v>10</v>
      </c>
      <c r="BR31" s="4">
        <f t="shared" si="44"/>
        <v>3</v>
      </c>
      <c r="BS31" s="4">
        <f t="shared" si="44"/>
        <v>7</v>
      </c>
      <c r="BT31" s="4">
        <f t="shared" si="44"/>
        <v>1</v>
      </c>
    </row>
    <row r="33" spans="4:72" x14ac:dyDescent="0.35">
      <c r="D33" s="76" t="s">
        <v>7</v>
      </c>
      <c r="E33" s="112">
        <f>IFERROR(F31/(F31+G31),"")</f>
        <v>0.98648648648648651</v>
      </c>
      <c r="F33" s="113"/>
      <c r="G33" s="113"/>
      <c r="H33" s="114"/>
      <c r="I33" s="112">
        <f t="shared" ref="I33" si="45">IFERROR(J31/(J31+K31),"")</f>
        <v>0.5</v>
      </c>
      <c r="J33" s="113"/>
      <c r="K33" s="113"/>
      <c r="L33" s="114"/>
      <c r="M33" s="112">
        <f t="shared" ref="M33" si="46">IFERROR(N31/(N31+O31),"")</f>
        <v>0.8</v>
      </c>
      <c r="N33" s="113"/>
      <c r="O33" s="113"/>
      <c r="P33" s="114"/>
      <c r="Q33" s="112">
        <f t="shared" ref="Q33" si="47">IFERROR(R31/(R31+S31),"")</f>
        <v>1</v>
      </c>
      <c r="R33" s="113"/>
      <c r="S33" s="113"/>
      <c r="T33" s="114"/>
      <c r="U33" s="112">
        <f t="shared" ref="U33" si="48">IFERROR(V31/(V31+W31),"")</f>
        <v>0.7142857142857143</v>
      </c>
      <c r="V33" s="113"/>
      <c r="W33" s="113"/>
      <c r="X33" s="114"/>
      <c r="Y33" s="112">
        <f t="shared" ref="Y33" si="49">IFERROR(Z31/(Z31+AA31),"")</f>
        <v>0.94117647058823528</v>
      </c>
      <c r="Z33" s="113"/>
      <c r="AA33" s="113"/>
      <c r="AB33" s="114"/>
      <c r="AC33" s="112">
        <f t="shared" ref="AC33" si="50">IFERROR(AD31/(AD31+AE31),"")</f>
        <v>0.75</v>
      </c>
      <c r="AD33" s="113"/>
      <c r="AE33" s="113"/>
      <c r="AF33" s="114"/>
      <c r="AG33" s="112">
        <f t="shared" ref="AG33" si="51">IFERROR(AH31/(AH31+AI31),"")</f>
        <v>0.33333333333333331</v>
      </c>
      <c r="AH33" s="113"/>
      <c r="AI33" s="113"/>
      <c r="AJ33" s="114"/>
      <c r="AK33" s="112">
        <f t="shared" ref="AK33" si="52">IFERROR(AL31/(AL31+AM31),"")</f>
        <v>1</v>
      </c>
      <c r="AL33" s="113"/>
      <c r="AM33" s="113"/>
      <c r="AN33" s="114"/>
      <c r="AO33" s="112">
        <f t="shared" ref="AO33" si="53">IFERROR(AP31/(AP31+AQ31),"")</f>
        <v>1</v>
      </c>
      <c r="AP33" s="113"/>
      <c r="AQ33" s="113"/>
      <c r="AR33" s="114"/>
      <c r="AS33" s="112">
        <f t="shared" ref="AS33" si="54">IFERROR(AT31/(AT31+AU31),"")</f>
        <v>0.125</v>
      </c>
      <c r="AT33" s="113"/>
      <c r="AU33" s="113"/>
      <c r="AV33" s="114"/>
      <c r="AW33" s="112">
        <f t="shared" ref="AW33" si="55">IFERROR(AX31/(AX31+AY31),"")</f>
        <v>0.5</v>
      </c>
      <c r="AX33" s="113"/>
      <c r="AY33" s="113"/>
      <c r="AZ33" s="114"/>
      <c r="BA33" s="112">
        <f t="shared" ref="BA33" si="56">IFERROR(BB31/(BB31+BC31),"")</f>
        <v>0.86956521739130432</v>
      </c>
      <c r="BB33" s="113"/>
      <c r="BC33" s="113"/>
      <c r="BD33" s="114"/>
      <c r="BE33" s="112">
        <f t="shared" ref="BE33" si="57">IFERROR(BF31/(BF31+BG31),"")</f>
        <v>0.66666666666666663</v>
      </c>
      <c r="BF33" s="113"/>
      <c r="BG33" s="113"/>
      <c r="BH33" s="114"/>
      <c r="BI33" s="112">
        <f t="shared" ref="BI33" si="58">IFERROR(BJ31/(BJ31+BK31),"")</f>
        <v>0.25</v>
      </c>
      <c r="BJ33" s="113"/>
      <c r="BK33" s="113"/>
      <c r="BL33" s="114"/>
      <c r="BM33" s="112">
        <f t="shared" ref="BM33" si="59">IFERROR(BN31/(BN31+BO31),"")</f>
        <v>0.16666666666666666</v>
      </c>
      <c r="BN33" s="113"/>
      <c r="BO33" s="113"/>
      <c r="BP33" s="114"/>
      <c r="BQ33" s="112">
        <f t="shared" ref="BQ33" si="60">IFERROR(BR31/(BR31+BS31),"")</f>
        <v>0.3</v>
      </c>
      <c r="BR33" s="113"/>
      <c r="BS33" s="113"/>
      <c r="BT33" s="114"/>
    </row>
    <row r="34" spans="4:72" x14ac:dyDescent="0.35">
      <c r="D34" s="76" t="s">
        <v>117</v>
      </c>
      <c r="E34" s="112">
        <f>IFERROR(F31/(F31+H31),"")</f>
        <v>1</v>
      </c>
      <c r="F34" s="113"/>
      <c r="G34" s="113"/>
      <c r="H34" s="114"/>
      <c r="I34" s="112">
        <f t="shared" ref="I34" si="61">IFERROR(J31/(J31+L31),"")</f>
        <v>1</v>
      </c>
      <c r="J34" s="113"/>
      <c r="K34" s="113"/>
      <c r="L34" s="114"/>
      <c r="M34" s="112">
        <f t="shared" ref="M34" si="62">IFERROR(N31/(N31+P31),"")</f>
        <v>1</v>
      </c>
      <c r="N34" s="113"/>
      <c r="O34" s="113"/>
      <c r="P34" s="114"/>
      <c r="Q34" s="112">
        <f t="shared" ref="Q34" si="63">IFERROR(R31/(R31+T31),"")</f>
        <v>0.93457943925233644</v>
      </c>
      <c r="R34" s="113"/>
      <c r="S34" s="113"/>
      <c r="T34" s="114"/>
      <c r="U34" s="112">
        <f t="shared" ref="U34" si="64">IFERROR(V31/(V31+X31),"")</f>
        <v>0.66666666666666663</v>
      </c>
      <c r="V34" s="113"/>
      <c r="W34" s="113"/>
      <c r="X34" s="114"/>
      <c r="Y34" s="112">
        <f t="shared" ref="Y34" si="65">IFERROR(Z31/(Z31+AB31),"")</f>
        <v>0.91428571428571426</v>
      </c>
      <c r="Z34" s="113"/>
      <c r="AA34" s="113"/>
      <c r="AB34" s="114"/>
      <c r="AC34" s="112">
        <f t="shared" ref="AC34" si="66">IFERROR(AD31/(AD31+AF31),"")</f>
        <v>0.8</v>
      </c>
      <c r="AD34" s="113"/>
      <c r="AE34" s="113"/>
      <c r="AF34" s="114"/>
      <c r="AG34" s="112">
        <f t="shared" ref="AG34" si="67">IFERROR(AH31/(AH31+AJ31),"")</f>
        <v>0.75</v>
      </c>
      <c r="AH34" s="113"/>
      <c r="AI34" s="113"/>
      <c r="AJ34" s="114"/>
      <c r="AK34" s="112">
        <f t="shared" ref="AK34" si="68">IFERROR(AL31/(AL31+AN31),"")</f>
        <v>0.95652173913043481</v>
      </c>
      <c r="AL34" s="113"/>
      <c r="AM34" s="113"/>
      <c r="AN34" s="114"/>
      <c r="AO34" s="112">
        <f t="shared" ref="AO34" si="69">IFERROR(AP31/(AP31+AR31),"")</f>
        <v>0.4</v>
      </c>
      <c r="AP34" s="113"/>
      <c r="AQ34" s="113"/>
      <c r="AR34" s="114"/>
      <c r="AS34" s="112">
        <f t="shared" ref="AS34" si="70">IFERROR(AT31/(AT31+AV31),"")</f>
        <v>0.5</v>
      </c>
      <c r="AT34" s="113"/>
      <c r="AU34" s="113"/>
      <c r="AV34" s="114"/>
      <c r="AW34" s="112">
        <f t="shared" ref="AW34" si="71">IFERROR(AX31/(AX31+AZ31),"")</f>
        <v>0.14285714285714285</v>
      </c>
      <c r="AX34" s="113"/>
      <c r="AY34" s="113"/>
      <c r="AZ34" s="114"/>
      <c r="BA34" s="112">
        <f t="shared" ref="BA34" si="72">IFERROR(BB31/(BB31+BD31),"")</f>
        <v>0.88888888888888884</v>
      </c>
      <c r="BB34" s="113"/>
      <c r="BC34" s="113"/>
      <c r="BD34" s="114"/>
      <c r="BE34" s="112">
        <f t="shared" ref="BE34" si="73">IFERROR(BF31/(BF31+BH31),"")</f>
        <v>0.8</v>
      </c>
      <c r="BF34" s="113"/>
      <c r="BG34" s="113"/>
      <c r="BH34" s="114"/>
      <c r="BI34" s="112">
        <f t="shared" ref="BI34" si="74">IFERROR(BJ31/(BJ31+BL31),"")</f>
        <v>1</v>
      </c>
      <c r="BJ34" s="113"/>
      <c r="BK34" s="113"/>
      <c r="BL34" s="114"/>
      <c r="BM34" s="112">
        <f t="shared" ref="BM34" si="75">IFERROR(BN31/(BN31+BP31),"")</f>
        <v>0.4</v>
      </c>
      <c r="BN34" s="113"/>
      <c r="BO34" s="113"/>
      <c r="BP34" s="114"/>
      <c r="BQ34" s="112">
        <f t="shared" ref="BQ34" si="76">IFERROR(BR31/(BR31+BT31),"")</f>
        <v>0.75</v>
      </c>
      <c r="BR34" s="113"/>
      <c r="BS34" s="113"/>
      <c r="BT34" s="114"/>
    </row>
    <row r="35" spans="4:72" x14ac:dyDescent="0.35">
      <c r="D35" s="76" t="s">
        <v>8</v>
      </c>
      <c r="E35" s="112">
        <f>IFERROR(2*(E33*E34)/(E33+E34),IF(AND(E33=0,E34=0),0,""))</f>
        <v>0.99319727891156473</v>
      </c>
      <c r="F35" s="113"/>
      <c r="G35" s="113"/>
      <c r="H35" s="114"/>
      <c r="I35" s="112">
        <f t="shared" ref="I35" si="77">IFERROR(2*(I33*I34)/(I33+I34),IF(AND(I33=0,I34=0),0,""))</f>
        <v>0.66666666666666663</v>
      </c>
      <c r="J35" s="113"/>
      <c r="K35" s="113"/>
      <c r="L35" s="114"/>
      <c r="M35" s="112">
        <f t="shared" ref="M35" si="78">IFERROR(2*(M33*M34)/(M33+M34),IF(AND(M33=0,M34=0),0,""))</f>
        <v>0.88888888888888895</v>
      </c>
      <c r="N35" s="113"/>
      <c r="O35" s="113"/>
      <c r="P35" s="114"/>
      <c r="Q35" s="112">
        <f t="shared" ref="Q35" si="79">IFERROR(2*(Q33*Q34)/(Q33+Q34),IF(AND(Q33=0,Q34=0),0,""))</f>
        <v>0.96618357487922701</v>
      </c>
      <c r="R35" s="113"/>
      <c r="S35" s="113"/>
      <c r="T35" s="114"/>
      <c r="U35" s="112">
        <f t="shared" ref="U35" si="80">IFERROR(2*(U33*U34)/(U33+U34),IF(AND(U33=0,U34=0),0,""))</f>
        <v>0.68965517241379304</v>
      </c>
      <c r="V35" s="113"/>
      <c r="W35" s="113"/>
      <c r="X35" s="114"/>
      <c r="Y35" s="112">
        <f t="shared" ref="Y35" si="81">IFERROR(2*(Y33*Y34)/(Y33+Y34),IF(AND(Y33=0,Y34=0),0,""))</f>
        <v>0.92753623188405787</v>
      </c>
      <c r="Z35" s="113"/>
      <c r="AA35" s="113"/>
      <c r="AB35" s="114"/>
      <c r="AC35" s="112">
        <f t="shared" ref="AC35" si="82">IFERROR(2*(AC33*AC34)/(AC33+AC34),IF(AND(AC33=0,AC34=0),0,""))</f>
        <v>0.77419354838709686</v>
      </c>
      <c r="AD35" s="113"/>
      <c r="AE35" s="113"/>
      <c r="AF35" s="114"/>
      <c r="AG35" s="112">
        <f t="shared" ref="AG35" si="83">IFERROR(2*(AG33*AG34)/(AG33+AG34),IF(AND(AG33=0,AG34=0),0,""))</f>
        <v>0.46153846153846156</v>
      </c>
      <c r="AH35" s="113"/>
      <c r="AI35" s="113"/>
      <c r="AJ35" s="114"/>
      <c r="AK35" s="112">
        <f t="shared" ref="AK35" si="84">IFERROR(2*(AK33*AK34)/(AK33+AK34),IF(AND(AK33=0,AK34=0),0,""))</f>
        <v>0.97777777777777775</v>
      </c>
      <c r="AL35" s="113"/>
      <c r="AM35" s="113"/>
      <c r="AN35" s="114"/>
      <c r="AO35" s="112">
        <f t="shared" ref="AO35" si="85">IFERROR(2*(AO33*AO34)/(AO33+AO34),IF(AND(AO33=0,AO34=0),0,""))</f>
        <v>0.57142857142857151</v>
      </c>
      <c r="AP35" s="113"/>
      <c r="AQ35" s="113"/>
      <c r="AR35" s="114"/>
      <c r="AS35" s="112">
        <f t="shared" ref="AS35" si="86">IFERROR(2*(AS33*AS34)/(AS33+AS34),IF(AND(AS33=0,AS34=0),0,""))</f>
        <v>0.2</v>
      </c>
      <c r="AT35" s="113"/>
      <c r="AU35" s="113"/>
      <c r="AV35" s="114"/>
      <c r="AW35" s="112">
        <f t="shared" ref="AW35" si="87">IFERROR(2*(AW33*AW34)/(AW33+AW34),IF(AND(AW33=0,AW34=0),0,""))</f>
        <v>0.22222222222222224</v>
      </c>
      <c r="AX35" s="113"/>
      <c r="AY35" s="113"/>
      <c r="AZ35" s="114"/>
      <c r="BA35" s="112">
        <f t="shared" ref="BA35" si="88">IFERROR(2*(BA33*BA34)/(BA33+BA34),IF(AND(BA33=0,BA34=0),0,""))</f>
        <v>0.87912087912087922</v>
      </c>
      <c r="BB35" s="113"/>
      <c r="BC35" s="113"/>
      <c r="BD35" s="114"/>
      <c r="BE35" s="112">
        <f t="shared" ref="BE35" si="89">IFERROR(2*(BE33*BE34)/(BE33+BE34),IF(AND(BE33=0,BE34=0),0,""))</f>
        <v>0.72727272727272718</v>
      </c>
      <c r="BF35" s="113"/>
      <c r="BG35" s="113"/>
      <c r="BH35" s="114"/>
      <c r="BI35" s="112">
        <f t="shared" ref="BI35" si="90">IFERROR(2*(BI33*BI34)/(BI33+BI34),IF(AND(BI33=0,BI34=0),0,""))</f>
        <v>0.4</v>
      </c>
      <c r="BJ35" s="113"/>
      <c r="BK35" s="113"/>
      <c r="BL35" s="114"/>
      <c r="BM35" s="112">
        <f t="shared" ref="BM35" si="91">IFERROR(2*(BM33*BM34)/(BM33+BM34),IF(AND(BM33=0,BM34=0),0,""))</f>
        <v>0.23529411764705882</v>
      </c>
      <c r="BN35" s="113"/>
      <c r="BO35" s="113"/>
      <c r="BP35" s="114"/>
      <c r="BQ35" s="112">
        <f t="shared" ref="BQ35" si="92">IFERROR(2*(BQ33*BQ34)/(BQ33+BQ34),IF(AND(BQ33=0,BQ34=0),0,""))</f>
        <v>0.42857142857142849</v>
      </c>
      <c r="BR35" s="113"/>
      <c r="BS35" s="113"/>
      <c r="BT35" s="114"/>
    </row>
  </sheetData>
  <mergeCells count="84">
    <mergeCell ref="AS35:AV35"/>
    <mergeCell ref="AW35:AZ35"/>
    <mergeCell ref="BA35:BD35"/>
    <mergeCell ref="BE35:BH35"/>
    <mergeCell ref="BI35:BL35"/>
    <mergeCell ref="BM33:BP33"/>
    <mergeCell ref="BQ33:BT33"/>
    <mergeCell ref="E34:H34"/>
    <mergeCell ref="I34:L34"/>
    <mergeCell ref="M34:P34"/>
    <mergeCell ref="Q34:T34"/>
    <mergeCell ref="U34:X34"/>
    <mergeCell ref="Y34:AB34"/>
    <mergeCell ref="AC34:AF34"/>
    <mergeCell ref="AG34:AJ34"/>
    <mergeCell ref="AK34:AN34"/>
    <mergeCell ref="AO34:AR34"/>
    <mergeCell ref="AS34:AV34"/>
    <mergeCell ref="AW34:AZ34"/>
    <mergeCell ref="BA34:BD34"/>
    <mergeCell ref="BE34:BH34"/>
    <mergeCell ref="AS33:AV33"/>
    <mergeCell ref="AW33:AZ33"/>
    <mergeCell ref="BA33:BD33"/>
    <mergeCell ref="BE33:BH33"/>
    <mergeCell ref="BI33:BL33"/>
    <mergeCell ref="BI34:BL34"/>
    <mergeCell ref="BM34:BP34"/>
    <mergeCell ref="BQ34:BT34"/>
    <mergeCell ref="BM35:BP35"/>
    <mergeCell ref="BQ35:BT35"/>
    <mergeCell ref="E35:H35"/>
    <mergeCell ref="I35:L35"/>
    <mergeCell ref="M35:P35"/>
    <mergeCell ref="Q35:T35"/>
    <mergeCell ref="U35:X35"/>
    <mergeCell ref="Y35:AB35"/>
    <mergeCell ref="AC35:AF35"/>
    <mergeCell ref="AG35:AJ35"/>
    <mergeCell ref="AK35:AN35"/>
    <mergeCell ref="AO35:AR35"/>
    <mergeCell ref="AO33:AR33"/>
    <mergeCell ref="E33:H33"/>
    <mergeCell ref="I33:L33"/>
    <mergeCell ref="M33:P33"/>
    <mergeCell ref="Q33:T33"/>
    <mergeCell ref="U33:X33"/>
    <mergeCell ref="Y33:AB33"/>
    <mergeCell ref="AC33:AF33"/>
    <mergeCell ref="AG33:AJ33"/>
    <mergeCell ref="AK33:AN33"/>
    <mergeCell ref="C3:C30"/>
    <mergeCell ref="BY1:BY2"/>
    <mergeCell ref="B3:B30"/>
    <mergeCell ref="BU1:BU2"/>
    <mergeCell ref="BV1:BV2"/>
    <mergeCell ref="BW1:BW2"/>
    <mergeCell ref="BX1:BX2"/>
    <mergeCell ref="BA1:BD1"/>
    <mergeCell ref="BE1:BH1"/>
    <mergeCell ref="BI1:BL1"/>
    <mergeCell ref="BM1:BP1"/>
    <mergeCell ref="BQ1:BT1"/>
    <mergeCell ref="AG1:AJ1"/>
    <mergeCell ref="AK1:AN1"/>
    <mergeCell ref="AC1:AF1"/>
    <mergeCell ref="M1:P1"/>
    <mergeCell ref="CC1:CC2"/>
    <mergeCell ref="CD1:CD2"/>
    <mergeCell ref="CE1:CE2"/>
    <mergeCell ref="CF1:CF2"/>
    <mergeCell ref="AO1:AR1"/>
    <mergeCell ref="AS1:AV1"/>
    <mergeCell ref="AW1:AZ1"/>
    <mergeCell ref="BZ1:BZ2"/>
    <mergeCell ref="Q1:T1"/>
    <mergeCell ref="U1:X1"/>
    <mergeCell ref="Y1:AB1"/>
    <mergeCell ref="A1:A2"/>
    <mergeCell ref="B1:B2"/>
    <mergeCell ref="D1:D2"/>
    <mergeCell ref="E1:H1"/>
    <mergeCell ref="I1:L1"/>
    <mergeCell ref="C1:C2"/>
  </mergeCells>
  <pageMargins left="0.7" right="0.7" top="0.75" bottom="0.75" header="0.3" footer="0.3"/>
  <pageSetup paperSize="8"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6CC23-18DE-490B-A9BB-AB09BF9630B0}">
  <dimension ref="A1:D45"/>
  <sheetViews>
    <sheetView tabSelected="1" zoomScale="123" workbookViewId="0">
      <selection activeCell="L25" sqref="L25"/>
    </sheetView>
  </sheetViews>
  <sheetFormatPr defaultRowHeight="14.5" x14ac:dyDescent="0.35"/>
  <cols>
    <col min="1" max="1" width="15.7265625" bestFit="1" customWidth="1"/>
    <col min="2" max="2" width="12.7265625" customWidth="1"/>
    <col min="3" max="3" width="14.7265625" bestFit="1" customWidth="1"/>
    <col min="4" max="4" width="11.54296875" customWidth="1"/>
    <col min="5" max="5" width="10.6328125" customWidth="1"/>
    <col min="7" max="7" width="11.08984375" customWidth="1"/>
    <col min="10" max="10" width="11" customWidth="1"/>
    <col min="13" max="13" width="11.36328125" customWidth="1"/>
    <col min="16" max="16" width="4.90625" bestFit="1" customWidth="1"/>
    <col min="17" max="17" width="9.36328125" customWidth="1"/>
    <col min="18" max="18" width="12.36328125" customWidth="1"/>
    <col min="19" max="19" width="15.36328125" customWidth="1"/>
    <col min="20" max="20" width="15.54296875" bestFit="1" customWidth="1"/>
    <col min="21" max="21" width="15.7265625" bestFit="1" customWidth="1"/>
    <col min="22" max="22" width="13.36328125" bestFit="1" customWidth="1"/>
    <col min="23" max="23" width="8.1796875" bestFit="1" customWidth="1"/>
    <col min="24" max="24" width="11" bestFit="1" customWidth="1"/>
    <col min="25" max="25" width="3.453125" bestFit="1" customWidth="1"/>
    <col min="26" max="26" width="3.26953125" bestFit="1" customWidth="1"/>
    <col min="28" max="28" width="11.54296875" customWidth="1"/>
    <col min="31" max="31" width="11.1796875" customWidth="1"/>
  </cols>
  <sheetData>
    <row r="1" spans="1:4" x14ac:dyDescent="0.35">
      <c r="A1" t="s">
        <v>68</v>
      </c>
      <c r="B1" s="75" t="s">
        <v>69</v>
      </c>
      <c r="C1" s="75" t="s">
        <v>118</v>
      </c>
      <c r="D1" s="75" t="s">
        <v>70</v>
      </c>
    </row>
    <row r="2" spans="1:4" x14ac:dyDescent="0.35">
      <c r="A2" t="s">
        <v>108</v>
      </c>
      <c r="B2">
        <f>alpaca!CD17</f>
        <v>0.76690381280717423</v>
      </c>
      <c r="C2">
        <f>alpaca!CE17</f>
        <v>0.80205819887496899</v>
      </c>
      <c r="D2">
        <f>alpaca!CF17</f>
        <v>0.77101186938884603</v>
      </c>
    </row>
    <row r="3" spans="1:4" x14ac:dyDescent="0.35">
      <c r="A3" t="s">
        <v>109</v>
      </c>
      <c r="B3">
        <f>baseline!CD17</f>
        <v>0.80623482298902471</v>
      </c>
      <c r="C3">
        <f>baseline!CE17</f>
        <v>0.86805107824015393</v>
      </c>
      <c r="D3">
        <f>baseline!CF17</f>
        <v>0.82864129636178308</v>
      </c>
    </row>
    <row r="4" spans="1:4" x14ac:dyDescent="0.35">
      <c r="A4" t="s">
        <v>110</v>
      </c>
      <c r="B4">
        <f>persona!CD17</f>
        <v>0.85458999839251959</v>
      </c>
      <c r="C4">
        <f>persona!CE17</f>
        <v>0.86555893627847424</v>
      </c>
      <c r="D4">
        <f>persona!CF17</f>
        <v>0.85212604408416415</v>
      </c>
    </row>
    <row r="5" spans="1:4" x14ac:dyDescent="0.35">
      <c r="A5" t="s">
        <v>111</v>
      </c>
      <c r="B5">
        <f>'strict-no-guessing'!CD17</f>
        <v>0.8233595361221413</v>
      </c>
      <c r="C5">
        <f>'strict-no-guessing'!CE17</f>
        <v>0.88051182982905696</v>
      </c>
      <c r="D5">
        <f>'strict-no-guessing'!CF17</f>
        <v>0.84532083734498742</v>
      </c>
    </row>
    <row r="6" spans="1:4" x14ac:dyDescent="0.35">
      <c r="A6" t="s">
        <v>87</v>
      </c>
      <c r="B6">
        <f>'Self-review-postfix'!CD17</f>
        <v>0.83123343354435797</v>
      </c>
      <c r="C6">
        <f>'Self-review-postfix'!CE17</f>
        <v>0.89714475533803262</v>
      </c>
      <c r="D6">
        <f>'Self-review-postfix'!CF17</f>
        <v>0.85724341584674146</v>
      </c>
    </row>
    <row r="7" spans="1:4" x14ac:dyDescent="0.35">
      <c r="A7" t="s">
        <v>112</v>
      </c>
      <c r="B7">
        <f>'schema-guided'!CD17</f>
        <v>0.91039653040703461</v>
      </c>
      <c r="C7">
        <f>'schema-guided'!CE17</f>
        <v>0.63972653073809871</v>
      </c>
      <c r="D7">
        <f>'schema-guided'!CF17</f>
        <v>0.74255374134179675</v>
      </c>
    </row>
    <row r="8" spans="1:4" x14ac:dyDescent="0.35">
      <c r="A8" t="s">
        <v>113</v>
      </c>
      <c r="B8">
        <f>checklist!CD17</f>
        <v>0.91299224818132407</v>
      </c>
      <c r="C8">
        <f>checklist!CE17</f>
        <v>0.76958493462170785</v>
      </c>
      <c r="D8">
        <f>checklist!CF17</f>
        <v>0.82740669575152948</v>
      </c>
    </row>
    <row r="9" spans="1:4" x14ac:dyDescent="0.35">
      <c r="A9" t="s">
        <v>114</v>
      </c>
      <c r="B9">
        <f>'step-by-step'!CD17</f>
        <v>0.88141109007705654</v>
      </c>
      <c r="C9">
        <f>'step-by-step'!CE17</f>
        <v>0.82564663152770346</v>
      </c>
      <c r="D9">
        <f>'step-by-step'!CF17</f>
        <v>0.84379027682090524</v>
      </c>
    </row>
    <row r="10" spans="1:4" x14ac:dyDescent="0.35">
      <c r="A10" t="s">
        <v>115</v>
      </c>
      <c r="B10">
        <f>cot!CD17</f>
        <v>0.82139449797012831</v>
      </c>
      <c r="C10">
        <f>cot!CE17</f>
        <v>0.87206300076158538</v>
      </c>
      <c r="D10">
        <f>cot!CF17</f>
        <v>0.83625348025372648</v>
      </c>
    </row>
    <row r="11" spans="1:4" x14ac:dyDescent="0.35">
      <c r="A11" t="s">
        <v>116</v>
      </c>
      <c r="B11">
        <f>rci!CD17</f>
        <v>0.81896769391517299</v>
      </c>
      <c r="C11">
        <f>rci!CE17</f>
        <v>0.87283724919917305</v>
      </c>
      <c r="D11">
        <f>rci!CF17</f>
        <v>0.83747892338856089</v>
      </c>
    </row>
    <row r="43" spans="1:1" x14ac:dyDescent="0.35">
      <c r="A43" s="65"/>
    </row>
    <row r="44" spans="1:1" x14ac:dyDescent="0.35">
      <c r="A44" s="65"/>
    </row>
    <row r="45" spans="1:1" x14ac:dyDescent="0.35">
      <c r="A45" s="65"/>
    </row>
  </sheetData>
  <pageMargins left="0.7" right="0.7" top="0.75" bottom="0.75" header="0.3" footer="0.3"/>
  <pageSetup paperSize="8"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02CE-AE28-41FF-9896-BE52BD3929BF}">
  <dimension ref="A1:S8"/>
  <sheetViews>
    <sheetView zoomScale="90" zoomScaleNormal="90" workbookViewId="0">
      <selection activeCell="A4" sqref="A4:A5"/>
    </sheetView>
  </sheetViews>
  <sheetFormatPr defaultRowHeight="14.5" x14ac:dyDescent="0.35"/>
  <cols>
    <col min="1" max="1" width="11.90625" customWidth="1"/>
  </cols>
  <sheetData>
    <row r="1" spans="1:19" ht="17" thickBot="1" x14ac:dyDescent="0.4">
      <c r="A1" s="77"/>
      <c r="B1" s="77"/>
      <c r="C1" s="78" t="s">
        <v>89</v>
      </c>
      <c r="D1" s="78" t="s">
        <v>90</v>
      </c>
      <c r="E1" s="78" t="s">
        <v>91</v>
      </c>
      <c r="F1" s="78" t="s">
        <v>92</v>
      </c>
      <c r="G1" s="78" t="s">
        <v>93</v>
      </c>
      <c r="H1" s="78" t="s">
        <v>94</v>
      </c>
      <c r="I1" s="78" t="s">
        <v>95</v>
      </c>
      <c r="J1" s="78" t="s">
        <v>96</v>
      </c>
      <c r="K1" s="78" t="s">
        <v>97</v>
      </c>
      <c r="L1" s="78" t="s">
        <v>98</v>
      </c>
      <c r="M1" s="78" t="s">
        <v>99</v>
      </c>
      <c r="N1" s="78" t="s">
        <v>100</v>
      </c>
      <c r="O1" s="78" t="s">
        <v>101</v>
      </c>
      <c r="P1" s="78" t="s">
        <v>102</v>
      </c>
      <c r="Q1" s="78" t="s">
        <v>103</v>
      </c>
      <c r="R1" s="78" t="s">
        <v>104</v>
      </c>
      <c r="S1" s="78" t="s">
        <v>105</v>
      </c>
    </row>
    <row r="2" spans="1:19" ht="14.5" customHeight="1" thickTop="1" x14ac:dyDescent="0.35">
      <c r="A2" s="85" t="s">
        <v>7</v>
      </c>
      <c r="B2" s="79" t="s">
        <v>106</v>
      </c>
      <c r="C2" s="79">
        <f>MIN(alpaca!D33,baseline!D33,persona!D33,'strict-no-guessing'!D33:G33,'Self-review-postfix'!D33:G33,'schema-guided'!D33:G33,checklist!D33,'step-by-step'!D33:G33,cot!E33,rci!E33)</f>
        <v>0.97297297297297303</v>
      </c>
      <c r="D2" s="79">
        <f>MIN(alpaca!H33,baseline!H33,persona!H33,'strict-no-guessing'!H33:K33,'Self-review-postfix'!H33:K33,'schema-guided'!H33:K33,checklist!H33,'step-by-step'!H33:K33,cot!I33,rci!I33)</f>
        <v>0.25</v>
      </c>
      <c r="E2" s="79">
        <f>MIN(alpaca!L33,baseline!L33,persona!L33,'strict-no-guessing'!L33:O33,'Self-review-postfix'!L33:O33,'schema-guided'!L33:O33,checklist!L33,'step-by-step'!L33:O33,cot!M33,rci!M33)</f>
        <v>0.5</v>
      </c>
      <c r="F2" s="79">
        <f>MIN(alpaca!P33,baseline!P33,persona!P33,'strict-no-guessing'!P33:S33,'Self-review-postfix'!P33:S33,'schema-guided'!P33:S33,checklist!P33,'step-by-step'!P33:S33,cot!Q33,rci!Q33)</f>
        <v>0.96499999999999997</v>
      </c>
      <c r="G2" s="79">
        <f>MIN(alpaca!T33,baseline!T33,persona!T33,'strict-no-guessing'!T33:W33,'Self-review-postfix'!T33:W33,'schema-guided'!T33:W33,checklist!T33,'step-by-step'!T33:W33,cot!U33,rci!U33)</f>
        <v>0.5</v>
      </c>
      <c r="H2" s="80">
        <f>MIN(alpaca!X33,baseline!X33,persona!X33,'strict-no-guessing'!X33:AA33,'Self-review-postfix'!X33:AA33,'schema-guided'!X33:AA33,checklist!X33,'step-by-step'!X33:AA33,cot!Y33,rci!Y33)</f>
        <v>0.8970588235294118</v>
      </c>
      <c r="I2" s="80">
        <f>MIN(alpaca!AB33,baseline!AB33,persona!AB33,'strict-no-guessing'!AB33:AE33,'Self-review-postfix'!AB33:AE33,'schema-guided'!AB33:AE33,checklist!AB33,'step-by-step'!AB33:AE33,cot!AC33,rci!AC33)</f>
        <v>0.75</v>
      </c>
      <c r="J2" s="80">
        <f>MIN(alpaca!AF33,baseline!AF33,persona!AF33,'strict-no-guessing'!AF33:AI33,'Self-review-postfix'!AF33:AI33,'schema-guided'!AF33:AI33,checklist!AF33,'step-by-step'!AF33:AI33,cot!AG33,rci!AG33)</f>
        <v>0.16666666666666666</v>
      </c>
      <c r="K2" s="80">
        <f>MIN(alpaca!AJ33,baseline!AJ33,persona!AJ33,'strict-no-guessing'!AJ33:AM33,'Self-review-postfix'!AJ33:AM33,'schema-guided'!AJ33:AM33,checklist!AJ33,'step-by-step'!AJ33:AM33,cot!AK33,rci!AK33)</f>
        <v>1</v>
      </c>
      <c r="L2" s="80">
        <f>MIN(alpaca!AN33,baseline!AN33,persona!AN33,'strict-no-guessing'!AN33:AQ33,'Self-review-postfix'!AN33:AQ33,'schema-guided'!AN33:AQ33,checklist!AN33,'step-by-step'!AN33:AQ33,cot!AO33,rci!AO33)</f>
        <v>1</v>
      </c>
      <c r="M2" s="80">
        <f>MIN(alpaca!AR33,baseline!AR33,persona!AR33,'strict-no-guessing'!AR33:AU33,'Self-review-postfix'!AR33:AU33,'schema-guided'!AR33:AU33,checklist!AR33,'step-by-step'!AR33:AU33,cot!AS33,rci!AS33)</f>
        <v>0</v>
      </c>
      <c r="N2" s="80">
        <f>MIN(alpaca!AV33,baseline!AV33,persona!AV33,'strict-no-guessing'!AV33:AY33,'Self-review-postfix'!AV33:AY33,'schema-guided'!AV33:AY33,checklist!AV33,'step-by-step'!AV33:AY33,cot!AW33,rci!AW33)</f>
        <v>0</v>
      </c>
      <c r="O2" s="80">
        <f>MIN(alpaca!AZ33,baseline!AZ33,persona!AZ33,'strict-no-guessing'!AZ33:BC33,'Self-review-postfix'!AZ33:BC33,'schema-guided'!AZ33:BC33,checklist!AZ33,'step-by-step'!AZ33:BC33,cot!BA33,rci!BA33)</f>
        <v>0.82608695652173914</v>
      </c>
      <c r="P2" s="80">
        <f>MIN(alpaca!BD33,baseline!BD33,persona!BD33,'strict-no-guessing'!BD33:BG33,'Self-review-postfix'!BD33:BG33,'schema-guided'!BD33:BG33,checklist!BD33,'step-by-step'!BD33:BG33,cot!BE33,rci!BE33)</f>
        <v>0</v>
      </c>
      <c r="Q2" s="80">
        <f>MIN(alpaca!BH33,baseline!BH33,persona!BH33,'strict-no-guessing'!BH33:BK33,'Self-review-postfix'!BH33:BK33,'schema-guided'!BH33:BK33,checklist!BH33,'step-by-step'!BH33:BK33,cot!BI33,rci!BI33)</f>
        <v>0</v>
      </c>
      <c r="R2" s="80">
        <f>MIN(alpaca!BL33,baseline!BL33,persona!BL33,'strict-no-guessing'!BL33:BO33,'Self-review-postfix'!BL33:BO33,'schema-guided'!BL33:BO33,checklist!BL33,'step-by-step'!BL33:BO33,cot!BM33,rci!BM33)</f>
        <v>8.3333333333333329E-2</v>
      </c>
      <c r="S2" s="81">
        <f>MIN(alpaca!BP33,baseline!BP33,'strict-no-guessing'!BP33:BS33,persona!BP33,'Self-review-postfix'!BP33:BS33,'schema-guided'!BP33:BS33,checklist!BP33,cot!BQ33,rci!BQ33,'step-by-step'!BP33:BS33)</f>
        <v>0</v>
      </c>
    </row>
    <row r="3" spans="1:19" ht="14.5" customHeight="1" thickBot="1" x14ac:dyDescent="0.4">
      <c r="A3" s="86"/>
      <c r="B3" s="82" t="s">
        <v>107</v>
      </c>
      <c r="C3" s="82">
        <f>MAX(alpaca!D33,baseline!D33,persona!D33,'strict-no-guessing'!D33:G33,'Self-review-postfix'!D33:G33,'schema-guided'!D33:G33,checklist!D33,'step-by-step'!D33:G33,cot!E33,rci!E33)</f>
        <v>1</v>
      </c>
      <c r="D3" s="82">
        <f>MAX(alpaca!H33,baseline!H33,persona!H33,'strict-no-guessing'!H33:K33,'Self-review-postfix'!H33:K33,'schema-guided'!H33:K33,checklist!H33,'step-by-step'!H33:K33,cot!I33,rci!I33)</f>
        <v>1</v>
      </c>
      <c r="E3" s="82">
        <f>MAX(alpaca!L33,baseline!L33,persona!L33,'strict-no-guessing'!L33:O33,'Self-review-postfix'!L33:O33,'schema-guided'!L33:O33,checklist!L33,'step-by-step'!L33:O33,cot!M33,rci!M33)</f>
        <v>1</v>
      </c>
      <c r="F3" s="82">
        <f>MAX(alpaca!P33,baseline!P33,persona!P33,'strict-no-guessing'!P33:S33,'Self-review-postfix'!P33:S33,'schema-guided'!P33:S33,checklist!P33,'step-by-step'!P33:S33,cot!Q33,rci!Q33)</f>
        <v>1</v>
      </c>
      <c r="G3" s="82">
        <f>MAX(alpaca!T33,baseline!T33,persona!T33,'strict-no-guessing'!T33:W33,'Self-review-postfix'!T33:W33,'schema-guided'!T33:W33,checklist!T33,'step-by-step'!T33:W33,cot!U33,rci!U33)</f>
        <v>1</v>
      </c>
      <c r="H3" s="83">
        <f>MAX(alpaca!X33,baseline!X33,persona!X33,'strict-no-guessing'!X33:AA33,'Self-review-postfix'!X33:AA33,'schema-guided'!X33:AA33,checklist!X33,'step-by-step'!X33:AA33,cot!Y33,rci!Y33)</f>
        <v>1</v>
      </c>
      <c r="I3" s="83">
        <f>MAX(alpaca!AB33,baseline!AB33,persona!AB33,'strict-no-guessing'!AB33:AE33,'Self-review-postfix'!AB33:AE33,'schema-guided'!AB33:AE33,checklist!AB33,'step-by-step'!AB33:AE33,cot!AC33,rci!AC33)</f>
        <v>1</v>
      </c>
      <c r="J3" s="83">
        <f>MAX(alpaca!AF33,baseline!AF33,persona!AF33,'strict-no-guessing'!AF33:AI33,'Self-review-postfix'!AF33:AI33,'schema-guided'!AF33:AI33,checklist!AF33,'step-by-step'!AF33:AI33,cot!AG33,rci!AG33)</f>
        <v>0.97222222222222221</v>
      </c>
      <c r="K3" s="83">
        <f>MAX(alpaca!AJ33,baseline!AJ33,persona!AJ33,'strict-no-guessing'!AJ33:AM33,'Self-review-postfix'!AJ33:AM33,'schema-guided'!AJ33:AM33,checklist!AJ33,'step-by-step'!AJ33:AM33,cot!AK33,rci!AK33)</f>
        <v>1</v>
      </c>
      <c r="L3" s="83">
        <f>MAX(alpaca!AN33,baseline!AN33,persona!AN33,'strict-no-guessing'!AN33:AQ33,'Self-review-postfix'!AN33:AQ33,'schema-guided'!AN33:AQ33,checklist!AN33,'step-by-step'!AN33:AQ33,cot!AO33,rci!AO33)</f>
        <v>1</v>
      </c>
      <c r="M3" s="83">
        <f>MAX(alpaca!AR33,baseline!AR33,persona!AR33,'strict-no-guessing'!AR33:AU33,'Self-review-postfix'!AR33:AU33,'schema-guided'!AR33:AU33,checklist!AR33,'step-by-step'!AR33:AU33,cot!AS33,rci!AS33)</f>
        <v>0.625</v>
      </c>
      <c r="N3" s="83">
        <f>MAX(alpaca!AV33,baseline!AV33,persona!AV33,'strict-no-guessing'!AV33:AY33,'Self-review-postfix'!AV33:AY33,'schema-guided'!AV33:AY33,checklist!AV33,'step-by-step'!AV33:AY33,cot!AW33,rci!AW33)</f>
        <v>0.75</v>
      </c>
      <c r="O3" s="83">
        <f>MAX(alpaca!AZ33,baseline!AZ33,persona!AZ33,'strict-no-guessing'!AZ33:BC33,'Self-review-postfix'!AZ33:BC33,'schema-guided'!AZ33:BC33,checklist!AZ33,'step-by-step'!AZ33:BC33,cot!BA33,rci!BA33)</f>
        <v>0.97826086956521741</v>
      </c>
      <c r="P3" s="83">
        <f>MAX(alpaca!BD33,baseline!BD33,persona!BD33,'strict-no-guessing'!BD33:BG33,'Self-review-postfix'!BD33:BG33,'schema-guided'!BD33:BG33,checklist!BD33,'step-by-step'!BD33:BG33,cot!BE33,rci!BE33)</f>
        <v>1</v>
      </c>
      <c r="Q3" s="83">
        <f>MAX(alpaca!BH33,baseline!BH33,persona!BH33,'strict-no-guessing'!BH33:BK33,'Self-review-postfix'!BH33:BK33,'schema-guided'!BH33:BK33,checklist!BH33,'step-by-step'!BH33:BK33,cot!BI33,rci!BI33)</f>
        <v>0.75</v>
      </c>
      <c r="R3" s="83">
        <f>MAX(alpaca!BL33,baseline!BL33,persona!BL33,'strict-no-guessing'!BL33:BO33,'Self-review-postfix'!BL33:BO33,'schema-guided'!BL33:BO33,checklist!BL33,'step-by-step'!BL33:BO33,cot!BM33,rci!BM33)</f>
        <v>0.33333333333333331</v>
      </c>
      <c r="S3" s="84">
        <f>MAX(alpaca!BP33,baseline!BP33,'strict-no-guessing'!BP33:BS33,persona!BP33,'Self-review-postfix'!BP33:BS33,'schema-guided'!BP33:BS33,checklist!BP33,cot!BQ33,rci!BQ33)</f>
        <v>0.5</v>
      </c>
    </row>
    <row r="4" spans="1:19" ht="14.5" customHeight="1" thickTop="1" x14ac:dyDescent="0.35">
      <c r="A4" s="87" t="s">
        <v>117</v>
      </c>
      <c r="B4" s="79" t="s">
        <v>106</v>
      </c>
      <c r="C4" s="79">
        <f>MIN(alpaca!D34,baseline!D34,persona!D34,'strict-no-guessing'!D34:G34,'Self-review-postfix'!D34:G34,'schema-guided'!D34:G34,checklist!D34,'step-by-step'!D34:G34,cot!E34,rci!E34)</f>
        <v>1</v>
      </c>
      <c r="D4" s="79">
        <f>MIN(alpaca!H34,baseline!H34,persona!H34,'strict-no-guessing'!H34:K34,'Self-review-postfix'!H34:K34,'schema-guided'!H34:K34,checklist!H34,'step-by-step'!H34:K34,cot!I34,rci!I34)</f>
        <v>0.32</v>
      </c>
      <c r="E4" s="79">
        <f>MIN(alpaca!L34,baseline!L34,persona!L34,'strict-no-guessing'!L34:O34,'Self-review-postfix'!L34:O34,'schema-guided'!L34:O34,checklist!L34,'step-by-step'!L34:O34,cot!M34,rci!M34)</f>
        <v>0.95238095238095233</v>
      </c>
      <c r="F4" s="79">
        <f>MIN(alpaca!P34,baseline!P34,persona!P34,'strict-no-guessing'!P34:S34,'Self-review-postfix'!P34:S34,'schema-guided'!P34:S34,checklist!P34,'step-by-step'!P34:S34,cot!Q34,rci!Q34)</f>
        <v>0.88940092165898621</v>
      </c>
      <c r="G4" s="79">
        <f>MIN(alpaca!T34,baseline!T34,persona!T34,'strict-no-guessing'!T34:W34,'Self-review-postfix'!T34:W34,'schema-guided'!T34:W34,checklist!T34,'step-by-step'!T34:W34,cot!U34,rci!U34)</f>
        <v>0.15730337078651685</v>
      </c>
      <c r="H4" s="80">
        <f>MIN(alpaca!X34,baseline!X34,persona!X34,'strict-no-guessing'!X34:AA34,'Self-review-postfix'!X34:AA34,'schema-guided'!X34:AA34,checklist!X34,'step-by-step'!X34:AA34,cot!Y34,rci!Y34)</f>
        <v>0.7441860465116279</v>
      </c>
      <c r="I4" s="80">
        <f>MIN(alpaca!AB34,baseline!AB34,persona!AB34,'strict-no-guessing'!AB34:AE34,'Self-review-postfix'!AB34:AE34,'schema-guided'!AB34:AE34,checklist!AB34,'step-by-step'!AB34:AE34,cot!AC34,rci!AC34)</f>
        <v>0.51851851851851849</v>
      </c>
      <c r="J4" s="80">
        <f>MIN(alpaca!AF34,baseline!AF34,persona!AF34,'strict-no-guessing'!AF34:AI34,'Self-review-postfix'!AF34:AI34,'schema-guided'!AF34:AI34,checklist!AF34,'step-by-step'!AF34:AI34,cot!AG34,rci!AG34)</f>
        <v>0.61403508771929827</v>
      </c>
      <c r="K4" s="80">
        <f>MIN(alpaca!AJ34,baseline!AJ34,persona!AJ34,'strict-no-guessing'!AJ34:AM34,'Self-review-postfix'!AJ34:AM34,'schema-guided'!AJ34:AM34,checklist!AJ34,'step-by-step'!AJ34:AM34,cot!AK34,rci!AK34)</f>
        <v>0.88</v>
      </c>
      <c r="L4" s="80">
        <f>MIN(alpaca!AN34,baseline!AN34,persona!AN34,'strict-no-guessing'!AN34:AQ34,'Self-review-postfix'!AN34:AQ34,'schema-guided'!AN34:AQ34,checklist!AN34,'step-by-step'!AN34:AQ34,cot!AO34,rci!AO34)</f>
        <v>0.25</v>
      </c>
      <c r="M4" s="80">
        <f>MIN(alpaca!AR34,baseline!AR34,persona!AR34,'strict-no-guessing'!AR34:AU34,'Self-review-postfix'!AR34:AU34,'schema-guided'!AR34:AU34,checklist!AR34,'step-by-step'!AR34:AU34,cot!AS34,rci!AS34)</f>
        <v>0</v>
      </c>
      <c r="N4" s="80">
        <f>MIN(alpaca!AV34,baseline!AV34,persona!AV34,'strict-no-guessing'!AV34:AY34,'Self-review-postfix'!AV34:AY34,'schema-guided'!AV34:AY34,checklist!AV34,'step-by-step'!AV34:AY34,cot!AW34,rci!AW34)</f>
        <v>0</v>
      </c>
      <c r="O4" s="80">
        <f>MIN(alpaca!AZ34,baseline!AZ34,persona!AZ34,'strict-no-guessing'!AZ34:BC34,'Self-review-postfix'!AZ34:BC34,'schema-guided'!AZ34:BC34,checklist!AZ34,'step-by-step'!AZ34:BC34,cot!BA34,rci!BA34)</f>
        <v>0.76923076923076927</v>
      </c>
      <c r="P4" s="80">
        <f>MIN(alpaca!BD34,baseline!BD34,persona!BD34,'strict-no-guessing'!BD34:BG34,'Self-review-postfix'!BD34:BG34,'schema-guided'!BD34:BG34,checklist!BD34,'step-by-step'!BD34:BG34,cot!BE34,rci!BE34)</f>
        <v>0.5</v>
      </c>
      <c r="Q4" s="80">
        <f>MIN(alpaca!BH34,baseline!BH34,persona!BH34,'strict-no-guessing'!BH34:BK34,'Self-review-postfix'!BH34:BK34,'schema-guided'!BH34:BK34,checklist!BH34,'step-by-step'!BH34:BK34,cot!BI34,rci!BI34)</f>
        <v>6.25E-2</v>
      </c>
      <c r="R4" s="80">
        <f>MIN(alpaca!BL34,baseline!BL34,persona!BL34,'strict-no-guessing'!BL34:BO34,'Self-review-postfix'!BL34:BO34,'schema-guided'!BL34:BO34,checklist!BL34,'step-by-step'!BL34:BO34,cot!BM34,rci!BM34)</f>
        <v>3.2608695652173912E-2</v>
      </c>
      <c r="S4" s="81">
        <f>MIN(alpaca!BP34,baseline!BP34,'strict-no-guessing'!BP34:BS34,persona!BP34,'Self-review-postfix'!BP34:BS34,'schema-guided'!BP34:BS34,checklist!BP34,cot!BQ34,rci!BQ34,'step-by-step'!BP34:BS34)</f>
        <v>0.5</v>
      </c>
    </row>
    <row r="5" spans="1:19" ht="14.5" customHeight="1" thickBot="1" x14ac:dyDescent="0.4">
      <c r="A5" s="88"/>
      <c r="B5" s="82" t="s">
        <v>107</v>
      </c>
      <c r="C5" s="82">
        <f>MAX(alpaca!D34,baseline!D34,persona!D34,'strict-no-guessing'!D34:G34,'Self-review-postfix'!D34:G34,'schema-guided'!D34:G34,checklist!D34,'step-by-step'!D34:G34,cot!E34,rci!E34)</f>
        <v>1</v>
      </c>
      <c r="D5" s="82">
        <f>MAX(alpaca!H34,baseline!H34,persona!H34,'strict-no-guessing'!H34:K34,'Self-review-postfix'!H34:K34,'schema-guided'!H34:K34,checklist!H34,'step-by-step'!H34:K34,cot!I34,rci!I34)</f>
        <v>1</v>
      </c>
      <c r="E5" s="82">
        <f>MAX(alpaca!L34,baseline!L34,persona!L34,'strict-no-guessing'!L34:O34,'Self-review-postfix'!L34:O34,'schema-guided'!L34:O34,checklist!L34,'step-by-step'!L34:O34,cot!M34,rci!M34)</f>
        <v>1</v>
      </c>
      <c r="F5" s="82">
        <f>MAX(alpaca!P34,baseline!P34,persona!P34,'strict-no-guessing'!P34:S34,'Self-review-postfix'!P34:S34,'schema-guided'!P34:S34,checklist!P34,'step-by-step'!P34:S34,cot!Q34,rci!Q34)</f>
        <v>0.95238095238095233</v>
      </c>
      <c r="G5" s="82">
        <f>MAX(alpaca!T34,baseline!T34,persona!T34,'strict-no-guessing'!T34:W34,'Self-review-postfix'!T34:W34,'schema-guided'!T34:W34,checklist!T34,'step-by-step'!T34:W34,cot!U34,rci!U34)</f>
        <v>0.66666666666666663</v>
      </c>
      <c r="H5" s="83">
        <f>MAX(alpaca!X34,baseline!X34,persona!X34,'strict-no-guessing'!X34:AA34,'Self-review-postfix'!X34:AA34,'schema-guided'!X34:AA34,checklist!X34,'step-by-step'!X34:AA34,cot!Y34,rci!Y34)</f>
        <v>1</v>
      </c>
      <c r="I5" s="83">
        <f>MAX(alpaca!AB34,baseline!AB34,persona!AB34,'strict-no-guessing'!AB34:AE34,'Self-review-postfix'!AB34:AE34,'schema-guided'!AB34:AE34,checklist!AB34,'step-by-step'!AB34:AE34,cot!AC34,rci!AC34)</f>
        <v>1</v>
      </c>
      <c r="J5" s="83">
        <f>MAX(alpaca!AF34,baseline!AF34,persona!AF34,'strict-no-guessing'!AF34:AI34,'Self-review-postfix'!AF34:AI34,'schema-guided'!AF34:AI34,checklist!AF34,'step-by-step'!AF34:AI34,cot!AG34,rci!AG34)</f>
        <v>1</v>
      </c>
      <c r="K5" s="83">
        <f>MAX(alpaca!AJ34,baseline!AJ34,persona!AJ34,'strict-no-guessing'!AJ34:AM34,'Self-review-postfix'!AJ34:AM34,'schema-guided'!AJ34:AM34,checklist!AJ34,'step-by-step'!AJ34:AM34,cot!AK34,rci!AK34)</f>
        <v>1</v>
      </c>
      <c r="L5" s="83">
        <f>MAX(alpaca!AN34,baseline!AN34,persona!AN34,'strict-no-guessing'!AN34:AQ34,'Self-review-postfix'!AN34:AQ34,'schema-guided'!AN34:AQ34,checklist!AN34,'step-by-step'!AN34:AQ34,cot!AO34,rci!AO34)</f>
        <v>1</v>
      </c>
      <c r="M5" s="83">
        <f>MAX(alpaca!AR34,baseline!AR34,persona!AR34,'strict-no-guessing'!AR34:AU34,'Self-review-postfix'!AR34:AU34,'schema-guided'!AR34:AU34,checklist!AR34,'step-by-step'!AR34:AU34,cot!AS34,rci!AS34)</f>
        <v>0.5</v>
      </c>
      <c r="N5" s="83">
        <f>MAX(alpaca!AV34,baseline!AV34,persona!AV34,'strict-no-guessing'!AV34:AY34,'Self-review-postfix'!AV34:AY34,'schema-guided'!AV34:AY34,checklist!AV34,'step-by-step'!AV34:AY34,cot!AW34,rci!AW34)</f>
        <v>0.27272727272727271</v>
      </c>
      <c r="O5" s="83">
        <f>MAX(alpaca!AZ34,baseline!AZ34,persona!AZ34,'strict-no-guessing'!AZ34:BC34,'Self-review-postfix'!AZ34:BC34,'schema-guided'!AZ34:BC34,checklist!AZ34,'step-by-step'!AZ34:BC34,cot!BA34,rci!BA34)</f>
        <v>0.9375</v>
      </c>
      <c r="P5" s="83">
        <f>MAX(alpaca!BD34,baseline!BD34,persona!BD34,'strict-no-guessing'!BD34:BG34,'Self-review-postfix'!BD34:BG34,'schema-guided'!BD34:BG34,checklist!BD34,'step-by-step'!BD34:BG34,cot!BE34,rci!BE34)</f>
        <v>1</v>
      </c>
      <c r="Q5" s="83">
        <f>MAX(alpaca!BH34,baseline!BH34,persona!BH34,'strict-no-guessing'!BH34:BK34,'Self-review-postfix'!BH34:BK34,'schema-guided'!BH34:BK34,checklist!BH34,'step-by-step'!BH34:BK34,cot!BI34,rci!BI34)</f>
        <v>1</v>
      </c>
      <c r="R5" s="83">
        <f>MAX(alpaca!BL34,baseline!BL34,persona!BL34,'strict-no-guessing'!BL34:BO34,'Self-review-postfix'!BL34:BO34,'schema-guided'!BL34:BO34,checklist!BL34,'step-by-step'!BL34:BO34,cot!BM34,rci!BM34)</f>
        <v>1</v>
      </c>
      <c r="S5" s="84">
        <f>MAX(alpaca!BP34,baseline!BP34,'strict-no-guessing'!BP34:BS34,persona!BP34,'Self-review-postfix'!BP34:BS34,'schema-guided'!BP34:BS34,checklist!BP34,cot!BQ34,rci!BQ34,'step-by-step'!BP34:BS34)</f>
        <v>1</v>
      </c>
    </row>
    <row r="6" spans="1:19" ht="14.5" customHeight="1" thickTop="1" x14ac:dyDescent="0.35">
      <c r="A6" s="89" t="s">
        <v>8</v>
      </c>
      <c r="B6" s="79" t="s">
        <v>106</v>
      </c>
      <c r="C6" s="79">
        <f>MIN(alpaca!D35,baseline!D35,persona!D35,'strict-no-guessing'!D35:G35,'Self-review-postfix'!D35:G35,'schema-guided'!D35:G35,checklist!D35,'step-by-step'!D35:G35,cot!E35,rci!E35)</f>
        <v>0.98630136986301375</v>
      </c>
      <c r="D6" s="79">
        <f>MIN(alpaca!H35,baseline!H35,persona!H35,'strict-no-guessing'!H35:K35,'Self-review-postfix'!H35:K35,'schema-guided'!H35:K35,checklist!H35,'step-by-step'!H35:K35,cot!I35,rci!I35)</f>
        <v>0.4</v>
      </c>
      <c r="E6" s="79">
        <f>MIN(alpaca!L35,baseline!L35,persona!L35,'strict-no-guessing'!L35:O35,'Self-review-postfix'!L35:O35,'schema-guided'!L35:O35,checklist!L35,'step-by-step'!L35:O35,cot!M35,rci!M35)</f>
        <v>0.66666666666666663</v>
      </c>
      <c r="F6" s="79">
        <f>MIN(alpaca!P35,baseline!P35,persona!P35,'strict-no-guessing'!P35:S35,'Self-review-postfix'!P35:S35,'schema-guided'!P35:S35,checklist!P35,'step-by-step'!P35:S35,cot!Q35,rci!Q35)</f>
        <v>0.92565947242206248</v>
      </c>
      <c r="G6" s="79">
        <f>MIN(alpaca!T35,baseline!T35,persona!T35,'strict-no-guessing'!T35:W35,'Self-review-postfix'!T35:W35,'schema-guided'!T35:W35,checklist!T35,'step-by-step'!T35:W35,cot!U35,rci!U35)</f>
        <v>0.27184466019417475</v>
      </c>
      <c r="H6" s="80">
        <f>MIN(alpaca!X35,baseline!X35,persona!X35,'strict-no-guessing'!X35:AA35,'Self-review-postfix'!X35:AA35,'schema-guided'!X35:AA35,checklist!X35,'step-by-step'!X35:AA35,cot!Y35,rci!Y35)</f>
        <v>0.83116883116883122</v>
      </c>
      <c r="I6" s="80">
        <f>MIN(alpaca!AB35,baseline!AB35,persona!AB35,'strict-no-guessing'!AB35:AE35,'Self-review-postfix'!AB35:AE35,'schema-guided'!AB35:AE35,checklist!AB35,'step-by-step'!AB35:AE35,cot!AC35,rci!AC35)</f>
        <v>0.65116279069767435</v>
      </c>
      <c r="J6" s="80">
        <f>MIN(alpaca!AF35,baseline!AF35,persona!AF35,'strict-no-guessing'!AF35:AI35,'Self-review-postfix'!AF35:AI35,'schema-guided'!AF35:AI35,checklist!AF35,'step-by-step'!AF35:AI35,cot!AG35,rci!AG35)</f>
        <v>0.2857142857142857</v>
      </c>
      <c r="K6" s="80">
        <f>MIN(alpaca!AJ35,baseline!AJ35,persona!AJ35,'strict-no-guessing'!AJ35:AM35,'Self-review-postfix'!AJ35:AM35,'schema-guided'!AJ35:AM35,checklist!AJ35,'step-by-step'!AJ35:AM35,cot!AK35,rci!AK35)</f>
        <v>0.93617021276595747</v>
      </c>
      <c r="L6" s="80">
        <f>MIN(alpaca!AN35,baseline!AN35,persona!AN35,'strict-no-guessing'!AN35:AQ35,'Self-review-postfix'!AN35:AQ35,'schema-guided'!AN35:AQ35,checklist!AN35,'step-by-step'!AN35:AQ35,cot!AO35,rci!AO35)</f>
        <v>0.4</v>
      </c>
      <c r="M6" s="80">
        <f>MIN(alpaca!AR35,baseline!AR35,persona!AR35,'strict-no-guessing'!AR35:AU35,'Self-review-postfix'!AR35:AU35,'schema-guided'!AR35:AU35,checklist!AR35,'step-by-step'!AR35:AU35,cot!AS35,rci!AS35)</f>
        <v>0</v>
      </c>
      <c r="N6" s="80">
        <f>MIN(alpaca!AV35,baseline!AV35,persona!AV35,'strict-no-guessing'!AV35:AY35,'Self-review-postfix'!AV35:AY35,'schema-guided'!AV35:AY35,checklist!AV35,'step-by-step'!AV35:AY35,cot!AW35,rci!AW35)</f>
        <v>0</v>
      </c>
      <c r="O6" s="80">
        <f>MIN(alpaca!AZ35,baseline!AZ35,persona!AZ35,'strict-no-guessing'!AZ35:BC35,'Self-review-postfix'!AZ35:BC35,'schema-guided'!AZ35:BC35,checklist!AZ35,'step-by-step'!AZ35:BC35,cot!BA35,rci!BA35)</f>
        <v>0.81632653061224492</v>
      </c>
      <c r="P6" s="80">
        <f>MIN(alpaca!BD35,baseline!BD35,persona!BD35,'strict-no-guessing'!BD35:BG35,'Self-review-postfix'!BD35:BG35,'schema-guided'!BD35:BG35,checklist!BD35,'step-by-step'!BD35:BG35,cot!BE35,rci!BE35)</f>
        <v>0.4</v>
      </c>
      <c r="Q6" s="80">
        <f>MIN(alpaca!BH35,baseline!BH35,persona!BH35,'strict-no-guessing'!BH35:BK35,'Self-review-postfix'!BH35:BK35,'schema-guided'!BH35:BK35,checklist!BH35,'step-by-step'!BH35:BK35,cot!BI35,rci!BI35)</f>
        <v>0.1</v>
      </c>
      <c r="R6" s="80">
        <f>MIN(alpaca!BL35,baseline!BL35,persona!BL35,'strict-no-guessing'!BL35:BO35,'Self-review-postfix'!BL35:BO35,'schema-guided'!BL35:BO35,checklist!BL35,'step-by-step'!BL35:BO35,cot!BM35,rci!BM35)</f>
        <v>5.7692307692307696E-2</v>
      </c>
      <c r="S6" s="81">
        <f>MIN(alpaca!BP35,baseline!BP35,'strict-no-guessing'!BP35:BS35,persona!BP35,'Self-review-postfix'!BP35:BS35,'schema-guided'!BP35:BS35,checklist!BP35,cot!BQ35,rci!BQ35,'step-by-step'!BP35:BS35)</f>
        <v>0.28571428571428575</v>
      </c>
    </row>
    <row r="7" spans="1:19" ht="14.5" customHeight="1" thickBot="1" x14ac:dyDescent="0.4">
      <c r="A7" s="90"/>
      <c r="B7" s="82" t="s">
        <v>107</v>
      </c>
      <c r="C7" s="82">
        <f>MAX(alpaca!D35,baseline!D35,persona!D35,'strict-no-guessing'!D35:G35,'Self-review-postfix'!D35:G35,'schema-guided'!D35:G35,checklist!D35,'step-by-step'!D35:G35,cot!E35,rci!E35)</f>
        <v>1</v>
      </c>
      <c r="D7" s="82">
        <f>MAX(alpaca!H35,baseline!H35,persona!H35,'strict-no-guessing'!H35:K35,'Self-review-postfix'!H35:K35,'schema-guided'!H35:K35,checklist!H35,'step-by-step'!H35:K35,cot!I35,rci!I35)</f>
        <v>1</v>
      </c>
      <c r="E7" s="82">
        <f>MAX(alpaca!L35,baseline!L35,persona!L35,'strict-no-guessing'!L35:O35,'Self-review-postfix'!L35:O35,'schema-guided'!L35:O35,checklist!L35,'step-by-step'!L35:O35,cot!M35,rci!M35)</f>
        <v>1</v>
      </c>
      <c r="F7" s="82">
        <f>MAX(alpaca!P35,baseline!P35,persona!P35,'strict-no-guessing'!P35:S35,'Self-review-postfix'!P35:S35,'schema-guided'!P35:S35,checklist!P35,'step-by-step'!P35:S35,cot!Q35,rci!Q35)</f>
        <v>0.97560975609756095</v>
      </c>
      <c r="G7" s="82">
        <f>MAX(alpaca!T35,baseline!T35,persona!T35,'strict-no-guessing'!T35:W35,'Self-review-postfix'!T35:W35,'schema-guided'!T35:W35,checklist!T35,'step-by-step'!T35:W35,cot!U35,rci!U35)</f>
        <v>0.68965517241379304</v>
      </c>
      <c r="H7" s="83">
        <f>MAX(alpaca!X35,baseline!X35,persona!X35,'strict-no-guessing'!X35:AA35,'Self-review-postfix'!X35:AA35,'schema-guided'!X35:AA35,checklist!X35,'step-by-step'!X35:AA35,cot!Y35,rci!Y35)</f>
        <v>1</v>
      </c>
      <c r="I7" s="83">
        <f>MAX(alpaca!AB35,baseline!AB35,persona!AB35,'strict-no-guessing'!AB35:AE35,'Self-review-postfix'!AB35:AE35,'schema-guided'!AB35:AE35,checklist!AB35,'step-by-step'!AB35:AE35,cot!AC35,rci!AC35)</f>
        <v>1</v>
      </c>
      <c r="J7" s="83">
        <f>MAX(alpaca!AF35,baseline!AF35,persona!AF35,'strict-no-guessing'!AF35:AI35,'Self-review-postfix'!AF35:AI35,'schema-guided'!AF35:AI35,checklist!AF35,'step-by-step'!AF35:AI35,cot!AG35,rci!AG35)</f>
        <v>0.90909090909090906</v>
      </c>
      <c r="K7" s="83">
        <f>MAX(alpaca!AJ35,baseline!AJ35,persona!AJ35,'strict-no-guessing'!AJ35:AM35,'Self-review-postfix'!AJ35:AM35,'schema-guided'!AJ35:AM35,checklist!AJ35,'step-by-step'!AJ35:AM35,cot!AK35,rci!AK35)</f>
        <v>1</v>
      </c>
      <c r="L7" s="83">
        <f>MAX(alpaca!AN35,baseline!AN35,persona!AN35,'strict-no-guessing'!AN35:AQ35,'Self-review-postfix'!AN35:AQ35,'schema-guided'!AN35:AQ35,checklist!AN35,'step-by-step'!AN35:AQ35,cot!AO35,rci!AO35)</f>
        <v>1</v>
      </c>
      <c r="M7" s="83">
        <f>MAX(alpaca!AR35,baseline!AR35,persona!AR35,'strict-no-guessing'!AR35:AU35,'Self-review-postfix'!AR35:AU35,'schema-guided'!AR35:AU35,checklist!AR35,'step-by-step'!AR35:AU35,cot!AS35,rci!AS35)</f>
        <v>0.55555555555555558</v>
      </c>
      <c r="N7" s="83">
        <f>MAX(alpaca!AV35,baseline!AV35,persona!AV35,'strict-no-guessing'!AV35:AY35,'Self-review-postfix'!AV35:AY35,'schema-guided'!AV35:AY35,checklist!AV35,'step-by-step'!AV35:AY35,cot!AW35,rci!AW35)</f>
        <v>0.39999999999999997</v>
      </c>
      <c r="O7" s="83">
        <f>MAX(alpaca!AZ35,baseline!AZ35,persona!AZ35,'strict-no-guessing'!AZ35:BC35,'Self-review-postfix'!AZ35:BC35,'schema-guided'!AZ35:BC35,checklist!AZ35,'step-by-step'!AZ35:BC35,cot!BA35,rci!BA35)</f>
        <v>0.95744680851063835</v>
      </c>
      <c r="P7" s="83">
        <f>MAX(alpaca!BD35,baseline!BD35,persona!BD35,'strict-no-guessing'!BD35:BG35,'Self-review-postfix'!BD35:BG35,'schema-guided'!BD35:BG35,checklist!BD35,'step-by-step'!BD35:BG35,cot!BE35,rci!BE35)</f>
        <v>1</v>
      </c>
      <c r="Q7" s="83">
        <f>MAX(alpaca!BH35,baseline!BH35,persona!BH35,'strict-no-guessing'!BH35:BK35,'Self-review-postfix'!BH35:BK35,'schema-guided'!BH35:BK35,checklist!BH35,'step-by-step'!BH35:BK35,cot!BI35,rci!BI35)</f>
        <v>0.8571428571428571</v>
      </c>
      <c r="R7" s="83">
        <f>MAX(alpaca!BL35,baseline!BL35,persona!BL35,'strict-no-guessing'!BL35:BO35,'Self-review-postfix'!BL35:BO35,'schema-guided'!BL35:BO35,checklist!BL35,'step-by-step'!BL35:BO35,cot!BM35,rci!BM35)</f>
        <v>0.38095238095238099</v>
      </c>
      <c r="S7" s="84">
        <f>MAX(alpaca!BP35,baseline!BP35,'strict-no-guessing'!BP35:BS35,persona!BP35,'Self-review-postfix'!BP35:BS35,'schema-guided'!BP35:BS35,checklist!BP35,cot!BQ35,rci!BQ35,'step-by-step'!BP35:BS35)</f>
        <v>0.625</v>
      </c>
    </row>
    <row r="8" spans="1:19" ht="15" thickTop="1" x14ac:dyDescent="0.35"/>
  </sheetData>
  <mergeCells count="3">
    <mergeCell ref="A2:A3"/>
    <mergeCell ref="A4:A5"/>
    <mergeCell ref="A6: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alpaca</vt:lpstr>
      <vt:lpstr>baseline</vt:lpstr>
      <vt:lpstr>persona</vt:lpstr>
      <vt:lpstr>strict-no-guessing</vt:lpstr>
      <vt:lpstr>Self-review-postfix</vt:lpstr>
      <vt:lpstr>schema-guided</vt:lpstr>
      <vt:lpstr>checklist</vt:lpstr>
      <vt:lpstr>step-by-step</vt:lpstr>
      <vt:lpstr>cot</vt:lpstr>
      <vt:lpstr>rci</vt:lpstr>
      <vt:lpstr>Summery</vt:lpstr>
      <vt:lpstr>Summery-metric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hmy</dc:creator>
  <cp:lastModifiedBy>A hmy</cp:lastModifiedBy>
  <dcterms:created xsi:type="dcterms:W3CDTF">2026-08-03T13:23:19Z</dcterms:created>
  <dcterms:modified xsi:type="dcterms:W3CDTF">2026-09-19T10:23:55Z</dcterms:modified>
</cp:coreProperties>
</file>