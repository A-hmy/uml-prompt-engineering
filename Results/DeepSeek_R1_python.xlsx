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IUT university\project\UML_Prompt\uml-prompt-engineering\Results\"/>
    </mc:Choice>
  </mc:AlternateContent>
  <xr:revisionPtr revIDLastSave="0" documentId="13_ncr:1_{944B0251-7F33-4FFE-87CD-4891FEC26D6A}" xr6:coauthVersionLast="47" xr6:coauthVersionMax="47" xr10:uidLastSave="{00000000-0000-0000-0000-000000000000}"/>
  <bookViews>
    <workbookView xWindow="-110" yWindow="-110" windowWidth="25820" windowHeight="15500" tabRatio="1000" activeTab="10" xr2:uid="{2DDB57EF-7D7A-4D49-9955-7E4C1633127E}"/>
  </bookViews>
  <sheets>
    <sheet name="alpaca" sheetId="1" r:id="rId1"/>
    <sheet name="baseline" sheetId="2" r:id="rId2"/>
    <sheet name="persona" sheetId="4" r:id="rId3"/>
    <sheet name="strict-no-guessing" sheetId="5" r:id="rId4"/>
    <sheet name="Self-review-postfix" sheetId="8" r:id="rId5"/>
    <sheet name="schema-guided" sheetId="3" r:id="rId6"/>
    <sheet name="checklist" sheetId="6" r:id="rId7"/>
    <sheet name="step-by-step" sheetId="9" r:id="rId8"/>
    <sheet name="cot" sheetId="10" r:id="rId9"/>
    <sheet name="rci" sheetId="11" r:id="rId10"/>
    <sheet name="Summery" sheetId="13" r:id="rId11"/>
    <sheet name="Summery_metric" sheetId="14"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37" i="10" l="1"/>
  <c r="I39" i="10" s="1"/>
  <c r="M37" i="10"/>
  <c r="M39" i="10" s="1"/>
  <c r="Q37" i="10"/>
  <c r="Q39" i="10" s="1"/>
  <c r="U37" i="10"/>
  <c r="U39" i="10" s="1"/>
  <c r="Y37" i="10"/>
  <c r="Y39" i="10" s="1"/>
  <c r="AC37" i="10"/>
  <c r="AC39" i="10" s="1"/>
  <c r="AG37" i="10"/>
  <c r="AG39" i="10" s="1"/>
  <c r="AK37" i="10"/>
  <c r="AK39" i="10" s="1"/>
  <c r="AO37" i="10"/>
  <c r="AS37" i="10"/>
  <c r="AW37" i="10"/>
  <c r="BA37" i="10"/>
  <c r="BE37" i="10"/>
  <c r="BI37" i="10"/>
  <c r="BM37" i="10"/>
  <c r="BQ37" i="10"/>
  <c r="I38" i="10"/>
  <c r="M38" i="10"/>
  <c r="Q38" i="10"/>
  <c r="U38" i="10"/>
  <c r="Y38" i="10"/>
  <c r="AC38" i="10"/>
  <c r="AG38" i="10"/>
  <c r="AK38" i="10"/>
  <c r="AO38" i="10"/>
  <c r="AO39" i="10" s="1"/>
  <c r="AS38" i="10"/>
  <c r="AS39" i="10" s="1"/>
  <c r="AW38" i="10"/>
  <c r="AW39" i="10" s="1"/>
  <c r="BA38" i="10"/>
  <c r="BA39" i="10" s="1"/>
  <c r="BE38" i="10"/>
  <c r="BI38" i="10"/>
  <c r="BM38" i="10"/>
  <c r="BQ38" i="10"/>
  <c r="BE39" i="10"/>
  <c r="BI39" i="10"/>
  <c r="BM39" i="10"/>
  <c r="BQ39" i="10"/>
  <c r="E39" i="10"/>
  <c r="D39" i="3"/>
  <c r="H37" i="2"/>
  <c r="L37" i="2"/>
  <c r="P37" i="2"/>
  <c r="T37" i="2"/>
  <c r="X37" i="2"/>
  <c r="AB37" i="2"/>
  <c r="AF37" i="2"/>
  <c r="AJ37" i="2"/>
  <c r="AN37" i="2"/>
  <c r="AN39" i="2" s="1"/>
  <c r="AR37" i="2"/>
  <c r="AR39" i="2" s="1"/>
  <c r="AV37" i="2"/>
  <c r="AV39" i="2" s="1"/>
  <c r="AZ37" i="2"/>
  <c r="AZ39" i="2" s="1"/>
  <c r="BD37" i="2"/>
  <c r="BD39" i="2" s="1"/>
  <c r="BH37" i="2"/>
  <c r="BH39" i="2" s="1"/>
  <c r="BL37" i="2"/>
  <c r="BL39" i="2" s="1"/>
  <c r="BP37" i="2"/>
  <c r="BP39" i="2" s="1"/>
  <c r="H38" i="2"/>
  <c r="H39" i="2" s="1"/>
  <c r="L38" i="2"/>
  <c r="L39" i="2" s="1"/>
  <c r="P38" i="2"/>
  <c r="P39" i="2" s="1"/>
  <c r="T38" i="2"/>
  <c r="T39" i="2" s="1"/>
  <c r="X38" i="2"/>
  <c r="AB38" i="2"/>
  <c r="AF38" i="2"/>
  <c r="AJ38" i="2"/>
  <c r="AN38" i="2"/>
  <c r="AR38" i="2"/>
  <c r="AV38" i="2"/>
  <c r="AZ38" i="2"/>
  <c r="BD38" i="2"/>
  <c r="BH38" i="2"/>
  <c r="BL38" i="2"/>
  <c r="BP38" i="2"/>
  <c r="X39" i="2"/>
  <c r="AB39" i="2"/>
  <c r="AF39" i="2"/>
  <c r="AJ39" i="2"/>
  <c r="H37" i="4"/>
  <c r="H39" i="4" s="1"/>
  <c r="L37" i="4"/>
  <c r="L39" i="4" s="1"/>
  <c r="P37" i="4"/>
  <c r="P39" i="4" s="1"/>
  <c r="T37" i="4"/>
  <c r="T39" i="4" s="1"/>
  <c r="X37" i="4"/>
  <c r="X39" i="4" s="1"/>
  <c r="AB37" i="4"/>
  <c r="AB39" i="4" s="1"/>
  <c r="AF37" i="4"/>
  <c r="AF39" i="4" s="1"/>
  <c r="AJ37" i="4"/>
  <c r="AJ39" i="4" s="1"/>
  <c r="AN37" i="4"/>
  <c r="AN39" i="4" s="1"/>
  <c r="AR37" i="4"/>
  <c r="AR39" i="4" s="1"/>
  <c r="AV37" i="4"/>
  <c r="AV39" i="4" s="1"/>
  <c r="AZ37" i="4"/>
  <c r="AZ39" i="4" s="1"/>
  <c r="BD37" i="4"/>
  <c r="BH37" i="4"/>
  <c r="BL37" i="4"/>
  <c r="BP37" i="4"/>
  <c r="H38" i="4"/>
  <c r="L38" i="4"/>
  <c r="P38" i="4"/>
  <c r="T38" i="4"/>
  <c r="X38" i="4"/>
  <c r="AB38" i="4"/>
  <c r="AF38" i="4"/>
  <c r="AJ38" i="4"/>
  <c r="AN38" i="4"/>
  <c r="AR38" i="4"/>
  <c r="AV38" i="4"/>
  <c r="AZ38" i="4"/>
  <c r="BD38" i="4"/>
  <c r="BD39" i="4" s="1"/>
  <c r="BH38" i="4"/>
  <c r="BH39" i="4" s="1"/>
  <c r="BL38" i="4"/>
  <c r="BL39" i="4" s="1"/>
  <c r="BP38" i="4"/>
  <c r="BP39" i="4" s="1"/>
  <c r="H37" i="5"/>
  <c r="H39" i="5" s="1"/>
  <c r="L37" i="5"/>
  <c r="L39" i="5" s="1"/>
  <c r="P37" i="5"/>
  <c r="P39" i="5" s="1"/>
  <c r="T37" i="5"/>
  <c r="T39" i="5" s="1"/>
  <c r="X37" i="5"/>
  <c r="AB37" i="5"/>
  <c r="AF37" i="5"/>
  <c r="AJ37" i="5"/>
  <c r="AN37" i="5"/>
  <c r="AR37" i="5"/>
  <c r="AV37" i="5"/>
  <c r="AZ37" i="5"/>
  <c r="BD37" i="5"/>
  <c r="BD39" i="5" s="1"/>
  <c r="BH37" i="5"/>
  <c r="BH39" i="5" s="1"/>
  <c r="BL37" i="5"/>
  <c r="BL39" i="5" s="1"/>
  <c r="BP37" i="5"/>
  <c r="BP39" i="5" s="1"/>
  <c r="H38" i="5"/>
  <c r="L38" i="5"/>
  <c r="P38" i="5"/>
  <c r="T38" i="5"/>
  <c r="X38" i="5"/>
  <c r="X39" i="5" s="1"/>
  <c r="AB38" i="5"/>
  <c r="AB39" i="5" s="1"/>
  <c r="AF38" i="5"/>
  <c r="AF39" i="5" s="1"/>
  <c r="AJ38" i="5"/>
  <c r="AJ39" i="5" s="1"/>
  <c r="AN38" i="5"/>
  <c r="AR38" i="5"/>
  <c r="AV38" i="5"/>
  <c r="AZ38" i="5"/>
  <c r="BD38" i="5"/>
  <c r="BH38" i="5"/>
  <c r="BL38" i="5"/>
  <c r="BP38" i="5"/>
  <c r="AN39" i="5"/>
  <c r="AR39" i="5"/>
  <c r="AV39" i="5"/>
  <c r="AZ39" i="5"/>
  <c r="H37" i="8"/>
  <c r="L37" i="8"/>
  <c r="P37" i="8"/>
  <c r="T37" i="8"/>
  <c r="X37" i="8"/>
  <c r="X39" i="8" s="1"/>
  <c r="AB37" i="8"/>
  <c r="AB39" i="8" s="1"/>
  <c r="AF37" i="8"/>
  <c r="AF39" i="8" s="1"/>
  <c r="AJ37" i="8"/>
  <c r="AJ39" i="8" s="1"/>
  <c r="AN37" i="8"/>
  <c r="AN39" i="8" s="1"/>
  <c r="AR37" i="8"/>
  <c r="AR39" i="8" s="1"/>
  <c r="AV37" i="8"/>
  <c r="AV39" i="8" s="1"/>
  <c r="AZ37" i="8"/>
  <c r="AZ39" i="8" s="1"/>
  <c r="BD37" i="8"/>
  <c r="BD39" i="8" s="1"/>
  <c r="BH37" i="8"/>
  <c r="BH39" i="8" s="1"/>
  <c r="BL37" i="8"/>
  <c r="BL39" i="8" s="1"/>
  <c r="BP37" i="8"/>
  <c r="BP39" i="8" s="1"/>
  <c r="H38" i="8"/>
  <c r="L38" i="8"/>
  <c r="P38" i="8"/>
  <c r="T38" i="8"/>
  <c r="X38" i="8"/>
  <c r="AB38" i="8"/>
  <c r="AF38" i="8"/>
  <c r="AJ38" i="8"/>
  <c r="AN38" i="8"/>
  <c r="AR38" i="8"/>
  <c r="AV38" i="8"/>
  <c r="AZ38" i="8"/>
  <c r="BD38" i="8"/>
  <c r="BH38" i="8"/>
  <c r="BL38" i="8"/>
  <c r="BP38" i="8"/>
  <c r="H39" i="8"/>
  <c r="L39" i="8"/>
  <c r="P39" i="8"/>
  <c r="T39" i="8"/>
  <c r="H37" i="3"/>
  <c r="H39" i="3" s="1"/>
  <c r="L37" i="3"/>
  <c r="L39" i="3" s="1"/>
  <c r="P37" i="3"/>
  <c r="P39" i="3" s="1"/>
  <c r="T37" i="3"/>
  <c r="T39" i="3" s="1"/>
  <c r="X37" i="3"/>
  <c r="X39" i="3" s="1"/>
  <c r="AB37" i="3"/>
  <c r="AB39" i="3" s="1"/>
  <c r="AF37" i="3"/>
  <c r="AF39" i="3" s="1"/>
  <c r="AJ37" i="3"/>
  <c r="AJ39" i="3" s="1"/>
  <c r="AN37" i="3"/>
  <c r="AR37" i="3"/>
  <c r="AV37" i="3"/>
  <c r="AZ37" i="3"/>
  <c r="BD37" i="3"/>
  <c r="BH37" i="3"/>
  <c r="BL37" i="3"/>
  <c r="BP37" i="3"/>
  <c r="H38" i="3"/>
  <c r="L38" i="3"/>
  <c r="P38" i="3"/>
  <c r="T38" i="3"/>
  <c r="X38" i="3"/>
  <c r="AB38" i="3"/>
  <c r="AF38" i="3"/>
  <c r="AJ38" i="3"/>
  <c r="AN38" i="3"/>
  <c r="AN39" i="3" s="1"/>
  <c r="AR38" i="3"/>
  <c r="AR39" i="3" s="1"/>
  <c r="AV38" i="3"/>
  <c r="AV39" i="3" s="1"/>
  <c r="AZ38" i="3"/>
  <c r="AZ39" i="3" s="1"/>
  <c r="BD38" i="3"/>
  <c r="BH38" i="3"/>
  <c r="BL38" i="3"/>
  <c r="BP38" i="3"/>
  <c r="BD39" i="3"/>
  <c r="BH39" i="3"/>
  <c r="BL39" i="3"/>
  <c r="BP39" i="3"/>
  <c r="H37" i="6"/>
  <c r="L37" i="6"/>
  <c r="P37" i="6"/>
  <c r="T37" i="6"/>
  <c r="X37" i="6"/>
  <c r="AB37" i="6"/>
  <c r="AF37" i="6"/>
  <c r="AJ37" i="6"/>
  <c r="AN37" i="6"/>
  <c r="AN39" i="6" s="1"/>
  <c r="AR37" i="6"/>
  <c r="AR39" i="6" s="1"/>
  <c r="AV37" i="6"/>
  <c r="AV39" i="6" s="1"/>
  <c r="AZ37" i="6"/>
  <c r="AZ39" i="6" s="1"/>
  <c r="BD37" i="6"/>
  <c r="BD39" i="6" s="1"/>
  <c r="BH37" i="6"/>
  <c r="BH39" i="6" s="1"/>
  <c r="BL37" i="6"/>
  <c r="BL39" i="6" s="1"/>
  <c r="BP37" i="6"/>
  <c r="BP39" i="6" s="1"/>
  <c r="H38" i="6"/>
  <c r="H39" i="6" s="1"/>
  <c r="L38" i="6"/>
  <c r="L39" i="6" s="1"/>
  <c r="P38" i="6"/>
  <c r="P39" i="6" s="1"/>
  <c r="T38" i="6"/>
  <c r="T39" i="6" s="1"/>
  <c r="X38" i="6"/>
  <c r="AB38" i="6"/>
  <c r="AF38" i="6"/>
  <c r="AJ38" i="6"/>
  <c r="AN38" i="6"/>
  <c r="AR38" i="6"/>
  <c r="AV38" i="6"/>
  <c r="AZ38" i="6"/>
  <c r="BD38" i="6"/>
  <c r="BH38" i="6"/>
  <c r="BL38" i="6"/>
  <c r="BP38" i="6"/>
  <c r="X39" i="6"/>
  <c r="AB39" i="6"/>
  <c r="AF39" i="6"/>
  <c r="AJ39" i="6"/>
  <c r="H37" i="9"/>
  <c r="H39" i="9" s="1"/>
  <c r="L37" i="9"/>
  <c r="L39" i="9" s="1"/>
  <c r="P37" i="9"/>
  <c r="P39" i="9" s="1"/>
  <c r="T37" i="9"/>
  <c r="T39" i="9" s="1"/>
  <c r="X37" i="9"/>
  <c r="X39" i="9" s="1"/>
  <c r="AB37" i="9"/>
  <c r="AB39" i="9" s="1"/>
  <c r="AF37" i="9"/>
  <c r="AF39" i="9" s="1"/>
  <c r="AJ37" i="9"/>
  <c r="AJ39" i="9" s="1"/>
  <c r="AN37" i="9"/>
  <c r="AN39" i="9" s="1"/>
  <c r="AR37" i="9"/>
  <c r="AR39" i="9" s="1"/>
  <c r="AV37" i="9"/>
  <c r="AV39" i="9" s="1"/>
  <c r="AZ37" i="9"/>
  <c r="AZ39" i="9" s="1"/>
  <c r="BD37" i="9"/>
  <c r="BH37" i="9"/>
  <c r="BL37" i="9"/>
  <c r="BP37" i="9"/>
  <c r="H38" i="9"/>
  <c r="L38" i="9"/>
  <c r="P38" i="9"/>
  <c r="T38" i="9"/>
  <c r="X38" i="9"/>
  <c r="AB38" i="9"/>
  <c r="AF38" i="9"/>
  <c r="AJ38" i="9"/>
  <c r="AN38" i="9"/>
  <c r="AR38" i="9"/>
  <c r="AV38" i="9"/>
  <c r="AZ38" i="9"/>
  <c r="BD38" i="9"/>
  <c r="BD39" i="9" s="1"/>
  <c r="BH38" i="9"/>
  <c r="BH39" i="9" s="1"/>
  <c r="BL38" i="9"/>
  <c r="BL39" i="9" s="1"/>
  <c r="BP38" i="9"/>
  <c r="BP39" i="9" s="1"/>
  <c r="H37" i="1"/>
  <c r="H39" i="1" s="1"/>
  <c r="L37" i="1"/>
  <c r="L39" i="1" s="1"/>
  <c r="P37" i="1"/>
  <c r="P39" i="1" s="1"/>
  <c r="T37" i="1"/>
  <c r="T39" i="1" s="1"/>
  <c r="X37" i="1"/>
  <c r="AB37" i="1"/>
  <c r="AF37" i="1"/>
  <c r="AJ37" i="1"/>
  <c r="AN37" i="1"/>
  <c r="AR37" i="1"/>
  <c r="AV37" i="1"/>
  <c r="AZ37" i="1"/>
  <c r="BD37" i="1"/>
  <c r="BD39" i="1" s="1"/>
  <c r="BH37" i="1"/>
  <c r="BH39" i="1" s="1"/>
  <c r="BL37" i="1"/>
  <c r="BL39" i="1" s="1"/>
  <c r="BP37" i="1"/>
  <c r="BP39" i="1" s="1"/>
  <c r="H38" i="1"/>
  <c r="L38" i="1"/>
  <c r="P38" i="1"/>
  <c r="T38" i="1"/>
  <c r="X38" i="1"/>
  <c r="X39" i="1" s="1"/>
  <c r="AB38" i="1"/>
  <c r="AB39" i="1" s="1"/>
  <c r="AF38" i="1"/>
  <c r="AF39" i="1" s="1"/>
  <c r="AJ38" i="1"/>
  <c r="AJ39" i="1" s="1"/>
  <c r="AN38" i="1"/>
  <c r="AR38" i="1"/>
  <c r="AV38" i="1"/>
  <c r="AZ38" i="1"/>
  <c r="BD38" i="1"/>
  <c r="BH38" i="1"/>
  <c r="BL38" i="1"/>
  <c r="BP38" i="1"/>
  <c r="AN39" i="1"/>
  <c r="AR39" i="1"/>
  <c r="AV39" i="1"/>
  <c r="AZ39" i="1"/>
  <c r="D39" i="2"/>
  <c r="D39" i="4"/>
  <c r="D39" i="5"/>
  <c r="D39" i="8"/>
  <c r="D39" i="6"/>
  <c r="D39" i="9"/>
  <c r="D39" i="1"/>
  <c r="D37" i="2" l="1"/>
  <c r="D37" i="4"/>
  <c r="D37" i="5"/>
  <c r="D37" i="8"/>
  <c r="D37" i="3"/>
  <c r="D37" i="6"/>
  <c r="D37" i="9"/>
  <c r="D37" i="1"/>
  <c r="E38" i="10" l="1"/>
  <c r="E37" i="10"/>
  <c r="D38" i="2"/>
  <c r="D38" i="4"/>
  <c r="D38" i="5"/>
  <c r="D38" i="8"/>
  <c r="D38" i="3"/>
  <c r="D38" i="6"/>
  <c r="D38" i="9"/>
  <c r="D38" i="1"/>
  <c r="BT35" i="10" l="1"/>
  <c r="BS35" i="10"/>
  <c r="BR35" i="10"/>
  <c r="BQ35" i="10"/>
  <c r="BP35" i="10"/>
  <c r="BO35" i="10"/>
  <c r="BN35" i="10"/>
  <c r="BM35" i="10"/>
  <c r="BL35" i="10"/>
  <c r="BK35" i="10"/>
  <c r="BJ35" i="10"/>
  <c r="BI35" i="10"/>
  <c r="BH35" i="10"/>
  <c r="BG35" i="10"/>
  <c r="BF35" i="10"/>
  <c r="BE35" i="10"/>
  <c r="BD35" i="10"/>
  <c r="BC35" i="10"/>
  <c r="BB35" i="10"/>
  <c r="BA35" i="10"/>
  <c r="AZ35" i="10"/>
  <c r="AY35" i="10"/>
  <c r="AX35" i="10"/>
  <c r="AW35" i="10"/>
  <c r="AV35" i="10"/>
  <c r="AU35" i="10"/>
  <c r="AT35" i="10"/>
  <c r="AS35" i="10"/>
  <c r="AR35" i="10"/>
  <c r="AQ35" i="10"/>
  <c r="AP35" i="10"/>
  <c r="AO35" i="10"/>
  <c r="AN35" i="10"/>
  <c r="AM35" i="10"/>
  <c r="AL35" i="10"/>
  <c r="AK35" i="10"/>
  <c r="AJ35" i="10"/>
  <c r="AI35" i="10"/>
  <c r="AH35" i="10"/>
  <c r="AG35" i="10"/>
  <c r="AF35" i="10"/>
  <c r="AE35" i="10"/>
  <c r="AD35" i="10"/>
  <c r="AC35" i="10"/>
  <c r="AB35" i="10"/>
  <c r="AA35" i="10"/>
  <c r="Z35" i="10"/>
  <c r="Y35" i="10"/>
  <c r="X35" i="10"/>
  <c r="W35" i="10"/>
  <c r="V35" i="10"/>
  <c r="U35" i="10"/>
  <c r="T35" i="10"/>
  <c r="S35" i="10"/>
  <c r="R35" i="10"/>
  <c r="Q35" i="10"/>
  <c r="P35" i="10"/>
  <c r="O35" i="10"/>
  <c r="N35" i="10"/>
  <c r="M35" i="10"/>
  <c r="L35" i="10"/>
  <c r="K35" i="10"/>
  <c r="J35" i="10"/>
  <c r="I35" i="10"/>
  <c r="H35" i="10"/>
  <c r="G35" i="10"/>
  <c r="F35" i="10"/>
  <c r="E35" i="10"/>
  <c r="BS35" i="9"/>
  <c r="BR35" i="9"/>
  <c r="BQ35" i="9"/>
  <c r="BP35" i="9"/>
  <c r="BO35" i="9"/>
  <c r="BN35" i="9"/>
  <c r="BM35" i="9"/>
  <c r="BL35" i="9"/>
  <c r="BK35" i="9"/>
  <c r="BJ35" i="9"/>
  <c r="BI35" i="9"/>
  <c r="BH35" i="9"/>
  <c r="BG35" i="9"/>
  <c r="BF35" i="9"/>
  <c r="BE35" i="9"/>
  <c r="BD35" i="9"/>
  <c r="BC35" i="9"/>
  <c r="BB35" i="9"/>
  <c r="BA35" i="9"/>
  <c r="AZ35" i="9"/>
  <c r="AY35" i="9"/>
  <c r="AX35" i="9"/>
  <c r="AW35" i="9"/>
  <c r="AV35" i="9"/>
  <c r="AU35" i="9"/>
  <c r="AT35" i="9"/>
  <c r="AS35" i="9"/>
  <c r="AR35" i="9"/>
  <c r="AQ35" i="9"/>
  <c r="AP35" i="9"/>
  <c r="AO35" i="9"/>
  <c r="AN35" i="9"/>
  <c r="AM35" i="9"/>
  <c r="AL35" i="9"/>
  <c r="AK35" i="9"/>
  <c r="AJ35" i="9"/>
  <c r="AI35" i="9"/>
  <c r="AH35" i="9"/>
  <c r="AG35" i="9"/>
  <c r="AF35" i="9"/>
  <c r="AE35" i="9"/>
  <c r="AD35" i="9"/>
  <c r="AC35" i="9"/>
  <c r="AB35" i="9"/>
  <c r="AA35" i="9"/>
  <c r="Z35" i="9"/>
  <c r="Y35" i="9"/>
  <c r="X35" i="9"/>
  <c r="W35" i="9"/>
  <c r="V35" i="9"/>
  <c r="U35" i="9"/>
  <c r="T35" i="9"/>
  <c r="S35" i="9"/>
  <c r="R35" i="9"/>
  <c r="Q35" i="9"/>
  <c r="P35" i="9"/>
  <c r="O35" i="9"/>
  <c r="N35" i="9"/>
  <c r="M35" i="9"/>
  <c r="L35" i="9"/>
  <c r="K35" i="9"/>
  <c r="J35" i="9"/>
  <c r="I35" i="9"/>
  <c r="H35" i="9"/>
  <c r="G35" i="9"/>
  <c r="F35" i="9"/>
  <c r="E35" i="9"/>
  <c r="D35" i="9"/>
  <c r="BS35" i="6"/>
  <c r="BR35" i="6"/>
  <c r="BQ35" i="6"/>
  <c r="BP35" i="6"/>
  <c r="BO35" i="6"/>
  <c r="BN35" i="6"/>
  <c r="BM35" i="6"/>
  <c r="BL35" i="6"/>
  <c r="BK35" i="6"/>
  <c r="BJ35" i="6"/>
  <c r="BI35" i="6"/>
  <c r="BH35" i="6"/>
  <c r="BG35" i="6"/>
  <c r="BF35" i="6"/>
  <c r="BE35" i="6"/>
  <c r="BD35" i="6"/>
  <c r="BC35" i="6"/>
  <c r="BB35" i="6"/>
  <c r="BA35" i="6"/>
  <c r="AZ35" i="6"/>
  <c r="AY35" i="6"/>
  <c r="AX35" i="6"/>
  <c r="AW35" i="6"/>
  <c r="AV35" i="6"/>
  <c r="AU35" i="6"/>
  <c r="AT35" i="6"/>
  <c r="AS35" i="6"/>
  <c r="AR35" i="6"/>
  <c r="AQ35" i="6"/>
  <c r="AP35" i="6"/>
  <c r="AO35" i="6"/>
  <c r="AN35" i="6"/>
  <c r="AM35" i="6"/>
  <c r="AL35" i="6"/>
  <c r="AK35" i="6"/>
  <c r="AJ35" i="6"/>
  <c r="AI35" i="6"/>
  <c r="AH35" i="6"/>
  <c r="AG35" i="6"/>
  <c r="AF35" i="6"/>
  <c r="AE35" i="6"/>
  <c r="AD35" i="6"/>
  <c r="AC35" i="6"/>
  <c r="AB35" i="6"/>
  <c r="AA35" i="6"/>
  <c r="Z35" i="6"/>
  <c r="Y35" i="6"/>
  <c r="X35" i="6"/>
  <c r="W35" i="6"/>
  <c r="V35" i="6"/>
  <c r="U35" i="6"/>
  <c r="T35" i="6"/>
  <c r="S35" i="6"/>
  <c r="R35" i="6"/>
  <c r="Q35" i="6"/>
  <c r="P35" i="6"/>
  <c r="O35" i="6"/>
  <c r="N35" i="6"/>
  <c r="M35" i="6"/>
  <c r="L35" i="6"/>
  <c r="K35" i="6"/>
  <c r="J35" i="6"/>
  <c r="I35" i="6"/>
  <c r="H35" i="6"/>
  <c r="G35" i="6"/>
  <c r="F35" i="6"/>
  <c r="E35" i="6"/>
  <c r="D35" i="6"/>
  <c r="BS35" i="3"/>
  <c r="BR35" i="3"/>
  <c r="BQ35" i="3"/>
  <c r="BP35" i="3"/>
  <c r="BO35" i="3"/>
  <c r="BN35" i="3"/>
  <c r="BM35" i="3"/>
  <c r="BL35" i="3"/>
  <c r="BK35" i="3"/>
  <c r="BJ35" i="3"/>
  <c r="BI35" i="3"/>
  <c r="BH35" i="3"/>
  <c r="BG35" i="3"/>
  <c r="BF35" i="3"/>
  <c r="BE35" i="3"/>
  <c r="BD35" i="3"/>
  <c r="BC35" i="3"/>
  <c r="BB35" i="3"/>
  <c r="BA35" i="3"/>
  <c r="AZ35" i="3"/>
  <c r="AY35" i="3"/>
  <c r="AX35" i="3"/>
  <c r="AW35" i="3"/>
  <c r="AV35" i="3"/>
  <c r="AU35" i="3"/>
  <c r="AT35" i="3"/>
  <c r="AS35" i="3"/>
  <c r="AR35" i="3"/>
  <c r="AQ35" i="3"/>
  <c r="AP35" i="3"/>
  <c r="AO35" i="3"/>
  <c r="AN35" i="3"/>
  <c r="AM35" i="3"/>
  <c r="AL35" i="3"/>
  <c r="AK35" i="3"/>
  <c r="AJ35" i="3"/>
  <c r="AI35" i="3"/>
  <c r="AH35" i="3"/>
  <c r="AG35" i="3"/>
  <c r="AF35" i="3"/>
  <c r="AE35" i="3"/>
  <c r="AD35" i="3"/>
  <c r="AC35" i="3"/>
  <c r="AB35" i="3"/>
  <c r="AA35" i="3"/>
  <c r="Z35" i="3"/>
  <c r="Y35" i="3"/>
  <c r="X35" i="3"/>
  <c r="W35" i="3"/>
  <c r="V35" i="3"/>
  <c r="U35" i="3"/>
  <c r="T35" i="3"/>
  <c r="S35" i="3"/>
  <c r="R35" i="3"/>
  <c r="Q35" i="3"/>
  <c r="P35" i="3"/>
  <c r="O35" i="3"/>
  <c r="N35" i="3"/>
  <c r="M35" i="3"/>
  <c r="L35" i="3"/>
  <c r="K35" i="3"/>
  <c r="J35" i="3"/>
  <c r="I35" i="3"/>
  <c r="H35" i="3"/>
  <c r="G35" i="3"/>
  <c r="F35" i="3"/>
  <c r="E35" i="3"/>
  <c r="D35" i="3"/>
  <c r="BT35" i="11"/>
  <c r="BR35" i="11"/>
  <c r="BQ35" i="11"/>
  <c r="BP35" i="11"/>
  <c r="BN35" i="11"/>
  <c r="BM35" i="11"/>
  <c r="BL35" i="11"/>
  <c r="BJ35" i="11"/>
  <c r="BI35" i="11"/>
  <c r="BH35" i="11"/>
  <c r="BF35" i="11"/>
  <c r="BE35" i="11"/>
  <c r="BD35" i="11"/>
  <c r="BB35" i="11"/>
  <c r="BA35" i="11"/>
  <c r="AZ35" i="11"/>
  <c r="AX35" i="11"/>
  <c r="AW35" i="11"/>
  <c r="AV35" i="11"/>
  <c r="AT35" i="11"/>
  <c r="AS35" i="11"/>
  <c r="AR35" i="11"/>
  <c r="AP35" i="11"/>
  <c r="AO35" i="11"/>
  <c r="AN35" i="11"/>
  <c r="AL35" i="11"/>
  <c r="AK35" i="11"/>
  <c r="AJ35" i="11"/>
  <c r="AH35" i="11"/>
  <c r="AG35" i="11"/>
  <c r="AF35" i="11"/>
  <c r="AD35" i="11"/>
  <c r="AC35" i="11"/>
  <c r="AB35" i="11"/>
  <c r="Z35" i="11"/>
  <c r="Y35" i="11"/>
  <c r="X35" i="11"/>
  <c r="V35" i="11"/>
  <c r="U35" i="11"/>
  <c r="T35" i="11"/>
  <c r="R35" i="11"/>
  <c r="Q35" i="11"/>
  <c r="P35" i="11"/>
  <c r="N35" i="11"/>
  <c r="M35" i="11"/>
  <c r="L35" i="11"/>
  <c r="J35" i="11"/>
  <c r="I35" i="11"/>
  <c r="H35" i="11"/>
  <c r="F35" i="11"/>
  <c r="E35" i="11"/>
  <c r="BS35" i="8"/>
  <c r="BR35" i="8"/>
  <c r="BQ35" i="8"/>
  <c r="BP35" i="8"/>
  <c r="BO35" i="8"/>
  <c r="BN35" i="8"/>
  <c r="BM35" i="8"/>
  <c r="BL35" i="8"/>
  <c r="BK35" i="8"/>
  <c r="BJ35" i="8"/>
  <c r="BI35" i="8"/>
  <c r="BH35" i="8"/>
  <c r="BG35" i="8"/>
  <c r="BF35" i="8"/>
  <c r="BE35" i="8"/>
  <c r="BD35" i="8"/>
  <c r="BC35" i="8"/>
  <c r="BB35" i="8"/>
  <c r="BA35" i="8"/>
  <c r="AZ35" i="8"/>
  <c r="AY35" i="8"/>
  <c r="AX35" i="8"/>
  <c r="AW35" i="8"/>
  <c r="AV35" i="8"/>
  <c r="AU35" i="8"/>
  <c r="AT35" i="8"/>
  <c r="AS35" i="8"/>
  <c r="AR35" i="8"/>
  <c r="AQ35" i="8"/>
  <c r="AP35" i="8"/>
  <c r="AO35" i="8"/>
  <c r="AN35" i="8"/>
  <c r="AM35" i="8"/>
  <c r="AL35" i="8"/>
  <c r="AK35" i="8"/>
  <c r="AJ35" i="8"/>
  <c r="AI35" i="8"/>
  <c r="AH35" i="8"/>
  <c r="AG35" i="8"/>
  <c r="AF35" i="8"/>
  <c r="AE35" i="8"/>
  <c r="AD35" i="8"/>
  <c r="AC35" i="8"/>
  <c r="AB35" i="8"/>
  <c r="AA35" i="8"/>
  <c r="Z35" i="8"/>
  <c r="Y35" i="8"/>
  <c r="X35" i="8"/>
  <c r="W35" i="8"/>
  <c r="V35" i="8"/>
  <c r="U35" i="8"/>
  <c r="T35" i="8"/>
  <c r="S35" i="8"/>
  <c r="R35" i="8"/>
  <c r="Q35" i="8"/>
  <c r="P35" i="8"/>
  <c r="O35" i="8"/>
  <c r="N35" i="8"/>
  <c r="M35" i="8"/>
  <c r="L35" i="8"/>
  <c r="K35" i="8"/>
  <c r="J35" i="8"/>
  <c r="I35" i="8"/>
  <c r="H35" i="8"/>
  <c r="G35" i="8"/>
  <c r="F35" i="8"/>
  <c r="E35" i="8"/>
  <c r="D35" i="8"/>
  <c r="BS35" i="5"/>
  <c r="BR35" i="5"/>
  <c r="BQ35" i="5"/>
  <c r="BP35" i="5"/>
  <c r="BO35" i="5"/>
  <c r="BN35" i="5"/>
  <c r="BM35" i="5"/>
  <c r="BL35" i="5"/>
  <c r="BK35" i="5"/>
  <c r="BJ35" i="5"/>
  <c r="BI35" i="5"/>
  <c r="BH35" i="5"/>
  <c r="BG35" i="5"/>
  <c r="BF35" i="5"/>
  <c r="BE35" i="5"/>
  <c r="BD35" i="5"/>
  <c r="BC35" i="5"/>
  <c r="BB35" i="5"/>
  <c r="BA35" i="5"/>
  <c r="AZ35" i="5"/>
  <c r="AY35" i="5"/>
  <c r="AX35" i="5"/>
  <c r="AW35" i="5"/>
  <c r="AV35" i="5"/>
  <c r="AU35" i="5"/>
  <c r="AT35" i="5"/>
  <c r="AS35" i="5"/>
  <c r="AR35" i="5"/>
  <c r="AQ35" i="5"/>
  <c r="AP35" i="5"/>
  <c r="AO35" i="5"/>
  <c r="AN35" i="5"/>
  <c r="AM35" i="5"/>
  <c r="AL35" i="5"/>
  <c r="AK35" i="5"/>
  <c r="AJ35" i="5"/>
  <c r="AI35" i="5"/>
  <c r="AH35" i="5"/>
  <c r="AG35" i="5"/>
  <c r="AF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BS35" i="4"/>
  <c r="BR35" i="4"/>
  <c r="BQ35" i="4"/>
  <c r="BP35" i="4"/>
  <c r="BO35" i="4"/>
  <c r="BN35" i="4"/>
  <c r="BM35" i="4"/>
  <c r="BL35" i="4"/>
  <c r="BK35" i="4"/>
  <c r="BJ35" i="4"/>
  <c r="BI35" i="4"/>
  <c r="BH35" i="4"/>
  <c r="BG35" i="4"/>
  <c r="BF35" i="4"/>
  <c r="BE35" i="4"/>
  <c r="BD35" i="4"/>
  <c r="BC35" i="4"/>
  <c r="BB35" i="4"/>
  <c r="BA35" i="4"/>
  <c r="AZ35" i="4"/>
  <c r="AY35" i="4"/>
  <c r="AX35" i="4"/>
  <c r="AW35" i="4"/>
  <c r="AV35" i="4"/>
  <c r="AU35" i="4"/>
  <c r="AT35" i="4"/>
  <c r="AS35" i="4"/>
  <c r="AR35" i="4"/>
  <c r="AQ35" i="4"/>
  <c r="AP35" i="4"/>
  <c r="AO35" i="4"/>
  <c r="AN35" i="4"/>
  <c r="AM35" i="4"/>
  <c r="AL35" i="4"/>
  <c r="AK35" i="4"/>
  <c r="AJ35" i="4"/>
  <c r="AI35" i="4"/>
  <c r="AH35" i="4"/>
  <c r="AG35" i="4"/>
  <c r="AF35" i="4"/>
  <c r="AE35" i="4"/>
  <c r="AD35" i="4"/>
  <c r="AC35" i="4"/>
  <c r="AB35" i="4"/>
  <c r="AA35" i="4"/>
  <c r="Z35" i="4"/>
  <c r="Y35" i="4"/>
  <c r="X35" i="4"/>
  <c r="W35" i="4"/>
  <c r="V35" i="4"/>
  <c r="U35" i="4"/>
  <c r="T35" i="4"/>
  <c r="S35" i="4"/>
  <c r="R35" i="4"/>
  <c r="Q35" i="4"/>
  <c r="P35" i="4"/>
  <c r="O35" i="4"/>
  <c r="N35" i="4"/>
  <c r="M35" i="4"/>
  <c r="L35" i="4"/>
  <c r="K35" i="4"/>
  <c r="J35" i="4"/>
  <c r="I35" i="4"/>
  <c r="H35" i="4"/>
  <c r="G35" i="4"/>
  <c r="F35" i="4"/>
  <c r="E35" i="4"/>
  <c r="D35" i="4"/>
  <c r="BS35" i="2"/>
  <c r="BR35" i="2"/>
  <c r="BQ35" i="2"/>
  <c r="BP35" i="2"/>
  <c r="BO35" i="2"/>
  <c r="BN35" i="2"/>
  <c r="BM35" i="2"/>
  <c r="BL35" i="2"/>
  <c r="BK35" i="2"/>
  <c r="BJ35" i="2"/>
  <c r="BI35" i="2"/>
  <c r="BH35" i="2"/>
  <c r="BG35" i="2"/>
  <c r="BF35" i="2"/>
  <c r="BE35" i="2"/>
  <c r="BD35" i="2"/>
  <c r="BC35" i="2"/>
  <c r="BB35" i="2"/>
  <c r="BA35" i="2"/>
  <c r="AZ35" i="2"/>
  <c r="AY35" i="2"/>
  <c r="AX35" i="2"/>
  <c r="AW35" i="2"/>
  <c r="AV35" i="2"/>
  <c r="AU35" i="2"/>
  <c r="AT35" i="2"/>
  <c r="AS35" i="2"/>
  <c r="AR35" i="2"/>
  <c r="AQ35" i="2"/>
  <c r="AP35" i="2"/>
  <c r="AO35" i="2"/>
  <c r="AN35" i="2"/>
  <c r="AM35" i="2"/>
  <c r="AL35" i="2"/>
  <c r="AK35" i="2"/>
  <c r="AJ35" i="2"/>
  <c r="AI35" i="2"/>
  <c r="AH35" i="2"/>
  <c r="AG35" i="2"/>
  <c r="AF35" i="2"/>
  <c r="AE35" i="2"/>
  <c r="AD35" i="2"/>
  <c r="AC35" i="2"/>
  <c r="AB35" i="2"/>
  <c r="AA35" i="2"/>
  <c r="Z35" i="2"/>
  <c r="Y35" i="2"/>
  <c r="X35" i="2"/>
  <c r="W35" i="2"/>
  <c r="V35" i="2"/>
  <c r="U35" i="2"/>
  <c r="T35" i="2"/>
  <c r="S35" i="2"/>
  <c r="R35" i="2"/>
  <c r="Q35" i="2"/>
  <c r="P35" i="2"/>
  <c r="O35" i="2"/>
  <c r="N35" i="2"/>
  <c r="M35" i="2"/>
  <c r="L35" i="2"/>
  <c r="K35" i="2"/>
  <c r="J35" i="2"/>
  <c r="I35" i="2"/>
  <c r="H35" i="2"/>
  <c r="G35" i="2"/>
  <c r="F35" i="2"/>
  <c r="E35" i="2"/>
  <c r="D35" i="2"/>
  <c r="AC35" i="1"/>
  <c r="E35" i="1"/>
  <c r="G35" i="1"/>
  <c r="H35" i="1"/>
  <c r="I35" i="1"/>
  <c r="K35" i="1"/>
  <c r="L35" i="1"/>
  <c r="M35" i="1"/>
  <c r="O35" i="1"/>
  <c r="P35" i="1"/>
  <c r="Q35" i="1"/>
  <c r="S35" i="1"/>
  <c r="T35" i="1"/>
  <c r="U35" i="1"/>
  <c r="W35" i="1"/>
  <c r="X35" i="1"/>
  <c r="Y35" i="1"/>
  <c r="AA35" i="1"/>
  <c r="AB35" i="1"/>
  <c r="AE35" i="1"/>
  <c r="AF35" i="1"/>
  <c r="AG35" i="1"/>
  <c r="AI35" i="1"/>
  <c r="AJ35" i="1"/>
  <c r="AK35" i="1"/>
  <c r="AM35" i="1"/>
  <c r="AN35" i="1"/>
  <c r="AO35" i="1"/>
  <c r="AQ35" i="1"/>
  <c r="AR35" i="1"/>
  <c r="AS35" i="1"/>
  <c r="AU35" i="1"/>
  <c r="AV35" i="1"/>
  <c r="AW35" i="1"/>
  <c r="AY35" i="1"/>
  <c r="AZ35" i="1"/>
  <c r="BA35" i="1"/>
  <c r="BC35" i="1"/>
  <c r="BD35" i="1"/>
  <c r="BE35" i="1"/>
  <c r="BG35" i="1"/>
  <c r="BH35" i="1"/>
  <c r="BI35" i="1"/>
  <c r="BK35" i="1"/>
  <c r="BL35" i="1"/>
  <c r="BM35" i="1"/>
  <c r="BO35" i="1"/>
  <c r="BP35" i="1"/>
  <c r="BQ35" i="1"/>
  <c r="BS35" i="1"/>
  <c r="D35" i="1"/>
  <c r="D3" i="13"/>
  <c r="C10" i="13"/>
  <c r="D10" i="13"/>
  <c r="B10" i="13"/>
  <c r="C9" i="13"/>
  <c r="D9" i="13"/>
  <c r="B9" i="13"/>
  <c r="C8" i="13"/>
  <c r="D8" i="13"/>
  <c r="B8" i="13"/>
  <c r="C7" i="13"/>
  <c r="D7" i="13"/>
  <c r="B7" i="13"/>
  <c r="C6" i="13"/>
  <c r="D6" i="13"/>
  <c r="B6" i="13"/>
  <c r="C5" i="13"/>
  <c r="D5" i="13"/>
  <c r="B5" i="13"/>
  <c r="C4" i="13"/>
  <c r="D4" i="13"/>
  <c r="B4" i="13"/>
  <c r="C3" i="13"/>
  <c r="B3" i="13"/>
  <c r="CE1" i="11"/>
  <c r="CF1" i="11"/>
  <c r="CD1" i="11"/>
  <c r="CF1" i="10"/>
  <c r="CE1" i="10"/>
  <c r="CD1" i="10"/>
  <c r="AC38" i="11" l="1"/>
  <c r="M38" i="11"/>
  <c r="AG38" i="11"/>
  <c r="BA38" i="11"/>
  <c r="E38" i="11"/>
  <c r="AK38" i="11"/>
  <c r="AS38" i="11"/>
  <c r="BQ38" i="11"/>
  <c r="U38" i="11"/>
  <c r="AO38" i="11"/>
  <c r="BI38" i="11"/>
  <c r="Y38" i="11"/>
  <c r="I38" i="11"/>
  <c r="BE38" i="11"/>
  <c r="BM38" i="11"/>
  <c r="AW38" i="11"/>
  <c r="Q38" i="11"/>
  <c r="CE7" i="9"/>
  <c r="CF1" i="9"/>
  <c r="CE1" i="9"/>
  <c r="CD1" i="9"/>
  <c r="CF1" i="6"/>
  <c r="CE1" i="6"/>
  <c r="CD1" i="6"/>
  <c r="CF1" i="3"/>
  <c r="CE1" i="3"/>
  <c r="CD1" i="3"/>
  <c r="CF1" i="8"/>
  <c r="CE1" i="8"/>
  <c r="CD1" i="8"/>
  <c r="CF1" i="5"/>
  <c r="CE1" i="5"/>
  <c r="CD1" i="5"/>
  <c r="CF1" i="4"/>
  <c r="CE1" i="4"/>
  <c r="CD1" i="4"/>
  <c r="CF1" i="2"/>
  <c r="CE1" i="2"/>
  <c r="CD1" i="2"/>
  <c r="CF1" i="1"/>
  <c r="CE1" i="1"/>
  <c r="CD1" i="1"/>
  <c r="BW34" i="11"/>
  <c r="BU34" i="11"/>
  <c r="BS34" i="11"/>
  <c r="BO34" i="11"/>
  <c r="BK34" i="11"/>
  <c r="BG34" i="11"/>
  <c r="BC34" i="11"/>
  <c r="AY34" i="11"/>
  <c r="AU34" i="11"/>
  <c r="AQ34" i="11"/>
  <c r="AM34" i="11"/>
  <c r="AI34" i="11"/>
  <c r="AA34" i="11"/>
  <c r="W34" i="11"/>
  <c r="S34" i="11"/>
  <c r="O34" i="11"/>
  <c r="K34" i="11"/>
  <c r="G34" i="11"/>
  <c r="BW33" i="11"/>
  <c r="BU33" i="11"/>
  <c r="BY33" i="11" s="1"/>
  <c r="BS33" i="11"/>
  <c r="BO33" i="11"/>
  <c r="BK33" i="11"/>
  <c r="BG33" i="11"/>
  <c r="BC33" i="11"/>
  <c r="AY33" i="11"/>
  <c r="AU33" i="11"/>
  <c r="AQ33" i="11"/>
  <c r="AM33" i="11"/>
  <c r="AI33" i="11"/>
  <c r="AA33" i="11"/>
  <c r="W33" i="11"/>
  <c r="S33" i="11"/>
  <c r="O33" i="11"/>
  <c r="K33" i="11"/>
  <c r="G33" i="11"/>
  <c r="BW32" i="11"/>
  <c r="BU32" i="11"/>
  <c r="BY32" i="11" s="1"/>
  <c r="BS32" i="11"/>
  <c r="BO32" i="11"/>
  <c r="BK32" i="11"/>
  <c r="BG32" i="11"/>
  <c r="BC32" i="11"/>
  <c r="AY32" i="11"/>
  <c r="AU32" i="11"/>
  <c r="AQ32" i="11"/>
  <c r="AM32" i="11"/>
  <c r="AI32" i="11"/>
  <c r="AA32" i="11"/>
  <c r="W32" i="11"/>
  <c r="S32" i="11"/>
  <c r="O32" i="11"/>
  <c r="K32" i="11"/>
  <c r="G32" i="11"/>
  <c r="BW31" i="11"/>
  <c r="BU31" i="11"/>
  <c r="BS31" i="11"/>
  <c r="BO31" i="11"/>
  <c r="BK31" i="11"/>
  <c r="BG31" i="11"/>
  <c r="BC31" i="11"/>
  <c r="AY31" i="11"/>
  <c r="AU31" i="11"/>
  <c r="AQ31" i="11"/>
  <c r="AM31" i="11"/>
  <c r="AI31" i="11"/>
  <c r="AA31" i="11"/>
  <c r="W31" i="11"/>
  <c r="S31" i="11"/>
  <c r="O31" i="11"/>
  <c r="K31" i="11"/>
  <c r="G31" i="11"/>
  <c r="BW30" i="11"/>
  <c r="BU30" i="11"/>
  <c r="BS30" i="11"/>
  <c r="BO30" i="11"/>
  <c r="BK30" i="11"/>
  <c r="BG30" i="11"/>
  <c r="BC30" i="11"/>
  <c r="AY30" i="11"/>
  <c r="AU30" i="11"/>
  <c r="AQ30" i="11"/>
  <c r="AM30" i="11"/>
  <c r="AI30" i="11"/>
  <c r="AA30" i="11"/>
  <c r="W30" i="11"/>
  <c r="S30" i="11"/>
  <c r="O30" i="11"/>
  <c r="K30" i="11"/>
  <c r="G30" i="11"/>
  <c r="BW29" i="11"/>
  <c r="BU29" i="11"/>
  <c r="BS29" i="11"/>
  <c r="BO29" i="11"/>
  <c r="BK29" i="11"/>
  <c r="BG29" i="11"/>
  <c r="BC29" i="11"/>
  <c r="AY29" i="11"/>
  <c r="AU29" i="11"/>
  <c r="AQ29" i="11"/>
  <c r="AM29" i="11"/>
  <c r="AI29" i="11"/>
  <c r="AE29" i="11"/>
  <c r="AA29" i="11"/>
  <c r="W29" i="11"/>
  <c r="S29" i="11"/>
  <c r="O29" i="11"/>
  <c r="K29" i="11"/>
  <c r="G29" i="11"/>
  <c r="BW28" i="11"/>
  <c r="BU28" i="11"/>
  <c r="BS28" i="11"/>
  <c r="BO28" i="11"/>
  <c r="BK28" i="11"/>
  <c r="BG28" i="11"/>
  <c r="BC28" i="11"/>
  <c r="AY28" i="11"/>
  <c r="AU28" i="11"/>
  <c r="AQ28" i="11"/>
  <c r="AM28" i="11"/>
  <c r="AI28" i="11"/>
  <c r="AE28" i="11"/>
  <c r="AA28" i="11"/>
  <c r="W28" i="11"/>
  <c r="S28" i="11"/>
  <c r="O28" i="11"/>
  <c r="K28" i="11"/>
  <c r="G28" i="11"/>
  <c r="BW27" i="11"/>
  <c r="BU27" i="11"/>
  <c r="BS27" i="11"/>
  <c r="BO27" i="11"/>
  <c r="BK27" i="11"/>
  <c r="BG27" i="11"/>
  <c r="BC27" i="11"/>
  <c r="AY27" i="11"/>
  <c r="AU27" i="11"/>
  <c r="AQ27" i="11"/>
  <c r="AM27" i="11"/>
  <c r="AI27" i="11"/>
  <c r="AE27" i="11"/>
  <c r="AA27" i="11"/>
  <c r="W27" i="11"/>
  <c r="S27" i="11"/>
  <c r="O27" i="11"/>
  <c r="K27" i="11"/>
  <c r="G27" i="11"/>
  <c r="BW26" i="11"/>
  <c r="BU26" i="11"/>
  <c r="BY26" i="11" s="1"/>
  <c r="BS26" i="11"/>
  <c r="BO26" i="11"/>
  <c r="BK26" i="11"/>
  <c r="BG26" i="11"/>
  <c r="BC26" i="11"/>
  <c r="AY26" i="11"/>
  <c r="AU26" i="11"/>
  <c r="AQ26" i="11"/>
  <c r="AM26" i="11"/>
  <c r="AI26" i="11"/>
  <c r="AE26" i="11"/>
  <c r="AA26" i="11"/>
  <c r="W26" i="11"/>
  <c r="S26" i="11"/>
  <c r="O26" i="11"/>
  <c r="K26" i="11"/>
  <c r="G26" i="11"/>
  <c r="BW25" i="11"/>
  <c r="BU25" i="11"/>
  <c r="BY25" i="11" s="1"/>
  <c r="BS25" i="11"/>
  <c r="BO25" i="11"/>
  <c r="BK25" i="11"/>
  <c r="BG25" i="11"/>
  <c r="BC25" i="11"/>
  <c r="AY25" i="11"/>
  <c r="AU25" i="11"/>
  <c r="AQ25" i="11"/>
  <c r="AM25" i="11"/>
  <c r="AI25" i="11"/>
  <c r="AE25" i="11"/>
  <c r="AA25" i="11"/>
  <c r="W25" i="11"/>
  <c r="S25" i="11"/>
  <c r="O25" i="11"/>
  <c r="K25" i="11"/>
  <c r="G25" i="11"/>
  <c r="BW24" i="11"/>
  <c r="BU24" i="11"/>
  <c r="BS24" i="11"/>
  <c r="BO24" i="11"/>
  <c r="BK24" i="11"/>
  <c r="BG24" i="11"/>
  <c r="BC24" i="11"/>
  <c r="AY24" i="11"/>
  <c r="AU24" i="11"/>
  <c r="AQ24" i="11"/>
  <c r="AM24" i="11"/>
  <c r="AI24" i="11"/>
  <c r="AE24" i="11"/>
  <c r="AA24" i="11"/>
  <c r="W24" i="11"/>
  <c r="S24" i="11"/>
  <c r="O24" i="11"/>
  <c r="K24" i="11"/>
  <c r="G24" i="11"/>
  <c r="BW23" i="11"/>
  <c r="BU23" i="11"/>
  <c r="BS23" i="11"/>
  <c r="BO23" i="11"/>
  <c r="BK23" i="11"/>
  <c r="BG23" i="11"/>
  <c r="BC23" i="11"/>
  <c r="AY23" i="11"/>
  <c r="AU23" i="11"/>
  <c r="AQ23" i="11"/>
  <c r="AM23" i="11"/>
  <c r="AI23" i="11"/>
  <c r="AE23" i="11"/>
  <c r="AA23" i="11"/>
  <c r="W23" i="11"/>
  <c r="S23" i="11"/>
  <c r="O23" i="11"/>
  <c r="K23" i="11"/>
  <c r="G23" i="11"/>
  <c r="BW22" i="11"/>
  <c r="BU22" i="11"/>
  <c r="BS22" i="11"/>
  <c r="BO22" i="11"/>
  <c r="BK22" i="11"/>
  <c r="BG22" i="11"/>
  <c r="BC22" i="11"/>
  <c r="AY22" i="11"/>
  <c r="AU22" i="11"/>
  <c r="AQ22" i="11"/>
  <c r="AM22" i="11"/>
  <c r="AI22" i="11"/>
  <c r="AE22" i="11"/>
  <c r="AA22" i="11"/>
  <c r="W22" i="11"/>
  <c r="S22" i="11"/>
  <c r="O22" i="11"/>
  <c r="K22" i="11"/>
  <c r="G22" i="11"/>
  <c r="BW21" i="11"/>
  <c r="BU21" i="11"/>
  <c r="BS21" i="11"/>
  <c r="BO21" i="11"/>
  <c r="BK21" i="11"/>
  <c r="BG21" i="11"/>
  <c r="BC21" i="11"/>
  <c r="AY21" i="11"/>
  <c r="AU21" i="11"/>
  <c r="AQ21" i="11"/>
  <c r="AM21" i="11"/>
  <c r="AI21" i="11"/>
  <c r="AE21" i="11"/>
  <c r="AA21" i="11"/>
  <c r="W21" i="11"/>
  <c r="S21" i="11"/>
  <c r="O21" i="11"/>
  <c r="K21" i="11"/>
  <c r="G21" i="11"/>
  <c r="BW20" i="11"/>
  <c r="BU20" i="11"/>
  <c r="BS20" i="11"/>
  <c r="BO20" i="11"/>
  <c r="BK20" i="11"/>
  <c r="BG20" i="11"/>
  <c r="BC20" i="11"/>
  <c r="AY20" i="11"/>
  <c r="AU20" i="11"/>
  <c r="AQ20" i="11"/>
  <c r="AM20" i="11"/>
  <c r="AI20" i="11"/>
  <c r="AE20" i="11"/>
  <c r="AA20" i="11"/>
  <c r="W20" i="11"/>
  <c r="S20" i="11"/>
  <c r="O20" i="11"/>
  <c r="K20" i="11"/>
  <c r="G20" i="11"/>
  <c r="BW19" i="11"/>
  <c r="BU19" i="11"/>
  <c r="BS19" i="11"/>
  <c r="BO19" i="11"/>
  <c r="BK19" i="11"/>
  <c r="BG19" i="11"/>
  <c r="BC19" i="11"/>
  <c r="AY19" i="11"/>
  <c r="AU19" i="11"/>
  <c r="AQ19" i="11"/>
  <c r="AM19" i="11"/>
  <c r="AI19" i="11"/>
  <c r="AE19" i="11"/>
  <c r="AA19" i="11"/>
  <c r="W19" i="11"/>
  <c r="S19" i="11"/>
  <c r="O19" i="11"/>
  <c r="K19" i="11"/>
  <c r="G19" i="11"/>
  <c r="BW18" i="11"/>
  <c r="BU18" i="11"/>
  <c r="BY18" i="11" s="1"/>
  <c r="BS18" i="11"/>
  <c r="BO18" i="11"/>
  <c r="BK18" i="11"/>
  <c r="BG18" i="11"/>
  <c r="BC18" i="11"/>
  <c r="AY18" i="11"/>
  <c r="AU18" i="11"/>
  <c r="AQ18" i="11"/>
  <c r="AM18" i="11"/>
  <c r="AI18" i="11"/>
  <c r="AE18" i="11"/>
  <c r="AA18" i="11"/>
  <c r="W18" i="11"/>
  <c r="S18" i="11"/>
  <c r="O18" i="11"/>
  <c r="K18" i="11"/>
  <c r="G18" i="11"/>
  <c r="BW17" i="11"/>
  <c r="BU17" i="11"/>
  <c r="BS17" i="11"/>
  <c r="BO17" i="11"/>
  <c r="BK17" i="11"/>
  <c r="BG17" i="11"/>
  <c r="BC17" i="11"/>
  <c r="AY17" i="11"/>
  <c r="AU17" i="11"/>
  <c r="AQ17" i="11"/>
  <c r="AM17" i="11"/>
  <c r="AI17" i="11"/>
  <c r="AE17" i="11"/>
  <c r="AA17" i="11"/>
  <c r="W17" i="11"/>
  <c r="S17" i="11"/>
  <c r="O17" i="11"/>
  <c r="K17" i="11"/>
  <c r="G17" i="11"/>
  <c r="BW16" i="11"/>
  <c r="BU16" i="11"/>
  <c r="BY16" i="11" s="1"/>
  <c r="BS16" i="11"/>
  <c r="BO16" i="11"/>
  <c r="BK16" i="11"/>
  <c r="BG16" i="11"/>
  <c r="BC16" i="11"/>
  <c r="AY16" i="11"/>
  <c r="AU16" i="11"/>
  <c r="AQ16" i="11"/>
  <c r="AM16" i="11"/>
  <c r="AI16" i="11"/>
  <c r="AE16" i="11"/>
  <c r="W16" i="11"/>
  <c r="S16" i="11"/>
  <c r="O16" i="11"/>
  <c r="K16" i="11"/>
  <c r="G16" i="11"/>
  <c r="BW15" i="11"/>
  <c r="BU15" i="11"/>
  <c r="BS15" i="11"/>
  <c r="BO15" i="11"/>
  <c r="BK15" i="11"/>
  <c r="BG15" i="11"/>
  <c r="BC15" i="11"/>
  <c r="AY15" i="11"/>
  <c r="AU15" i="11"/>
  <c r="AQ15" i="11"/>
  <c r="AM15" i="11"/>
  <c r="AI15" i="11"/>
  <c r="AE15" i="11"/>
  <c r="AA15" i="11"/>
  <c r="W15" i="11"/>
  <c r="S15" i="11"/>
  <c r="O15" i="11"/>
  <c r="K15" i="11"/>
  <c r="G15" i="11"/>
  <c r="BW14" i="11"/>
  <c r="BU14" i="11"/>
  <c r="BS14" i="11"/>
  <c r="BO14" i="11"/>
  <c r="BK14" i="11"/>
  <c r="BG14" i="11"/>
  <c r="BC14" i="11"/>
  <c r="AY14" i="11"/>
  <c r="AU14" i="11"/>
  <c r="AQ14" i="11"/>
  <c r="AM14" i="11"/>
  <c r="AI14" i="11"/>
  <c r="AE14" i="11"/>
  <c r="AA14" i="11"/>
  <c r="S14" i="11"/>
  <c r="G14" i="11"/>
  <c r="BW13" i="11"/>
  <c r="BU13" i="11"/>
  <c r="BS13" i="11"/>
  <c r="BO13" i="11"/>
  <c r="BK13" i="11"/>
  <c r="BG13" i="11"/>
  <c r="BC13" i="11"/>
  <c r="AY13" i="11"/>
  <c r="AU13" i="11"/>
  <c r="AQ13" i="11"/>
  <c r="AM13" i="11"/>
  <c r="AI13" i="11"/>
  <c r="AE13" i="11"/>
  <c r="AA13" i="11"/>
  <c r="W13" i="11"/>
  <c r="S13" i="11"/>
  <c r="O13" i="11"/>
  <c r="K13" i="11"/>
  <c r="G13" i="11"/>
  <c r="BW12" i="11"/>
  <c r="BU12" i="11"/>
  <c r="BS12" i="11"/>
  <c r="BO12" i="11"/>
  <c r="BK12" i="11"/>
  <c r="BG12" i="11"/>
  <c r="BC12" i="11"/>
  <c r="AY12" i="11"/>
  <c r="AU12" i="11"/>
  <c r="AQ12" i="11"/>
  <c r="AM12" i="11"/>
  <c r="AI12" i="11"/>
  <c r="AE12" i="11"/>
  <c r="AA12" i="11"/>
  <c r="W12" i="11"/>
  <c r="S12" i="11"/>
  <c r="O12" i="11"/>
  <c r="K12" i="11"/>
  <c r="G12" i="11"/>
  <c r="BW11" i="11"/>
  <c r="BU11" i="11"/>
  <c r="BY11" i="11" s="1"/>
  <c r="BS11" i="11"/>
  <c r="BO11" i="11"/>
  <c r="BK11" i="11"/>
  <c r="BG11" i="11"/>
  <c r="BC11" i="11"/>
  <c r="AY11" i="11"/>
  <c r="AU11" i="11"/>
  <c r="AQ11" i="11"/>
  <c r="AM11" i="11"/>
  <c r="AI11" i="11"/>
  <c r="AE11" i="11"/>
  <c r="AA11" i="11"/>
  <c r="W11" i="11"/>
  <c r="S11" i="11"/>
  <c r="O11" i="11"/>
  <c r="K11" i="11"/>
  <c r="G11" i="11"/>
  <c r="BW10" i="11"/>
  <c r="BU10" i="11"/>
  <c r="BS10" i="11"/>
  <c r="BO10" i="11"/>
  <c r="BK10" i="11"/>
  <c r="BG10" i="11"/>
  <c r="BC10" i="11"/>
  <c r="AY10" i="11"/>
  <c r="AU10" i="11"/>
  <c r="AQ10" i="11"/>
  <c r="AM10" i="11"/>
  <c r="AI10" i="11"/>
  <c r="AE10" i="11"/>
  <c r="AA10" i="11"/>
  <c r="W10" i="11"/>
  <c r="S10" i="11"/>
  <c r="O10" i="11"/>
  <c r="K10" i="11"/>
  <c r="G10" i="11"/>
  <c r="BW9" i="11"/>
  <c r="BU9" i="11"/>
  <c r="BS9" i="11"/>
  <c r="BO9" i="11"/>
  <c r="BK9" i="11"/>
  <c r="BG9" i="11"/>
  <c r="BC9" i="11"/>
  <c r="AY9" i="11"/>
  <c r="AU9" i="11"/>
  <c r="AQ9" i="11"/>
  <c r="AM9" i="11"/>
  <c r="AI9" i="11"/>
  <c r="AE9" i="11"/>
  <c r="AA9" i="11"/>
  <c r="W9" i="11"/>
  <c r="S9" i="11"/>
  <c r="O9" i="11"/>
  <c r="K9" i="11"/>
  <c r="G9" i="11"/>
  <c r="BW8" i="11"/>
  <c r="BU8" i="11"/>
  <c r="BY8" i="11" s="1"/>
  <c r="BS8" i="11"/>
  <c r="BO8" i="11"/>
  <c r="BK8" i="11"/>
  <c r="BG8" i="11"/>
  <c r="BC8" i="11"/>
  <c r="AY8" i="11"/>
  <c r="AU8" i="11"/>
  <c r="AQ8" i="11"/>
  <c r="AM8" i="11"/>
  <c r="AI8" i="11"/>
  <c r="AE8" i="11"/>
  <c r="AA8" i="11"/>
  <c r="W8" i="11"/>
  <c r="S8" i="11"/>
  <c r="O8" i="11"/>
  <c r="K8" i="11"/>
  <c r="G8" i="11"/>
  <c r="BW7" i="11"/>
  <c r="BU7" i="11"/>
  <c r="BS7" i="11"/>
  <c r="BO7" i="11"/>
  <c r="BK7" i="11"/>
  <c r="BG7" i="11"/>
  <c r="BC7" i="11"/>
  <c r="AY7" i="11"/>
  <c r="AU7" i="11"/>
  <c r="AQ7" i="11"/>
  <c r="AM7" i="11"/>
  <c r="AI7" i="11"/>
  <c r="AE7" i="11"/>
  <c r="AA7" i="11"/>
  <c r="W7" i="11"/>
  <c r="S7" i="11"/>
  <c r="O7" i="11"/>
  <c r="K7" i="11"/>
  <c r="G7" i="11"/>
  <c r="BW6" i="11"/>
  <c r="BU6" i="11"/>
  <c r="BS6" i="11"/>
  <c r="BO6" i="11"/>
  <c r="BK6" i="11"/>
  <c r="BG6" i="11"/>
  <c r="BC6" i="11"/>
  <c r="AY6" i="11"/>
  <c r="AU6" i="11"/>
  <c r="AQ6" i="11"/>
  <c r="AM6" i="11"/>
  <c r="AI6" i="11"/>
  <c r="AE6" i="11"/>
  <c r="AA6" i="11"/>
  <c r="W6" i="11"/>
  <c r="S6" i="11"/>
  <c r="O6" i="11"/>
  <c r="K6" i="11"/>
  <c r="G6" i="11"/>
  <c r="BW5" i="11"/>
  <c r="BU5" i="11"/>
  <c r="BS5" i="11"/>
  <c r="BO5" i="11"/>
  <c r="BK5" i="11"/>
  <c r="BG5" i="11"/>
  <c r="BC5" i="11"/>
  <c r="AY5" i="11"/>
  <c r="AU5" i="11"/>
  <c r="AQ5" i="11"/>
  <c r="AM5" i="11"/>
  <c r="AI5" i="11"/>
  <c r="AE5" i="11"/>
  <c r="AA5" i="11"/>
  <c r="W5" i="11"/>
  <c r="S5" i="11"/>
  <c r="O5" i="11"/>
  <c r="K5" i="11"/>
  <c r="G5" i="11"/>
  <c r="BW4" i="11"/>
  <c r="BU4" i="11"/>
  <c r="BY4" i="11" s="1"/>
  <c r="BS4" i="11"/>
  <c r="BO4" i="11"/>
  <c r="BK4" i="11"/>
  <c r="BG4" i="11"/>
  <c r="BC4" i="11"/>
  <c r="AY4" i="11"/>
  <c r="AU4" i="11"/>
  <c r="AQ4" i="11"/>
  <c r="AM4" i="11"/>
  <c r="AI4" i="11"/>
  <c r="AE4" i="11"/>
  <c r="AA4" i="11"/>
  <c r="W4" i="11"/>
  <c r="S4" i="11"/>
  <c r="O4" i="11"/>
  <c r="K4" i="11"/>
  <c r="G4" i="11"/>
  <c r="BW3" i="11"/>
  <c r="BU3" i="11"/>
  <c r="BS3" i="11"/>
  <c r="BO3" i="11"/>
  <c r="BK3" i="11"/>
  <c r="BG3" i="11"/>
  <c r="BC3" i="11"/>
  <c r="AY3" i="11"/>
  <c r="AU3" i="11"/>
  <c r="AQ3" i="11"/>
  <c r="AM3" i="11"/>
  <c r="AI3" i="11"/>
  <c r="AE3" i="11"/>
  <c r="AA3" i="11"/>
  <c r="W3" i="11"/>
  <c r="S3" i="11"/>
  <c r="O3" i="11"/>
  <c r="K3" i="11"/>
  <c r="G3" i="11"/>
  <c r="BW34" i="10"/>
  <c r="BU34" i="10"/>
  <c r="BY34" i="10" s="1"/>
  <c r="BS34" i="10"/>
  <c r="BO34" i="10"/>
  <c r="BK34" i="10"/>
  <c r="BG34" i="10"/>
  <c r="BC34" i="10"/>
  <c r="AY34" i="10"/>
  <c r="AU34" i="10"/>
  <c r="AQ34" i="10"/>
  <c r="AM34" i="10"/>
  <c r="AI34" i="10"/>
  <c r="AA34" i="10"/>
  <c r="W34" i="10"/>
  <c r="S34" i="10"/>
  <c r="O34" i="10"/>
  <c r="K34" i="10"/>
  <c r="G34" i="10"/>
  <c r="BW33" i="10"/>
  <c r="BU33" i="10"/>
  <c r="BY33" i="10" s="1"/>
  <c r="BS33" i="10"/>
  <c r="BO33" i="10"/>
  <c r="BK33" i="10"/>
  <c r="BG33" i="10"/>
  <c r="BC33" i="10"/>
  <c r="AY33" i="10"/>
  <c r="AU33" i="10"/>
  <c r="AQ33" i="10"/>
  <c r="AM33" i="10"/>
  <c r="AI33" i="10"/>
  <c r="AA33" i="10"/>
  <c r="W33" i="10"/>
  <c r="S33" i="10"/>
  <c r="O33" i="10"/>
  <c r="K33" i="10"/>
  <c r="G33" i="10"/>
  <c r="BW32" i="10"/>
  <c r="BU32" i="10"/>
  <c r="BS32" i="10"/>
  <c r="BO32" i="10"/>
  <c r="BK32" i="10"/>
  <c r="BG32" i="10"/>
  <c r="BC32" i="10"/>
  <c r="AY32" i="10"/>
  <c r="AU32" i="10"/>
  <c r="AQ32" i="10"/>
  <c r="AM32" i="10"/>
  <c r="AI32" i="10"/>
  <c r="AA32" i="10"/>
  <c r="W32" i="10"/>
  <c r="S32" i="10"/>
  <c r="O32" i="10"/>
  <c r="K32" i="10"/>
  <c r="G32" i="10"/>
  <c r="BW31" i="10"/>
  <c r="BU31" i="10"/>
  <c r="BS31" i="10"/>
  <c r="BO31" i="10"/>
  <c r="BK31" i="10"/>
  <c r="BG31" i="10"/>
  <c r="BC31" i="10"/>
  <c r="AY31" i="10"/>
  <c r="AU31" i="10"/>
  <c r="AQ31" i="10"/>
  <c r="AM31" i="10"/>
  <c r="AI31" i="10"/>
  <c r="AA31" i="10"/>
  <c r="W31" i="10"/>
  <c r="S31" i="10"/>
  <c r="O31" i="10"/>
  <c r="K31" i="10"/>
  <c r="G31" i="10"/>
  <c r="BW30" i="10"/>
  <c r="BY30" i="10" s="1"/>
  <c r="BU30" i="10"/>
  <c r="BS30" i="10"/>
  <c r="BO30" i="10"/>
  <c r="BK30" i="10"/>
  <c r="BG30" i="10"/>
  <c r="BC30" i="10"/>
  <c r="AY30" i="10"/>
  <c r="AU30" i="10"/>
  <c r="AQ30" i="10"/>
  <c r="AM30" i="10"/>
  <c r="AI30" i="10"/>
  <c r="AA30" i="10"/>
  <c r="W30" i="10"/>
  <c r="S30" i="10"/>
  <c r="O30" i="10"/>
  <c r="K30" i="10"/>
  <c r="G30" i="10"/>
  <c r="BW29" i="10"/>
  <c r="BU29" i="10"/>
  <c r="BS29" i="10"/>
  <c r="BO29" i="10"/>
  <c r="BK29" i="10"/>
  <c r="BG29" i="10"/>
  <c r="BC29" i="10"/>
  <c r="AY29" i="10"/>
  <c r="AU29" i="10"/>
  <c r="AQ29" i="10"/>
  <c r="AM29" i="10"/>
  <c r="AI29" i="10"/>
  <c r="AE29" i="10"/>
  <c r="AA29" i="10"/>
  <c r="W29" i="10"/>
  <c r="S29" i="10"/>
  <c r="O29" i="10"/>
  <c r="K29" i="10"/>
  <c r="G29" i="10"/>
  <c r="BW28" i="10"/>
  <c r="BU28" i="10"/>
  <c r="BS28" i="10"/>
  <c r="BO28" i="10"/>
  <c r="BK28" i="10"/>
  <c r="BG28" i="10"/>
  <c r="BC28" i="10"/>
  <c r="AY28" i="10"/>
  <c r="AU28" i="10"/>
  <c r="AQ28" i="10"/>
  <c r="AM28" i="10"/>
  <c r="AI28" i="10"/>
  <c r="AE28" i="10"/>
  <c r="AA28" i="10"/>
  <c r="W28" i="10"/>
  <c r="S28" i="10"/>
  <c r="O28" i="10"/>
  <c r="K28" i="10"/>
  <c r="G28" i="10"/>
  <c r="BW27" i="10"/>
  <c r="BU27" i="10"/>
  <c r="BS27" i="10"/>
  <c r="BO27" i="10"/>
  <c r="BK27" i="10"/>
  <c r="BG27" i="10"/>
  <c r="BC27" i="10"/>
  <c r="AY27" i="10"/>
  <c r="AU27" i="10"/>
  <c r="AQ27" i="10"/>
  <c r="AM27" i="10"/>
  <c r="AI27" i="10"/>
  <c r="AE27" i="10"/>
  <c r="AA27" i="10"/>
  <c r="W27" i="10"/>
  <c r="S27" i="10"/>
  <c r="O27" i="10"/>
  <c r="K27" i="10"/>
  <c r="G27" i="10"/>
  <c r="BW26" i="10"/>
  <c r="BU26" i="10"/>
  <c r="BY26" i="10" s="1"/>
  <c r="BS26" i="10"/>
  <c r="BO26" i="10"/>
  <c r="BK26" i="10"/>
  <c r="BG26" i="10"/>
  <c r="BC26" i="10"/>
  <c r="AY26" i="10"/>
  <c r="AU26" i="10"/>
  <c r="AQ26" i="10"/>
  <c r="AM26" i="10"/>
  <c r="AI26" i="10"/>
  <c r="AE26" i="10"/>
  <c r="AA26" i="10"/>
  <c r="W26" i="10"/>
  <c r="S26" i="10"/>
  <c r="O26" i="10"/>
  <c r="K26" i="10"/>
  <c r="G26" i="10"/>
  <c r="BW25" i="10"/>
  <c r="BU25" i="10"/>
  <c r="BS25" i="10"/>
  <c r="BO25" i="10"/>
  <c r="BK25" i="10"/>
  <c r="BG25" i="10"/>
  <c r="BC25" i="10"/>
  <c r="AY25" i="10"/>
  <c r="AU25" i="10"/>
  <c r="AQ25" i="10"/>
  <c r="AM25" i="10"/>
  <c r="AI25" i="10"/>
  <c r="AE25" i="10"/>
  <c r="AA25" i="10"/>
  <c r="W25" i="10"/>
  <c r="S25" i="10"/>
  <c r="O25" i="10"/>
  <c r="K25" i="10"/>
  <c r="G25" i="10"/>
  <c r="BW24" i="10"/>
  <c r="BY24" i="10" s="1"/>
  <c r="BU24" i="10"/>
  <c r="BS24" i="10"/>
  <c r="BO24" i="10"/>
  <c r="BK24" i="10"/>
  <c r="BG24" i="10"/>
  <c r="BC24" i="10"/>
  <c r="AY24" i="10"/>
  <c r="AU24" i="10"/>
  <c r="AQ24" i="10"/>
  <c r="AM24" i="10"/>
  <c r="AI24" i="10"/>
  <c r="AE24" i="10"/>
  <c r="AA24" i="10"/>
  <c r="W24" i="10"/>
  <c r="S24" i="10"/>
  <c r="O24" i="10"/>
  <c r="K24" i="10"/>
  <c r="G24" i="10"/>
  <c r="BW23" i="10"/>
  <c r="BY23" i="10" s="1"/>
  <c r="CE13" i="10" s="1"/>
  <c r="BU23" i="10"/>
  <c r="BS23" i="10"/>
  <c r="BO23" i="10"/>
  <c r="BK23" i="10"/>
  <c r="BG23" i="10"/>
  <c r="BC23" i="10"/>
  <c r="AY23" i="10"/>
  <c r="AU23" i="10"/>
  <c r="AQ23" i="10"/>
  <c r="AM23" i="10"/>
  <c r="AI23" i="10"/>
  <c r="AE23" i="10"/>
  <c r="AA23" i="10"/>
  <c r="W23" i="10"/>
  <c r="S23" i="10"/>
  <c r="O23" i="10"/>
  <c r="K23" i="10"/>
  <c r="G23" i="10"/>
  <c r="BW22" i="10"/>
  <c r="BU22" i="10"/>
  <c r="BY22" i="10" s="1"/>
  <c r="BS22" i="10"/>
  <c r="BO22" i="10"/>
  <c r="BK22" i="10"/>
  <c r="BG22" i="10"/>
  <c r="BC22" i="10"/>
  <c r="AY22" i="10"/>
  <c r="AU22" i="10"/>
  <c r="AQ22" i="10"/>
  <c r="AM22" i="10"/>
  <c r="AI22" i="10"/>
  <c r="AE22" i="10"/>
  <c r="AA22" i="10"/>
  <c r="W22" i="10"/>
  <c r="S22" i="10"/>
  <c r="O22" i="10"/>
  <c r="K22" i="10"/>
  <c r="G22" i="10"/>
  <c r="BW21" i="10"/>
  <c r="BU21" i="10"/>
  <c r="BY21" i="10" s="1"/>
  <c r="BS21" i="10"/>
  <c r="BO21" i="10"/>
  <c r="BK21" i="10"/>
  <c r="BG21" i="10"/>
  <c r="BC21" i="10"/>
  <c r="AY21" i="10"/>
  <c r="AU21" i="10"/>
  <c r="AQ21" i="10"/>
  <c r="AM21" i="10"/>
  <c r="AI21" i="10"/>
  <c r="AE21" i="10"/>
  <c r="AA21" i="10"/>
  <c r="W21" i="10"/>
  <c r="S21" i="10"/>
  <c r="O21" i="10"/>
  <c r="K21" i="10"/>
  <c r="G21" i="10"/>
  <c r="BY20" i="10"/>
  <c r="BW20" i="10"/>
  <c r="BU20" i="10"/>
  <c r="BS20" i="10"/>
  <c r="BO20" i="10"/>
  <c r="BK20" i="10"/>
  <c r="BG20" i="10"/>
  <c r="BC20" i="10"/>
  <c r="AY20" i="10"/>
  <c r="AU20" i="10"/>
  <c r="AQ20" i="10"/>
  <c r="AM20" i="10"/>
  <c r="AI20" i="10"/>
  <c r="AE20" i="10"/>
  <c r="AA20" i="10"/>
  <c r="W20" i="10"/>
  <c r="S20" i="10"/>
  <c r="O20" i="10"/>
  <c r="K20" i="10"/>
  <c r="G20" i="10"/>
  <c r="BW19" i="10"/>
  <c r="BU19" i="10"/>
  <c r="BS19" i="10"/>
  <c r="BO19" i="10"/>
  <c r="BK19" i="10"/>
  <c r="BG19" i="10"/>
  <c r="BC19" i="10"/>
  <c r="AY19" i="10"/>
  <c r="AU19" i="10"/>
  <c r="AQ19" i="10"/>
  <c r="AM19" i="10"/>
  <c r="AI19" i="10"/>
  <c r="AE19" i="10"/>
  <c r="AA19" i="10"/>
  <c r="W19" i="10"/>
  <c r="S19" i="10"/>
  <c r="O19" i="10"/>
  <c r="K19" i="10"/>
  <c r="G19" i="10"/>
  <c r="BW18" i="10"/>
  <c r="BU18" i="10"/>
  <c r="BY18" i="10" s="1"/>
  <c r="BS18" i="10"/>
  <c r="BO18" i="10"/>
  <c r="BK18" i="10"/>
  <c r="BG18" i="10"/>
  <c r="BC18" i="10"/>
  <c r="AY18" i="10"/>
  <c r="AU18" i="10"/>
  <c r="AQ18" i="10"/>
  <c r="AM18" i="10"/>
  <c r="AI18" i="10"/>
  <c r="AE18" i="10"/>
  <c r="AA18" i="10"/>
  <c r="W18" i="10"/>
  <c r="S18" i="10"/>
  <c r="O18" i="10"/>
  <c r="K18" i="10"/>
  <c r="G18" i="10"/>
  <c r="BW17" i="10"/>
  <c r="BU17" i="10"/>
  <c r="BS17" i="10"/>
  <c r="BV17" i="10" s="1"/>
  <c r="BX17" i="10" s="1"/>
  <c r="BO17" i="10"/>
  <c r="BK17" i="10"/>
  <c r="BG17" i="10"/>
  <c r="BC17" i="10"/>
  <c r="AY17" i="10"/>
  <c r="AU17" i="10"/>
  <c r="AQ17" i="10"/>
  <c r="AM17" i="10"/>
  <c r="AI17" i="10"/>
  <c r="AE17" i="10"/>
  <c r="AA17" i="10"/>
  <c r="W17" i="10"/>
  <c r="S17" i="10"/>
  <c r="O17" i="10"/>
  <c r="K17" i="10"/>
  <c r="G17" i="10"/>
  <c r="BW16" i="10"/>
  <c r="BU16" i="10"/>
  <c r="BY16" i="10" s="1"/>
  <c r="BS16" i="10"/>
  <c r="BO16" i="10"/>
  <c r="BK16" i="10"/>
  <c r="BG16" i="10"/>
  <c r="BC16" i="10"/>
  <c r="AY16" i="10"/>
  <c r="AU16" i="10"/>
  <c r="AQ16" i="10"/>
  <c r="AM16" i="10"/>
  <c r="AI16" i="10"/>
  <c r="AE16" i="10"/>
  <c r="W16" i="10"/>
  <c r="S16" i="10"/>
  <c r="O16" i="10"/>
  <c r="K16" i="10"/>
  <c r="G16" i="10"/>
  <c r="BW15" i="10"/>
  <c r="BU15" i="10"/>
  <c r="BY15" i="10" s="1"/>
  <c r="BS15" i="10"/>
  <c r="BO15" i="10"/>
  <c r="BK15" i="10"/>
  <c r="BG15" i="10"/>
  <c r="BC15" i="10"/>
  <c r="AY15" i="10"/>
  <c r="AU15" i="10"/>
  <c r="AQ15" i="10"/>
  <c r="AM15" i="10"/>
  <c r="AI15" i="10"/>
  <c r="AE15" i="10"/>
  <c r="AA15" i="10"/>
  <c r="W15" i="10"/>
  <c r="S15" i="10"/>
  <c r="O15" i="10"/>
  <c r="K15" i="10"/>
  <c r="G15" i="10"/>
  <c r="BW14" i="10"/>
  <c r="BU14" i="10"/>
  <c r="BY14" i="10" s="1"/>
  <c r="BS14" i="10"/>
  <c r="BO14" i="10"/>
  <c r="BK14" i="10"/>
  <c r="BG14" i="10"/>
  <c r="BC14" i="10"/>
  <c r="AY14" i="10"/>
  <c r="AU14" i="10"/>
  <c r="AQ14" i="10"/>
  <c r="AM14" i="10"/>
  <c r="AI14" i="10"/>
  <c r="AE14" i="10"/>
  <c r="AA14" i="10"/>
  <c r="S14" i="10"/>
  <c r="G14" i="10"/>
  <c r="BW13" i="10"/>
  <c r="BU13" i="10"/>
  <c r="BY13" i="10" s="1"/>
  <c r="CE8" i="10" s="1"/>
  <c r="BS13" i="10"/>
  <c r="BO13" i="10"/>
  <c r="BK13" i="10"/>
  <c r="BG13" i="10"/>
  <c r="BC13" i="10"/>
  <c r="AY13" i="10"/>
  <c r="AU13" i="10"/>
  <c r="AQ13" i="10"/>
  <c r="AM13" i="10"/>
  <c r="AI13" i="10"/>
  <c r="AE13" i="10"/>
  <c r="AA13" i="10"/>
  <c r="W13" i="10"/>
  <c r="S13" i="10"/>
  <c r="O13" i="10"/>
  <c r="K13" i="10"/>
  <c r="G13" i="10"/>
  <c r="BY12" i="10"/>
  <c r="BW12" i="10"/>
  <c r="BU12" i="10"/>
  <c r="BS12" i="10"/>
  <c r="BO12" i="10"/>
  <c r="BK12" i="10"/>
  <c r="BG12" i="10"/>
  <c r="BC12" i="10"/>
  <c r="AY12" i="10"/>
  <c r="AU12" i="10"/>
  <c r="AQ12" i="10"/>
  <c r="AM12" i="10"/>
  <c r="AI12" i="10"/>
  <c r="AE12" i="10"/>
  <c r="AA12" i="10"/>
  <c r="W12" i="10"/>
  <c r="S12" i="10"/>
  <c r="O12" i="10"/>
  <c r="K12" i="10"/>
  <c r="G12" i="10"/>
  <c r="BW11" i="10"/>
  <c r="BU11" i="10"/>
  <c r="BS11" i="10"/>
  <c r="BO11" i="10"/>
  <c r="BK11" i="10"/>
  <c r="BG11" i="10"/>
  <c r="BC11" i="10"/>
  <c r="AY11" i="10"/>
  <c r="AU11" i="10"/>
  <c r="AQ11" i="10"/>
  <c r="AM11" i="10"/>
  <c r="AI11" i="10"/>
  <c r="AE11" i="10"/>
  <c r="AA11" i="10"/>
  <c r="W11" i="10"/>
  <c r="S11" i="10"/>
  <c r="O11" i="10"/>
  <c r="K11" i="10"/>
  <c r="G11" i="10"/>
  <c r="BW10" i="10"/>
  <c r="BU10" i="10"/>
  <c r="BY10" i="10" s="1"/>
  <c r="BS10" i="10"/>
  <c r="BO10" i="10"/>
  <c r="BK10" i="10"/>
  <c r="BG10" i="10"/>
  <c r="BC10" i="10"/>
  <c r="AY10" i="10"/>
  <c r="AU10" i="10"/>
  <c r="AQ10" i="10"/>
  <c r="AM10" i="10"/>
  <c r="AI10" i="10"/>
  <c r="AE10" i="10"/>
  <c r="AA10" i="10"/>
  <c r="W10" i="10"/>
  <c r="S10" i="10"/>
  <c r="O10" i="10"/>
  <c r="K10" i="10"/>
  <c r="G10" i="10"/>
  <c r="BW9" i="10"/>
  <c r="BU9" i="10"/>
  <c r="BS9" i="10"/>
  <c r="BO9" i="10"/>
  <c r="BK9" i="10"/>
  <c r="BG9" i="10"/>
  <c r="BC9" i="10"/>
  <c r="AY9" i="10"/>
  <c r="AU9" i="10"/>
  <c r="AQ9" i="10"/>
  <c r="AM9" i="10"/>
  <c r="AI9" i="10"/>
  <c r="AE9" i="10"/>
  <c r="AA9" i="10"/>
  <c r="W9" i="10"/>
  <c r="S9" i="10"/>
  <c r="O9" i="10"/>
  <c r="K9" i="10"/>
  <c r="G9" i="10"/>
  <c r="BW8" i="10"/>
  <c r="BU8" i="10"/>
  <c r="BY8" i="10" s="1"/>
  <c r="BS8" i="10"/>
  <c r="BO8" i="10"/>
  <c r="BK8" i="10"/>
  <c r="BG8" i="10"/>
  <c r="BC8" i="10"/>
  <c r="AY8" i="10"/>
  <c r="AU8" i="10"/>
  <c r="AQ8" i="10"/>
  <c r="AM8" i="10"/>
  <c r="AI8" i="10"/>
  <c r="AE8" i="10"/>
  <c r="AA8" i="10"/>
  <c r="W8" i="10"/>
  <c r="S8" i="10"/>
  <c r="O8" i="10"/>
  <c r="K8" i="10"/>
  <c r="G8" i="10"/>
  <c r="BW7" i="10"/>
  <c r="BU7" i="10"/>
  <c r="BY7" i="10" s="1"/>
  <c r="BS7" i="10"/>
  <c r="BO7" i="10"/>
  <c r="BK7" i="10"/>
  <c r="BG7" i="10"/>
  <c r="BC7" i="10"/>
  <c r="AY7" i="10"/>
  <c r="AU7" i="10"/>
  <c r="AQ7" i="10"/>
  <c r="AM7" i="10"/>
  <c r="AI7" i="10"/>
  <c r="AE7" i="10"/>
  <c r="AA7" i="10"/>
  <c r="W7" i="10"/>
  <c r="S7" i="10"/>
  <c r="O7" i="10"/>
  <c r="K7" i="10"/>
  <c r="G7" i="10"/>
  <c r="BW6" i="10"/>
  <c r="BU6" i="10"/>
  <c r="BS6" i="10"/>
  <c r="BO6" i="10"/>
  <c r="BK6" i="10"/>
  <c r="BG6" i="10"/>
  <c r="BC6" i="10"/>
  <c r="AY6" i="10"/>
  <c r="AU6" i="10"/>
  <c r="AQ6" i="10"/>
  <c r="AM6" i="10"/>
  <c r="AI6" i="10"/>
  <c r="AE6" i="10"/>
  <c r="AA6" i="10"/>
  <c r="W6" i="10"/>
  <c r="S6" i="10"/>
  <c r="O6" i="10"/>
  <c r="K6" i="10"/>
  <c r="G6" i="10"/>
  <c r="BY5" i="10"/>
  <c r="BW5" i="10"/>
  <c r="BU5" i="10"/>
  <c r="BS5" i="10"/>
  <c r="BO5" i="10"/>
  <c r="BK5" i="10"/>
  <c r="BG5" i="10"/>
  <c r="BC5" i="10"/>
  <c r="AY5" i="10"/>
  <c r="AU5" i="10"/>
  <c r="AQ5" i="10"/>
  <c r="AM5" i="10"/>
  <c r="AI5" i="10"/>
  <c r="AE5" i="10"/>
  <c r="AA5" i="10"/>
  <c r="W5" i="10"/>
  <c r="S5" i="10"/>
  <c r="O5" i="10"/>
  <c r="K5" i="10"/>
  <c r="G5" i="10"/>
  <c r="BW4" i="10"/>
  <c r="BU4" i="10"/>
  <c r="BS4" i="10"/>
  <c r="BO4" i="10"/>
  <c r="BK4" i="10"/>
  <c r="BG4" i="10"/>
  <c r="BC4" i="10"/>
  <c r="AY4" i="10"/>
  <c r="AU4" i="10"/>
  <c r="AQ4" i="10"/>
  <c r="AM4" i="10"/>
  <c r="AI4" i="10"/>
  <c r="AE4" i="10"/>
  <c r="AA4" i="10"/>
  <c r="W4" i="10"/>
  <c r="S4" i="10"/>
  <c r="O4" i="10"/>
  <c r="K4" i="10"/>
  <c r="G4" i="10"/>
  <c r="BW3" i="10"/>
  <c r="BU3" i="10"/>
  <c r="BS3" i="10"/>
  <c r="BO3" i="10"/>
  <c r="BK3" i="10"/>
  <c r="BG3" i="10"/>
  <c r="BC3" i="10"/>
  <c r="AY3" i="10"/>
  <c r="AU3" i="10"/>
  <c r="AQ3" i="10"/>
  <c r="AM3" i="10"/>
  <c r="AI3" i="10"/>
  <c r="AE3" i="10"/>
  <c r="AA3" i="10"/>
  <c r="W3" i="10"/>
  <c r="S3" i="10"/>
  <c r="O3" i="10"/>
  <c r="K3" i="10"/>
  <c r="G3" i="10"/>
  <c r="BV34" i="9"/>
  <c r="BT34" i="9"/>
  <c r="BR34" i="9"/>
  <c r="BN34" i="9"/>
  <c r="BJ34" i="9"/>
  <c r="BF34" i="9"/>
  <c r="BB34" i="9"/>
  <c r="AX34" i="9"/>
  <c r="AT34" i="9"/>
  <c r="AP34" i="9"/>
  <c r="AL34" i="9"/>
  <c r="AH34" i="9"/>
  <c r="Z34" i="9"/>
  <c r="V34" i="9"/>
  <c r="R34" i="9"/>
  <c r="N34" i="9"/>
  <c r="J34" i="9"/>
  <c r="F34" i="9"/>
  <c r="BV33" i="9"/>
  <c r="BT33" i="9"/>
  <c r="BR33" i="9"/>
  <c r="BN33" i="9"/>
  <c r="BJ33" i="9"/>
  <c r="BF33" i="9"/>
  <c r="BB33" i="9"/>
  <c r="AX33" i="9"/>
  <c r="AT33" i="9"/>
  <c r="AP33" i="9"/>
  <c r="AL33" i="9"/>
  <c r="AH33" i="9"/>
  <c r="Z33" i="9"/>
  <c r="V33" i="9"/>
  <c r="R33" i="9"/>
  <c r="N33" i="9"/>
  <c r="J33" i="9"/>
  <c r="F33" i="9"/>
  <c r="BV32" i="9"/>
  <c r="BT32" i="9"/>
  <c r="BX32" i="9" s="1"/>
  <c r="BR32" i="9"/>
  <c r="BU32" i="9" s="1"/>
  <c r="BN32" i="9"/>
  <c r="BJ32" i="9"/>
  <c r="BF32" i="9"/>
  <c r="BB32" i="9"/>
  <c r="AX32" i="9"/>
  <c r="AT32" i="9"/>
  <c r="AP32" i="9"/>
  <c r="AL32" i="9"/>
  <c r="AH32" i="9"/>
  <c r="Z32" i="9"/>
  <c r="V32" i="9"/>
  <c r="R32" i="9"/>
  <c r="N32" i="9"/>
  <c r="J32" i="9"/>
  <c r="F32" i="9"/>
  <c r="BV31" i="9"/>
  <c r="BT31" i="9"/>
  <c r="BR31" i="9"/>
  <c r="BN31" i="9"/>
  <c r="BJ31" i="9"/>
  <c r="BF31" i="9"/>
  <c r="BB31" i="9"/>
  <c r="AX31" i="9"/>
  <c r="AT31" i="9"/>
  <c r="AP31" i="9"/>
  <c r="AL31" i="9"/>
  <c r="AH31" i="9"/>
  <c r="Z31" i="9"/>
  <c r="V31" i="9"/>
  <c r="R31" i="9"/>
  <c r="N31" i="9"/>
  <c r="J31" i="9"/>
  <c r="F31" i="9"/>
  <c r="BV30" i="9"/>
  <c r="BT30" i="9"/>
  <c r="BX30" i="9" s="1"/>
  <c r="BR30" i="9"/>
  <c r="BN30" i="9"/>
  <c r="BJ30" i="9"/>
  <c r="BF30" i="9"/>
  <c r="BB30" i="9"/>
  <c r="AX30" i="9"/>
  <c r="AT30" i="9"/>
  <c r="AP30" i="9"/>
  <c r="AL30" i="9"/>
  <c r="AH30" i="9"/>
  <c r="Z30" i="9"/>
  <c r="V30" i="9"/>
  <c r="R30" i="9"/>
  <c r="N30" i="9"/>
  <c r="J30" i="9"/>
  <c r="F30" i="9"/>
  <c r="BV29" i="9"/>
  <c r="BT29" i="9"/>
  <c r="BR29" i="9"/>
  <c r="BN29" i="9"/>
  <c r="BJ29" i="9"/>
  <c r="BF29" i="9"/>
  <c r="BB29" i="9"/>
  <c r="AX29" i="9"/>
  <c r="AT29" i="9"/>
  <c r="AP29" i="9"/>
  <c r="AL29" i="9"/>
  <c r="AH29" i="9"/>
  <c r="AD29" i="9"/>
  <c r="Z29" i="9"/>
  <c r="V29" i="9"/>
  <c r="R29" i="9"/>
  <c r="N29" i="9"/>
  <c r="J29" i="9"/>
  <c r="F29" i="9"/>
  <c r="BV28" i="9"/>
  <c r="BT28" i="9"/>
  <c r="BR28" i="9"/>
  <c r="BN28" i="9"/>
  <c r="BJ28" i="9"/>
  <c r="BF28" i="9"/>
  <c r="BB28" i="9"/>
  <c r="AX28" i="9"/>
  <c r="AT28" i="9"/>
  <c r="AP28" i="9"/>
  <c r="AL28" i="9"/>
  <c r="AH28" i="9"/>
  <c r="AD28" i="9"/>
  <c r="Z28" i="9"/>
  <c r="V28" i="9"/>
  <c r="R28" i="9"/>
  <c r="N28" i="9"/>
  <c r="J28" i="9"/>
  <c r="F28" i="9"/>
  <c r="BV27" i="9"/>
  <c r="BT27" i="9"/>
  <c r="BR27" i="9"/>
  <c r="BN27" i="9"/>
  <c r="BJ27" i="9"/>
  <c r="BF27" i="9"/>
  <c r="BB27" i="9"/>
  <c r="AX27" i="9"/>
  <c r="AT27" i="9"/>
  <c r="AP27" i="9"/>
  <c r="AL27" i="9"/>
  <c r="AH27" i="9"/>
  <c r="AD27" i="9"/>
  <c r="Z27" i="9"/>
  <c r="V27" i="9"/>
  <c r="R27" i="9"/>
  <c r="N27" i="9"/>
  <c r="J27" i="9"/>
  <c r="F27" i="9"/>
  <c r="BV26" i="9"/>
  <c r="BT26" i="9"/>
  <c r="BR26" i="9"/>
  <c r="BN26" i="9"/>
  <c r="BJ26" i="9"/>
  <c r="BF26" i="9"/>
  <c r="BB26" i="9"/>
  <c r="AX26" i="9"/>
  <c r="AT26" i="9"/>
  <c r="AP26" i="9"/>
  <c r="AL26" i="9"/>
  <c r="AH26" i="9"/>
  <c r="AD26" i="9"/>
  <c r="Z26" i="9"/>
  <c r="V26" i="9"/>
  <c r="R26" i="9"/>
  <c r="N26" i="9"/>
  <c r="J26" i="9"/>
  <c r="F26" i="9"/>
  <c r="BV25" i="9"/>
  <c r="BT25" i="9"/>
  <c r="BR25" i="9"/>
  <c r="BN25" i="9"/>
  <c r="BJ25" i="9"/>
  <c r="BF25" i="9"/>
  <c r="BB25" i="9"/>
  <c r="AX25" i="9"/>
  <c r="AT25" i="9"/>
  <c r="AP25" i="9"/>
  <c r="AL25" i="9"/>
  <c r="AH25" i="9"/>
  <c r="AD25" i="9"/>
  <c r="Z25" i="9"/>
  <c r="V25" i="9"/>
  <c r="R25" i="9"/>
  <c r="N25" i="9"/>
  <c r="J25" i="9"/>
  <c r="F25" i="9"/>
  <c r="BV24" i="9"/>
  <c r="BT24" i="9"/>
  <c r="BR24" i="9"/>
  <c r="BN24" i="9"/>
  <c r="BJ24" i="9"/>
  <c r="BF24" i="9"/>
  <c r="BB24" i="9"/>
  <c r="AX24" i="9"/>
  <c r="AT24" i="9"/>
  <c r="AP24" i="9"/>
  <c r="AL24" i="9"/>
  <c r="AH24" i="9"/>
  <c r="AD24" i="9"/>
  <c r="Z24" i="9"/>
  <c r="V24" i="9"/>
  <c r="R24" i="9"/>
  <c r="N24" i="9"/>
  <c r="J24" i="9"/>
  <c r="F24" i="9"/>
  <c r="BV23" i="9"/>
  <c r="BT23" i="9"/>
  <c r="BX23" i="9" s="1"/>
  <c r="BR23" i="9"/>
  <c r="BN23" i="9"/>
  <c r="BJ23" i="9"/>
  <c r="BF23" i="9"/>
  <c r="BB23" i="9"/>
  <c r="AX23" i="9"/>
  <c r="AT23" i="9"/>
  <c r="AP23" i="9"/>
  <c r="AL23" i="9"/>
  <c r="AH23" i="9"/>
  <c r="AD23" i="9"/>
  <c r="Z23" i="9"/>
  <c r="V23" i="9"/>
  <c r="R23" i="9"/>
  <c r="N23" i="9"/>
  <c r="J23" i="9"/>
  <c r="F23" i="9"/>
  <c r="BV22" i="9"/>
  <c r="BT22" i="9"/>
  <c r="BR22" i="9"/>
  <c r="BN22" i="9"/>
  <c r="BJ22" i="9"/>
  <c r="BF22" i="9"/>
  <c r="BB22" i="9"/>
  <c r="AX22" i="9"/>
  <c r="AT22" i="9"/>
  <c r="AP22" i="9"/>
  <c r="AL22" i="9"/>
  <c r="AH22" i="9"/>
  <c r="AD22" i="9"/>
  <c r="Z22" i="9"/>
  <c r="V22" i="9"/>
  <c r="R22" i="9"/>
  <c r="N22" i="9"/>
  <c r="J22" i="9"/>
  <c r="F22" i="9"/>
  <c r="BV21" i="9"/>
  <c r="BT21" i="9"/>
  <c r="BR21" i="9"/>
  <c r="BN21" i="9"/>
  <c r="BJ21" i="9"/>
  <c r="BF21" i="9"/>
  <c r="BB21" i="9"/>
  <c r="AX21" i="9"/>
  <c r="AT21" i="9"/>
  <c r="AP21" i="9"/>
  <c r="AL21" i="9"/>
  <c r="AH21" i="9"/>
  <c r="AD21" i="9"/>
  <c r="Z21" i="9"/>
  <c r="V21" i="9"/>
  <c r="R21" i="9"/>
  <c r="N21" i="9"/>
  <c r="J21" i="9"/>
  <c r="F21" i="9"/>
  <c r="BV20" i="9"/>
  <c r="BT20" i="9"/>
  <c r="BR20" i="9"/>
  <c r="BN20" i="9"/>
  <c r="BJ20" i="9"/>
  <c r="BF20" i="9"/>
  <c r="BB20" i="9"/>
  <c r="AX20" i="9"/>
  <c r="AT20" i="9"/>
  <c r="AP20" i="9"/>
  <c r="AL20" i="9"/>
  <c r="AH20" i="9"/>
  <c r="AD20" i="9"/>
  <c r="Z20" i="9"/>
  <c r="V20" i="9"/>
  <c r="R20" i="9"/>
  <c r="N20" i="9"/>
  <c r="J20" i="9"/>
  <c r="F20" i="9"/>
  <c r="BV19" i="9"/>
  <c r="BT19" i="9"/>
  <c r="BR19" i="9"/>
  <c r="BN19" i="9"/>
  <c r="BJ19" i="9"/>
  <c r="BF19" i="9"/>
  <c r="BB19" i="9"/>
  <c r="AX19" i="9"/>
  <c r="AT19" i="9"/>
  <c r="AP19" i="9"/>
  <c r="AL19" i="9"/>
  <c r="AH19" i="9"/>
  <c r="AD19" i="9"/>
  <c r="Z19" i="9"/>
  <c r="V19" i="9"/>
  <c r="R19" i="9"/>
  <c r="N19" i="9"/>
  <c r="J19" i="9"/>
  <c r="F19" i="9"/>
  <c r="BV18" i="9"/>
  <c r="BT18" i="9"/>
  <c r="BX18" i="9" s="1"/>
  <c r="BR18" i="9"/>
  <c r="BN18" i="9"/>
  <c r="BJ18" i="9"/>
  <c r="BF18" i="9"/>
  <c r="BB18" i="9"/>
  <c r="AX18" i="9"/>
  <c r="AT18" i="9"/>
  <c r="AP18" i="9"/>
  <c r="AL18" i="9"/>
  <c r="AH18" i="9"/>
  <c r="AD18" i="9"/>
  <c r="Z18" i="9"/>
  <c r="V18" i="9"/>
  <c r="R18" i="9"/>
  <c r="N18" i="9"/>
  <c r="J18" i="9"/>
  <c r="F18" i="9"/>
  <c r="BV17" i="9"/>
  <c r="BT17" i="9"/>
  <c r="BR17" i="9"/>
  <c r="BN17" i="9"/>
  <c r="BJ17" i="9"/>
  <c r="BF17" i="9"/>
  <c r="BB17" i="9"/>
  <c r="AX17" i="9"/>
  <c r="AT17" i="9"/>
  <c r="AP17" i="9"/>
  <c r="AL17" i="9"/>
  <c r="AH17" i="9"/>
  <c r="AD17" i="9"/>
  <c r="Z17" i="9"/>
  <c r="V17" i="9"/>
  <c r="R17" i="9"/>
  <c r="N17" i="9"/>
  <c r="J17" i="9"/>
  <c r="F17" i="9"/>
  <c r="BV16" i="9"/>
  <c r="BT16" i="9"/>
  <c r="BX16" i="9" s="1"/>
  <c r="BR16" i="9"/>
  <c r="BN16" i="9"/>
  <c r="BJ16" i="9"/>
  <c r="BF16" i="9"/>
  <c r="BB16" i="9"/>
  <c r="AX16" i="9"/>
  <c r="AT16" i="9"/>
  <c r="AP16" i="9"/>
  <c r="AL16" i="9"/>
  <c r="AH16" i="9"/>
  <c r="AD16" i="9"/>
  <c r="V16" i="9"/>
  <c r="R16" i="9"/>
  <c r="N16" i="9"/>
  <c r="J16" i="9"/>
  <c r="F16" i="9"/>
  <c r="BV15" i="9"/>
  <c r="BT15" i="9"/>
  <c r="BX15" i="9" s="1"/>
  <c r="BR15" i="9"/>
  <c r="BN15" i="9"/>
  <c r="BJ15" i="9"/>
  <c r="BF15" i="9"/>
  <c r="BB15" i="9"/>
  <c r="AX15" i="9"/>
  <c r="AT15" i="9"/>
  <c r="AP15" i="9"/>
  <c r="AL15" i="9"/>
  <c r="AH15" i="9"/>
  <c r="AD15" i="9"/>
  <c r="Z15" i="9"/>
  <c r="V15" i="9"/>
  <c r="R15" i="9"/>
  <c r="N15" i="9"/>
  <c r="J15" i="9"/>
  <c r="F15" i="9"/>
  <c r="BV14" i="9"/>
  <c r="BT14" i="9"/>
  <c r="BR14" i="9"/>
  <c r="BN14" i="9"/>
  <c r="BJ14" i="9"/>
  <c r="BF14" i="9"/>
  <c r="BB14" i="9"/>
  <c r="AX14" i="9"/>
  <c r="AT14" i="9"/>
  <c r="AP14" i="9"/>
  <c r="AL14" i="9"/>
  <c r="AH14" i="9"/>
  <c r="AD14" i="9"/>
  <c r="Z14" i="9"/>
  <c r="R14" i="9"/>
  <c r="F14" i="9"/>
  <c r="BV13" i="9"/>
  <c r="BX13" i="9" s="1"/>
  <c r="BT13" i="9"/>
  <c r="BR13" i="9"/>
  <c r="BN13" i="9"/>
  <c r="BJ13" i="9"/>
  <c r="BF13" i="9"/>
  <c r="BB13" i="9"/>
  <c r="AX13" i="9"/>
  <c r="AT13" i="9"/>
  <c r="AP13" i="9"/>
  <c r="AL13" i="9"/>
  <c r="AH13" i="9"/>
  <c r="AD13" i="9"/>
  <c r="Z13" i="9"/>
  <c r="V13" i="9"/>
  <c r="R13" i="9"/>
  <c r="N13" i="9"/>
  <c r="J13" i="9"/>
  <c r="F13" i="9"/>
  <c r="BV12" i="9"/>
  <c r="BT12" i="9"/>
  <c r="BX12" i="9" s="1"/>
  <c r="BR12" i="9"/>
  <c r="BN12" i="9"/>
  <c r="BJ12" i="9"/>
  <c r="BF12" i="9"/>
  <c r="BB12" i="9"/>
  <c r="AX12" i="9"/>
  <c r="AT12" i="9"/>
  <c r="AP12" i="9"/>
  <c r="AL12" i="9"/>
  <c r="AH12" i="9"/>
  <c r="AD12" i="9"/>
  <c r="Z12" i="9"/>
  <c r="V12" i="9"/>
  <c r="R12" i="9"/>
  <c r="N12" i="9"/>
  <c r="J12" i="9"/>
  <c r="F12" i="9"/>
  <c r="BV11" i="9"/>
  <c r="BT11" i="9"/>
  <c r="BX11" i="9" s="1"/>
  <c r="BR11" i="9"/>
  <c r="BN11" i="9"/>
  <c r="BJ11" i="9"/>
  <c r="BF11" i="9"/>
  <c r="BB11" i="9"/>
  <c r="AX11" i="9"/>
  <c r="AT11" i="9"/>
  <c r="AP11" i="9"/>
  <c r="AL11" i="9"/>
  <c r="AH11" i="9"/>
  <c r="AD11" i="9"/>
  <c r="Z11" i="9"/>
  <c r="V11" i="9"/>
  <c r="R11" i="9"/>
  <c r="N11" i="9"/>
  <c r="J11" i="9"/>
  <c r="F11" i="9"/>
  <c r="BV10" i="9"/>
  <c r="BT10" i="9"/>
  <c r="BR10" i="9"/>
  <c r="BN10" i="9"/>
  <c r="BJ10" i="9"/>
  <c r="BF10" i="9"/>
  <c r="BB10" i="9"/>
  <c r="AX10" i="9"/>
  <c r="AT10" i="9"/>
  <c r="AP10" i="9"/>
  <c r="AL10" i="9"/>
  <c r="AH10" i="9"/>
  <c r="AD10" i="9"/>
  <c r="Z10" i="9"/>
  <c r="V10" i="9"/>
  <c r="R10" i="9"/>
  <c r="N10" i="9"/>
  <c r="J10" i="9"/>
  <c r="F10" i="9"/>
  <c r="BV9" i="9"/>
  <c r="BT9" i="9"/>
  <c r="BR9" i="9"/>
  <c r="BN9" i="9"/>
  <c r="BJ9" i="9"/>
  <c r="BF9" i="9"/>
  <c r="BB9" i="9"/>
  <c r="AX9" i="9"/>
  <c r="AT9" i="9"/>
  <c r="AP9" i="9"/>
  <c r="AL9" i="9"/>
  <c r="AH9" i="9"/>
  <c r="AD9" i="9"/>
  <c r="Z9" i="9"/>
  <c r="V9" i="9"/>
  <c r="R9" i="9"/>
  <c r="N9" i="9"/>
  <c r="J9" i="9"/>
  <c r="F9" i="9"/>
  <c r="BV8" i="9"/>
  <c r="BT8" i="9"/>
  <c r="BX8" i="9" s="1"/>
  <c r="BR8" i="9"/>
  <c r="BN8" i="9"/>
  <c r="BJ8" i="9"/>
  <c r="BF8" i="9"/>
  <c r="BB8" i="9"/>
  <c r="AX8" i="9"/>
  <c r="AT8" i="9"/>
  <c r="AP8" i="9"/>
  <c r="AL8" i="9"/>
  <c r="AH8" i="9"/>
  <c r="AD8" i="9"/>
  <c r="Z8" i="9"/>
  <c r="V8" i="9"/>
  <c r="R8" i="9"/>
  <c r="N8" i="9"/>
  <c r="J8" i="9"/>
  <c r="F8" i="9"/>
  <c r="BV7" i="9"/>
  <c r="BT7" i="9"/>
  <c r="BR7" i="9"/>
  <c r="BN7" i="9"/>
  <c r="BJ7" i="9"/>
  <c r="BF7" i="9"/>
  <c r="BB7" i="9"/>
  <c r="AX7" i="9"/>
  <c r="AT7" i="9"/>
  <c r="AP7" i="9"/>
  <c r="AL7" i="9"/>
  <c r="AH7" i="9"/>
  <c r="AD7" i="9"/>
  <c r="Z7" i="9"/>
  <c r="V7" i="9"/>
  <c r="R7" i="9"/>
  <c r="N7" i="9"/>
  <c r="J7" i="9"/>
  <c r="F7" i="9"/>
  <c r="BV6" i="9"/>
  <c r="BT6" i="9"/>
  <c r="BR6" i="9"/>
  <c r="BN6" i="9"/>
  <c r="BJ6" i="9"/>
  <c r="BF6" i="9"/>
  <c r="BB6" i="9"/>
  <c r="AX6" i="9"/>
  <c r="AT6" i="9"/>
  <c r="AP6" i="9"/>
  <c r="AL6" i="9"/>
  <c r="AH6" i="9"/>
  <c r="AD6" i="9"/>
  <c r="Z6" i="9"/>
  <c r="V6" i="9"/>
  <c r="R6" i="9"/>
  <c r="N6" i="9"/>
  <c r="J6" i="9"/>
  <c r="F6" i="9"/>
  <c r="BV5" i="9"/>
  <c r="BT5" i="9"/>
  <c r="BX5" i="9" s="1"/>
  <c r="BR5" i="9"/>
  <c r="BN5" i="9"/>
  <c r="BJ5" i="9"/>
  <c r="BF5" i="9"/>
  <c r="BB5" i="9"/>
  <c r="AX5" i="9"/>
  <c r="AT5" i="9"/>
  <c r="AP5" i="9"/>
  <c r="AL5" i="9"/>
  <c r="AH5" i="9"/>
  <c r="AD5" i="9"/>
  <c r="Z5" i="9"/>
  <c r="V5" i="9"/>
  <c r="R5" i="9"/>
  <c r="N5" i="9"/>
  <c r="J5" i="9"/>
  <c r="F5" i="9"/>
  <c r="BV4" i="9"/>
  <c r="BT4" i="9"/>
  <c r="BR4" i="9"/>
  <c r="BN4" i="9"/>
  <c r="BJ4" i="9"/>
  <c r="BF4" i="9"/>
  <c r="BB4" i="9"/>
  <c r="AX4" i="9"/>
  <c r="AT4" i="9"/>
  <c r="AP4" i="9"/>
  <c r="AL4" i="9"/>
  <c r="AH4" i="9"/>
  <c r="AD4" i="9"/>
  <c r="Z4" i="9"/>
  <c r="V4" i="9"/>
  <c r="R4" i="9"/>
  <c r="N4" i="9"/>
  <c r="J4" i="9"/>
  <c r="F4" i="9"/>
  <c r="BV3" i="9"/>
  <c r="BT3" i="9"/>
  <c r="BR3" i="9"/>
  <c r="BN3" i="9"/>
  <c r="BJ3" i="9"/>
  <c r="BF3" i="9"/>
  <c r="BB3" i="9"/>
  <c r="AX3" i="9"/>
  <c r="AT3" i="9"/>
  <c r="AP3" i="9"/>
  <c r="AL3" i="9"/>
  <c r="AH3" i="9"/>
  <c r="AD3" i="9"/>
  <c r="Z3" i="9"/>
  <c r="V3" i="9"/>
  <c r="R3" i="9"/>
  <c r="N3" i="9"/>
  <c r="J3" i="9"/>
  <c r="F3" i="9"/>
  <c r="BV34" i="6"/>
  <c r="BT34" i="6"/>
  <c r="BX34" i="6" s="1"/>
  <c r="BR34" i="6"/>
  <c r="BN34" i="6"/>
  <c r="BJ34" i="6"/>
  <c r="BF34" i="6"/>
  <c r="BB34" i="6"/>
  <c r="AX34" i="6"/>
  <c r="AT34" i="6"/>
  <c r="AP34" i="6"/>
  <c r="AL34" i="6"/>
  <c r="AH34" i="6"/>
  <c r="Z34" i="6"/>
  <c r="V34" i="6"/>
  <c r="R34" i="6"/>
  <c r="N34" i="6"/>
  <c r="J34" i="6"/>
  <c r="F34" i="6"/>
  <c r="BV33" i="6"/>
  <c r="BT33" i="6"/>
  <c r="BX33" i="6" s="1"/>
  <c r="CE18" i="6" s="1"/>
  <c r="BR33" i="6"/>
  <c r="BN33" i="6"/>
  <c r="BJ33" i="6"/>
  <c r="BF33" i="6"/>
  <c r="BB33" i="6"/>
  <c r="AX33" i="6"/>
  <c r="AT33" i="6"/>
  <c r="AP33" i="6"/>
  <c r="AL33" i="6"/>
  <c r="AH33" i="6"/>
  <c r="Z33" i="6"/>
  <c r="V33" i="6"/>
  <c r="R33" i="6"/>
  <c r="N33" i="6"/>
  <c r="J33" i="6"/>
  <c r="F33" i="6"/>
  <c r="BV32" i="6"/>
  <c r="BT32" i="6"/>
  <c r="BR32" i="6"/>
  <c r="BN32" i="6"/>
  <c r="BJ32" i="6"/>
  <c r="BF32" i="6"/>
  <c r="BB32" i="6"/>
  <c r="AX32" i="6"/>
  <c r="AT32" i="6"/>
  <c r="AP32" i="6"/>
  <c r="AL32" i="6"/>
  <c r="AH32" i="6"/>
  <c r="Z32" i="6"/>
  <c r="V32" i="6"/>
  <c r="R32" i="6"/>
  <c r="N32" i="6"/>
  <c r="J32" i="6"/>
  <c r="F32" i="6"/>
  <c r="BV31" i="6"/>
  <c r="BT31" i="6"/>
  <c r="BR31" i="6"/>
  <c r="BN31" i="6"/>
  <c r="BJ31" i="6"/>
  <c r="BF31" i="6"/>
  <c r="BB31" i="6"/>
  <c r="AX31" i="6"/>
  <c r="AT31" i="6"/>
  <c r="AP31" i="6"/>
  <c r="AL31" i="6"/>
  <c r="AH31" i="6"/>
  <c r="Z31" i="6"/>
  <c r="V31" i="6"/>
  <c r="R31" i="6"/>
  <c r="N31" i="6"/>
  <c r="J31" i="6"/>
  <c r="F31" i="6"/>
  <c r="BV30" i="6"/>
  <c r="BT30" i="6"/>
  <c r="BR30" i="6"/>
  <c r="BN30" i="6"/>
  <c r="BJ30" i="6"/>
  <c r="BF30" i="6"/>
  <c r="BB30" i="6"/>
  <c r="AX30" i="6"/>
  <c r="AT30" i="6"/>
  <c r="AP30" i="6"/>
  <c r="AL30" i="6"/>
  <c r="AH30" i="6"/>
  <c r="Z30" i="6"/>
  <c r="V30" i="6"/>
  <c r="R30" i="6"/>
  <c r="N30" i="6"/>
  <c r="J30" i="6"/>
  <c r="F30" i="6"/>
  <c r="BV29" i="6"/>
  <c r="BT29" i="6"/>
  <c r="BR29" i="6"/>
  <c r="BN29" i="6"/>
  <c r="BJ29" i="6"/>
  <c r="BF29" i="6"/>
  <c r="BB29" i="6"/>
  <c r="AX29" i="6"/>
  <c r="AT29" i="6"/>
  <c r="AP29" i="6"/>
  <c r="AL29" i="6"/>
  <c r="AH29" i="6"/>
  <c r="AD29" i="6"/>
  <c r="Z29" i="6"/>
  <c r="V29" i="6"/>
  <c r="R29" i="6"/>
  <c r="N29" i="6"/>
  <c r="J29" i="6"/>
  <c r="F29" i="6"/>
  <c r="BV28" i="6"/>
  <c r="BT28" i="6"/>
  <c r="BR28" i="6"/>
  <c r="BN28" i="6"/>
  <c r="BJ28" i="6"/>
  <c r="BF28" i="6"/>
  <c r="BB28" i="6"/>
  <c r="AX28" i="6"/>
  <c r="AT28" i="6"/>
  <c r="AP28" i="6"/>
  <c r="AL28" i="6"/>
  <c r="AH28" i="6"/>
  <c r="AD28" i="6"/>
  <c r="Z28" i="6"/>
  <c r="V28" i="6"/>
  <c r="R28" i="6"/>
  <c r="N28" i="6"/>
  <c r="J28" i="6"/>
  <c r="F28" i="6"/>
  <c r="BV27" i="6"/>
  <c r="BT27" i="6"/>
  <c r="BR27" i="6"/>
  <c r="BN27" i="6"/>
  <c r="BJ27" i="6"/>
  <c r="BF27" i="6"/>
  <c r="BB27" i="6"/>
  <c r="AX27" i="6"/>
  <c r="AT27" i="6"/>
  <c r="AP27" i="6"/>
  <c r="AL27" i="6"/>
  <c r="AH27" i="6"/>
  <c r="AD27" i="6"/>
  <c r="Z27" i="6"/>
  <c r="V27" i="6"/>
  <c r="R27" i="6"/>
  <c r="N27" i="6"/>
  <c r="J27" i="6"/>
  <c r="F27" i="6"/>
  <c r="BV26" i="6"/>
  <c r="BT26" i="6"/>
  <c r="BR26" i="6"/>
  <c r="BN26" i="6"/>
  <c r="BJ26" i="6"/>
  <c r="BF26" i="6"/>
  <c r="BB26" i="6"/>
  <c r="AX26" i="6"/>
  <c r="AT26" i="6"/>
  <c r="AP26" i="6"/>
  <c r="AL26" i="6"/>
  <c r="AH26" i="6"/>
  <c r="AD26" i="6"/>
  <c r="Z26" i="6"/>
  <c r="V26" i="6"/>
  <c r="R26" i="6"/>
  <c r="N26" i="6"/>
  <c r="J26" i="6"/>
  <c r="F26" i="6"/>
  <c r="BV25" i="6"/>
  <c r="BT25" i="6"/>
  <c r="BX25" i="6" s="1"/>
  <c r="BR25" i="6"/>
  <c r="BN25" i="6"/>
  <c r="BJ25" i="6"/>
  <c r="BF25" i="6"/>
  <c r="BB25" i="6"/>
  <c r="AX25" i="6"/>
  <c r="AT25" i="6"/>
  <c r="AP25" i="6"/>
  <c r="AL25" i="6"/>
  <c r="AH25" i="6"/>
  <c r="AD25" i="6"/>
  <c r="Z25" i="6"/>
  <c r="V25" i="6"/>
  <c r="R25" i="6"/>
  <c r="N25" i="6"/>
  <c r="J25" i="6"/>
  <c r="F25" i="6"/>
  <c r="BV24" i="6"/>
  <c r="BT24" i="6"/>
  <c r="BR24" i="6"/>
  <c r="BN24" i="6"/>
  <c r="BJ24" i="6"/>
  <c r="BF24" i="6"/>
  <c r="BB24" i="6"/>
  <c r="AX24" i="6"/>
  <c r="AT24" i="6"/>
  <c r="AP24" i="6"/>
  <c r="AL24" i="6"/>
  <c r="AH24" i="6"/>
  <c r="AD24" i="6"/>
  <c r="Z24" i="6"/>
  <c r="V24" i="6"/>
  <c r="R24" i="6"/>
  <c r="N24" i="6"/>
  <c r="J24" i="6"/>
  <c r="F24" i="6"/>
  <c r="BV23" i="6"/>
  <c r="BT23" i="6"/>
  <c r="BR23" i="6"/>
  <c r="BN23" i="6"/>
  <c r="BJ23" i="6"/>
  <c r="BF23" i="6"/>
  <c r="BB23" i="6"/>
  <c r="AX23" i="6"/>
  <c r="AT23" i="6"/>
  <c r="AP23" i="6"/>
  <c r="AL23" i="6"/>
  <c r="AH23" i="6"/>
  <c r="AD23" i="6"/>
  <c r="Z23" i="6"/>
  <c r="V23" i="6"/>
  <c r="R23" i="6"/>
  <c r="N23" i="6"/>
  <c r="J23" i="6"/>
  <c r="F23" i="6"/>
  <c r="BV22" i="6"/>
  <c r="BT22" i="6"/>
  <c r="BR22" i="6"/>
  <c r="BN22" i="6"/>
  <c r="BJ22" i="6"/>
  <c r="BF22" i="6"/>
  <c r="BB22" i="6"/>
  <c r="AX22" i="6"/>
  <c r="AT22" i="6"/>
  <c r="AP22" i="6"/>
  <c r="AL22" i="6"/>
  <c r="AH22" i="6"/>
  <c r="AD22" i="6"/>
  <c r="Z22" i="6"/>
  <c r="V22" i="6"/>
  <c r="R22" i="6"/>
  <c r="N22" i="6"/>
  <c r="J22" i="6"/>
  <c r="F22" i="6"/>
  <c r="BV21" i="6"/>
  <c r="BT21" i="6"/>
  <c r="BR21" i="6"/>
  <c r="BN21" i="6"/>
  <c r="BJ21" i="6"/>
  <c r="BF21" i="6"/>
  <c r="BB21" i="6"/>
  <c r="AX21" i="6"/>
  <c r="AT21" i="6"/>
  <c r="AP21" i="6"/>
  <c r="AL21" i="6"/>
  <c r="AH21" i="6"/>
  <c r="AD21" i="6"/>
  <c r="Z21" i="6"/>
  <c r="V21" i="6"/>
  <c r="R21" i="6"/>
  <c r="N21" i="6"/>
  <c r="J21" i="6"/>
  <c r="F21" i="6"/>
  <c r="BV20" i="6"/>
  <c r="BT20" i="6"/>
  <c r="BX20" i="6" s="1"/>
  <c r="BR20" i="6"/>
  <c r="BN20" i="6"/>
  <c r="BJ20" i="6"/>
  <c r="BF20" i="6"/>
  <c r="BB20" i="6"/>
  <c r="AX20" i="6"/>
  <c r="AT20" i="6"/>
  <c r="AP20" i="6"/>
  <c r="AL20" i="6"/>
  <c r="AH20" i="6"/>
  <c r="AD20" i="6"/>
  <c r="Z20" i="6"/>
  <c r="V20" i="6"/>
  <c r="R20" i="6"/>
  <c r="N20" i="6"/>
  <c r="J20" i="6"/>
  <c r="F20" i="6"/>
  <c r="BV19" i="6"/>
  <c r="BT19" i="6"/>
  <c r="BR19" i="6"/>
  <c r="BN19" i="6"/>
  <c r="BJ19" i="6"/>
  <c r="BF19" i="6"/>
  <c r="BB19" i="6"/>
  <c r="AX19" i="6"/>
  <c r="AT19" i="6"/>
  <c r="AP19" i="6"/>
  <c r="AL19" i="6"/>
  <c r="AH19" i="6"/>
  <c r="AD19" i="6"/>
  <c r="Z19" i="6"/>
  <c r="V19" i="6"/>
  <c r="R19" i="6"/>
  <c r="N19" i="6"/>
  <c r="J19" i="6"/>
  <c r="F19" i="6"/>
  <c r="BV18" i="6"/>
  <c r="BT18" i="6"/>
  <c r="BR18" i="6"/>
  <c r="BN18" i="6"/>
  <c r="BJ18" i="6"/>
  <c r="BF18" i="6"/>
  <c r="BB18" i="6"/>
  <c r="AX18" i="6"/>
  <c r="AT18" i="6"/>
  <c r="AP18" i="6"/>
  <c r="AL18" i="6"/>
  <c r="AH18" i="6"/>
  <c r="AD18" i="6"/>
  <c r="Z18" i="6"/>
  <c r="V18" i="6"/>
  <c r="R18" i="6"/>
  <c r="N18" i="6"/>
  <c r="J18" i="6"/>
  <c r="F18" i="6"/>
  <c r="BV17" i="6"/>
  <c r="BT17" i="6"/>
  <c r="BR17" i="6"/>
  <c r="BN17" i="6"/>
  <c r="BJ17" i="6"/>
  <c r="BF17" i="6"/>
  <c r="BB17" i="6"/>
  <c r="AX17" i="6"/>
  <c r="AT17" i="6"/>
  <c r="AP17" i="6"/>
  <c r="AL17" i="6"/>
  <c r="AH17" i="6"/>
  <c r="AD17" i="6"/>
  <c r="Z17" i="6"/>
  <c r="V17" i="6"/>
  <c r="R17" i="6"/>
  <c r="N17" i="6"/>
  <c r="J17" i="6"/>
  <c r="F17" i="6"/>
  <c r="BV16" i="6"/>
  <c r="BT16" i="6"/>
  <c r="BR16" i="6"/>
  <c r="BN16" i="6"/>
  <c r="BJ16" i="6"/>
  <c r="BF16" i="6"/>
  <c r="BB16" i="6"/>
  <c r="AX16" i="6"/>
  <c r="AT16" i="6"/>
  <c r="AP16" i="6"/>
  <c r="AL16" i="6"/>
  <c r="AH16" i="6"/>
  <c r="AD16" i="6"/>
  <c r="V16" i="6"/>
  <c r="R16" i="6"/>
  <c r="N16" i="6"/>
  <c r="J16" i="6"/>
  <c r="F16" i="6"/>
  <c r="BV15" i="6"/>
  <c r="BT15" i="6"/>
  <c r="BR15" i="6"/>
  <c r="BN15" i="6"/>
  <c r="BJ15" i="6"/>
  <c r="BF15" i="6"/>
  <c r="BB15" i="6"/>
  <c r="AX15" i="6"/>
  <c r="AT15" i="6"/>
  <c r="AP15" i="6"/>
  <c r="AL15" i="6"/>
  <c r="AH15" i="6"/>
  <c r="AD15" i="6"/>
  <c r="Z15" i="6"/>
  <c r="V15" i="6"/>
  <c r="R15" i="6"/>
  <c r="N15" i="6"/>
  <c r="J15" i="6"/>
  <c r="F15" i="6"/>
  <c r="BV14" i="6"/>
  <c r="BT14" i="6"/>
  <c r="BR14" i="6"/>
  <c r="BN14" i="6"/>
  <c r="BJ14" i="6"/>
  <c r="BF14" i="6"/>
  <c r="BB14" i="6"/>
  <c r="AX14" i="6"/>
  <c r="AT14" i="6"/>
  <c r="AP14" i="6"/>
  <c r="AL14" i="6"/>
  <c r="AH14" i="6"/>
  <c r="AD14" i="6"/>
  <c r="Z14" i="6"/>
  <c r="R14" i="6"/>
  <c r="F14" i="6"/>
  <c r="BV13" i="6"/>
  <c r="BT13" i="6"/>
  <c r="BR13" i="6"/>
  <c r="BN13" i="6"/>
  <c r="BJ13" i="6"/>
  <c r="BF13" i="6"/>
  <c r="BB13" i="6"/>
  <c r="AX13" i="6"/>
  <c r="AT13" i="6"/>
  <c r="AP13" i="6"/>
  <c r="AL13" i="6"/>
  <c r="AH13" i="6"/>
  <c r="AD13" i="6"/>
  <c r="Z13" i="6"/>
  <c r="V13" i="6"/>
  <c r="R13" i="6"/>
  <c r="N13" i="6"/>
  <c r="J13" i="6"/>
  <c r="F13" i="6"/>
  <c r="BV12" i="6"/>
  <c r="BT12" i="6"/>
  <c r="BR12" i="6"/>
  <c r="BN12" i="6"/>
  <c r="BJ12" i="6"/>
  <c r="BF12" i="6"/>
  <c r="BB12" i="6"/>
  <c r="AX12" i="6"/>
  <c r="AT12" i="6"/>
  <c r="AP12" i="6"/>
  <c r="AL12" i="6"/>
  <c r="AH12" i="6"/>
  <c r="AD12" i="6"/>
  <c r="Z12" i="6"/>
  <c r="V12" i="6"/>
  <c r="R12" i="6"/>
  <c r="N12" i="6"/>
  <c r="J12" i="6"/>
  <c r="F12" i="6"/>
  <c r="BV11" i="6"/>
  <c r="BT11" i="6"/>
  <c r="BR11" i="6"/>
  <c r="BN11" i="6"/>
  <c r="BJ11" i="6"/>
  <c r="BF11" i="6"/>
  <c r="BB11" i="6"/>
  <c r="AX11" i="6"/>
  <c r="AT11" i="6"/>
  <c r="AP11" i="6"/>
  <c r="AL11" i="6"/>
  <c r="AH11" i="6"/>
  <c r="AD11" i="6"/>
  <c r="Z11" i="6"/>
  <c r="V11" i="6"/>
  <c r="R11" i="6"/>
  <c r="N11" i="6"/>
  <c r="J11" i="6"/>
  <c r="F11" i="6"/>
  <c r="BV10" i="6"/>
  <c r="BT10" i="6"/>
  <c r="BR10" i="6"/>
  <c r="BN10" i="6"/>
  <c r="BJ10" i="6"/>
  <c r="BF10" i="6"/>
  <c r="BB10" i="6"/>
  <c r="AX10" i="6"/>
  <c r="AT10" i="6"/>
  <c r="AP10" i="6"/>
  <c r="AL10" i="6"/>
  <c r="AH10" i="6"/>
  <c r="AD10" i="6"/>
  <c r="Z10" i="6"/>
  <c r="V10" i="6"/>
  <c r="R10" i="6"/>
  <c r="N10" i="6"/>
  <c r="J10" i="6"/>
  <c r="F10" i="6"/>
  <c r="BV9" i="6"/>
  <c r="BT9" i="6"/>
  <c r="BR9" i="6"/>
  <c r="BN9" i="6"/>
  <c r="BJ9" i="6"/>
  <c r="BF9" i="6"/>
  <c r="BB9" i="6"/>
  <c r="AX9" i="6"/>
  <c r="AT9" i="6"/>
  <c r="AP9" i="6"/>
  <c r="AL9" i="6"/>
  <c r="AH9" i="6"/>
  <c r="AD9" i="6"/>
  <c r="Z9" i="6"/>
  <c r="V9" i="6"/>
  <c r="R9" i="6"/>
  <c r="N9" i="6"/>
  <c r="J9" i="6"/>
  <c r="F9" i="6"/>
  <c r="BV8" i="6"/>
  <c r="BT8" i="6"/>
  <c r="BX8" i="6" s="1"/>
  <c r="BR8" i="6"/>
  <c r="BN8" i="6"/>
  <c r="BJ8" i="6"/>
  <c r="BF8" i="6"/>
  <c r="BB8" i="6"/>
  <c r="AX8" i="6"/>
  <c r="AT8" i="6"/>
  <c r="AP8" i="6"/>
  <c r="AL8" i="6"/>
  <c r="AH8" i="6"/>
  <c r="AD8" i="6"/>
  <c r="Z8" i="6"/>
  <c r="V8" i="6"/>
  <c r="R8" i="6"/>
  <c r="N8" i="6"/>
  <c r="J8" i="6"/>
  <c r="F8" i="6"/>
  <c r="BV7" i="6"/>
  <c r="BT7" i="6"/>
  <c r="BR7" i="6"/>
  <c r="BN7" i="6"/>
  <c r="BJ7" i="6"/>
  <c r="BF7" i="6"/>
  <c r="BB7" i="6"/>
  <c r="AX7" i="6"/>
  <c r="AT7" i="6"/>
  <c r="AP7" i="6"/>
  <c r="AL7" i="6"/>
  <c r="AH7" i="6"/>
  <c r="AD7" i="6"/>
  <c r="Z7" i="6"/>
  <c r="V7" i="6"/>
  <c r="R7" i="6"/>
  <c r="N7" i="6"/>
  <c r="J7" i="6"/>
  <c r="F7" i="6"/>
  <c r="BV6" i="6"/>
  <c r="BT6" i="6"/>
  <c r="BR6" i="6"/>
  <c r="BN6" i="6"/>
  <c r="BJ6" i="6"/>
  <c r="BF6" i="6"/>
  <c r="BB6" i="6"/>
  <c r="AX6" i="6"/>
  <c r="AT6" i="6"/>
  <c r="AP6" i="6"/>
  <c r="AL6" i="6"/>
  <c r="AH6" i="6"/>
  <c r="AD6" i="6"/>
  <c r="Z6" i="6"/>
  <c r="V6" i="6"/>
  <c r="R6" i="6"/>
  <c r="N6" i="6"/>
  <c r="J6" i="6"/>
  <c r="F6" i="6"/>
  <c r="BV5" i="6"/>
  <c r="BT5" i="6"/>
  <c r="BR5" i="6"/>
  <c r="BN5" i="6"/>
  <c r="BJ5" i="6"/>
  <c r="BF5" i="6"/>
  <c r="BB5" i="6"/>
  <c r="AX5" i="6"/>
  <c r="AT5" i="6"/>
  <c r="AP5" i="6"/>
  <c r="AL5" i="6"/>
  <c r="AH5" i="6"/>
  <c r="AD5" i="6"/>
  <c r="Z5" i="6"/>
  <c r="V5" i="6"/>
  <c r="R5" i="6"/>
  <c r="N5" i="6"/>
  <c r="J5" i="6"/>
  <c r="F5" i="6"/>
  <c r="BV4" i="6"/>
  <c r="BT4" i="6"/>
  <c r="BX4" i="6" s="1"/>
  <c r="BR4" i="6"/>
  <c r="BN4" i="6"/>
  <c r="BJ4" i="6"/>
  <c r="BF4" i="6"/>
  <c r="BB4" i="6"/>
  <c r="AX4" i="6"/>
  <c r="AT4" i="6"/>
  <c r="AP4" i="6"/>
  <c r="AL4" i="6"/>
  <c r="AH4" i="6"/>
  <c r="AD4" i="6"/>
  <c r="Z4" i="6"/>
  <c r="V4" i="6"/>
  <c r="R4" i="6"/>
  <c r="N4" i="6"/>
  <c r="J4" i="6"/>
  <c r="F4" i="6"/>
  <c r="BV3" i="6"/>
  <c r="BT3" i="6"/>
  <c r="BR3" i="6"/>
  <c r="BN3" i="6"/>
  <c r="BJ3" i="6"/>
  <c r="BF3" i="6"/>
  <c r="BB3" i="6"/>
  <c r="AX3" i="6"/>
  <c r="AT3" i="6"/>
  <c r="AP3" i="6"/>
  <c r="AL3" i="6"/>
  <c r="AH3" i="6"/>
  <c r="AD3" i="6"/>
  <c r="Z3" i="6"/>
  <c r="V3" i="6"/>
  <c r="R3" i="6"/>
  <c r="N3" i="6"/>
  <c r="J3" i="6"/>
  <c r="F3" i="6"/>
  <c r="F9" i="3"/>
  <c r="J9" i="3"/>
  <c r="N9" i="3"/>
  <c r="R9" i="3"/>
  <c r="V9" i="3"/>
  <c r="Z9" i="3"/>
  <c r="AD9" i="3"/>
  <c r="AH9" i="3"/>
  <c r="AL9" i="3"/>
  <c r="AP9" i="3"/>
  <c r="AT9" i="3"/>
  <c r="AX9" i="3"/>
  <c r="BB9" i="3"/>
  <c r="BF9" i="3"/>
  <c r="BJ9" i="3"/>
  <c r="BN9" i="3"/>
  <c r="BR9" i="3"/>
  <c r="G35" i="11" l="1"/>
  <c r="E37" i="11" s="1"/>
  <c r="K35" i="11"/>
  <c r="I37" i="11" s="1"/>
  <c r="G4" i="14"/>
  <c r="G5" i="14"/>
  <c r="O35" i="11"/>
  <c r="M37" i="11" s="1"/>
  <c r="S4" i="14"/>
  <c r="S5" i="14"/>
  <c r="S35" i="11"/>
  <c r="Q37" i="11" s="1"/>
  <c r="W35" i="11"/>
  <c r="U37" i="11" s="1"/>
  <c r="BY31" i="11"/>
  <c r="CE17" i="11" s="1"/>
  <c r="F4" i="14"/>
  <c r="F5" i="14"/>
  <c r="AA35" i="11"/>
  <c r="Y37" i="11" s="1"/>
  <c r="M5" i="14"/>
  <c r="M4" i="14"/>
  <c r="AE35" i="11"/>
  <c r="AC37" i="11" s="1"/>
  <c r="N5" i="14"/>
  <c r="N4" i="14"/>
  <c r="AI35" i="11"/>
  <c r="AG37" i="11" s="1"/>
  <c r="K4" i="14"/>
  <c r="K5" i="14"/>
  <c r="BK35" i="11"/>
  <c r="BI37" i="11" s="1"/>
  <c r="L4" i="14"/>
  <c r="L5" i="14"/>
  <c r="AM35" i="11"/>
  <c r="AK37" i="11" s="1"/>
  <c r="R4" i="14"/>
  <c r="R5" i="14"/>
  <c r="AQ35" i="11"/>
  <c r="AO37" i="11" s="1"/>
  <c r="C4" i="14"/>
  <c r="C5" i="14"/>
  <c r="AU35" i="11"/>
  <c r="AS37" i="11" s="1"/>
  <c r="O5" i="14"/>
  <c r="O4" i="14"/>
  <c r="AY35" i="11"/>
  <c r="AW37" i="11" s="1"/>
  <c r="P5" i="14"/>
  <c r="P4" i="14"/>
  <c r="BC35" i="11"/>
  <c r="BA37" i="11" s="1"/>
  <c r="J4" i="14"/>
  <c r="J5" i="14"/>
  <c r="BO35" i="11"/>
  <c r="BM37" i="11" s="1"/>
  <c r="BY6" i="11"/>
  <c r="H5" i="14"/>
  <c r="H4" i="14"/>
  <c r="E5" i="14"/>
  <c r="E4" i="14"/>
  <c r="BG35" i="11"/>
  <c r="BE37" i="11" s="1"/>
  <c r="D4" i="14"/>
  <c r="D5" i="14"/>
  <c r="BS35" i="11"/>
  <c r="BQ37" i="11" s="1"/>
  <c r="Q4" i="14"/>
  <c r="Q5" i="14"/>
  <c r="I5" i="14"/>
  <c r="I4" i="14"/>
  <c r="BY19" i="11"/>
  <c r="BY34" i="11"/>
  <c r="BV5" i="11"/>
  <c r="BX5" i="11" s="1"/>
  <c r="BY22" i="11"/>
  <c r="BV29" i="10"/>
  <c r="BV28" i="10"/>
  <c r="BX28" i="10" s="1"/>
  <c r="BV9" i="10"/>
  <c r="BX9" i="10" s="1"/>
  <c r="BV21" i="10"/>
  <c r="BX21" i="10" s="1"/>
  <c r="BV27" i="10"/>
  <c r="BX27" i="10" s="1"/>
  <c r="BV8" i="10"/>
  <c r="BX8" i="10" s="1"/>
  <c r="BZ8" i="10" s="1"/>
  <c r="BV24" i="10"/>
  <c r="BX24" i="10" s="1"/>
  <c r="BV7" i="10"/>
  <c r="BY9" i="10"/>
  <c r="CE6" i="10" s="1"/>
  <c r="BV3" i="10"/>
  <c r="BX3" i="10" s="1"/>
  <c r="CD3" i="10" s="1"/>
  <c r="BV24" i="11"/>
  <c r="BX24" i="11" s="1"/>
  <c r="BZ6" i="11"/>
  <c r="BV20" i="11"/>
  <c r="BX20" i="11" s="1"/>
  <c r="BZ20" i="11" s="1"/>
  <c r="CE9" i="9"/>
  <c r="BV16" i="10"/>
  <c r="BX16" i="10" s="1"/>
  <c r="BZ16" i="10" s="1"/>
  <c r="BV32" i="10"/>
  <c r="BV13" i="10"/>
  <c r="BY17" i="10"/>
  <c r="CE10" i="10" s="1"/>
  <c r="BV14" i="11"/>
  <c r="BX14" i="11" s="1"/>
  <c r="BV19" i="11"/>
  <c r="BX19" i="11" s="1"/>
  <c r="BV15" i="10"/>
  <c r="BV34" i="10"/>
  <c r="BX34" i="10" s="1"/>
  <c r="BZ34" i="10" s="1"/>
  <c r="CE11" i="11"/>
  <c r="CE8" i="9"/>
  <c r="BV12" i="10"/>
  <c r="BX12" i="10" s="1"/>
  <c r="BV31" i="10"/>
  <c r="BX31" i="10" s="1"/>
  <c r="BV28" i="11"/>
  <c r="BV11" i="10"/>
  <c r="BX11" i="10" s="1"/>
  <c r="CD7" i="10" s="1"/>
  <c r="BV30" i="10"/>
  <c r="BX30" i="10" s="1"/>
  <c r="BV31" i="11"/>
  <c r="BX31" i="11" s="1"/>
  <c r="BV18" i="11"/>
  <c r="BX10" i="9"/>
  <c r="BY10" i="9" s="1"/>
  <c r="BV10" i="10"/>
  <c r="BY11" i="10"/>
  <c r="CE7" i="10" s="1"/>
  <c r="BY31" i="10"/>
  <c r="CE17" i="10" s="1"/>
  <c r="BY14" i="11"/>
  <c r="BV20" i="10"/>
  <c r="BX20" i="10" s="1"/>
  <c r="BU17" i="9"/>
  <c r="BW17" i="9" s="1"/>
  <c r="BV14" i="10"/>
  <c r="BV19" i="10"/>
  <c r="BX19" i="10" s="1"/>
  <c r="CE12" i="10"/>
  <c r="BV23" i="11"/>
  <c r="BX23" i="11" s="1"/>
  <c r="CE14" i="11"/>
  <c r="BX33" i="9"/>
  <c r="BV18" i="10"/>
  <c r="BY19" i="10"/>
  <c r="CE11" i="10" s="1"/>
  <c r="BV6" i="11"/>
  <c r="BX6" i="11" s="1"/>
  <c r="BV22" i="11"/>
  <c r="BY23" i="11"/>
  <c r="CE9" i="10"/>
  <c r="CE18" i="10"/>
  <c r="BV13" i="11"/>
  <c r="BX13" i="11" s="1"/>
  <c r="CD8" i="11" s="1"/>
  <c r="CE18" i="11"/>
  <c r="BV17" i="11"/>
  <c r="BX17" i="11" s="1"/>
  <c r="BV33" i="10"/>
  <c r="BV16" i="11"/>
  <c r="BY32" i="10"/>
  <c r="BZ32" i="10" s="1"/>
  <c r="BV32" i="11"/>
  <c r="BX32" i="11" s="1"/>
  <c r="BZ32" i="11" s="1"/>
  <c r="BV5" i="10"/>
  <c r="BX5" i="10" s="1"/>
  <c r="CE5" i="10"/>
  <c r="BV26" i="10"/>
  <c r="BX26" i="10" s="1"/>
  <c r="BZ26" i="10" s="1"/>
  <c r="BV11" i="11"/>
  <c r="BX11" i="11" s="1"/>
  <c r="BY13" i="11"/>
  <c r="BV23" i="10"/>
  <c r="BX23" i="10" s="1"/>
  <c r="CD13" i="10" s="1"/>
  <c r="BV25" i="10"/>
  <c r="BY27" i="10"/>
  <c r="BV10" i="11"/>
  <c r="BX5" i="6"/>
  <c r="BX4" i="9"/>
  <c r="BX20" i="9"/>
  <c r="BY4" i="10"/>
  <c r="BY6" i="10"/>
  <c r="CE4" i="10" s="1"/>
  <c r="BV22" i="10"/>
  <c r="BX22" i="10" s="1"/>
  <c r="BZ22" i="10" s="1"/>
  <c r="BY25" i="10"/>
  <c r="CE14" i="10" s="1"/>
  <c r="BV9" i="11"/>
  <c r="BX9" i="11" s="1"/>
  <c r="BY10" i="11"/>
  <c r="BY27" i="11"/>
  <c r="CE15" i="11" s="1"/>
  <c r="BV34" i="11"/>
  <c r="BX34" i="11" s="1"/>
  <c r="BZ34" i="11" s="1"/>
  <c r="BV33" i="11"/>
  <c r="BX33" i="11" s="1"/>
  <c r="BV30" i="11"/>
  <c r="BX30" i="11" s="1"/>
  <c r="BY29" i="11"/>
  <c r="CE16" i="11" s="1"/>
  <c r="BV29" i="11"/>
  <c r="BX29" i="11" s="1"/>
  <c r="BY30" i="11"/>
  <c r="BY28" i="11"/>
  <c r="BV27" i="11"/>
  <c r="BX27" i="11" s="1"/>
  <c r="BV25" i="11"/>
  <c r="BV26" i="11"/>
  <c r="BY24" i="11"/>
  <c r="BY21" i="11"/>
  <c r="BV21" i="11"/>
  <c r="BX21" i="11" s="1"/>
  <c r="BY20" i="11"/>
  <c r="BY17" i="11"/>
  <c r="CE10" i="11" s="1"/>
  <c r="BV15" i="11"/>
  <c r="BV12" i="11"/>
  <c r="BX12" i="11" s="1"/>
  <c r="BY12" i="11"/>
  <c r="CE7" i="11" s="1"/>
  <c r="BY9" i="11"/>
  <c r="CE6" i="11" s="1"/>
  <c r="BV7" i="11"/>
  <c r="BX7" i="11" s="1"/>
  <c r="BV8" i="11"/>
  <c r="BX8" i="11" s="1"/>
  <c r="BZ8" i="11" s="1"/>
  <c r="BY5" i="11"/>
  <c r="CE4" i="11" s="1"/>
  <c r="BV3" i="11"/>
  <c r="BX3" i="11" s="1"/>
  <c r="CD3" i="11" s="1"/>
  <c r="BZ16" i="11"/>
  <c r="BX15" i="11"/>
  <c r="CD9" i="11" s="1"/>
  <c r="BY3" i="11"/>
  <c r="CE3" i="11" s="1"/>
  <c r="BV4" i="11"/>
  <c r="BX4" i="11" s="1"/>
  <c r="BZ4" i="11" s="1"/>
  <c r="BX10" i="11"/>
  <c r="BZ10" i="11" s="1"/>
  <c r="BX18" i="11"/>
  <c r="BZ18" i="11" s="1"/>
  <c r="BX25" i="11"/>
  <c r="BX26" i="11"/>
  <c r="BZ26" i="11" s="1"/>
  <c r="BX28" i="11"/>
  <c r="BZ28" i="11" s="1"/>
  <c r="BY7" i="11"/>
  <c r="CE5" i="11" s="1"/>
  <c r="BX22" i="11"/>
  <c r="BY15" i="11"/>
  <c r="CE9" i="11" s="1"/>
  <c r="BX16" i="11"/>
  <c r="BZ23" i="10"/>
  <c r="CF13" i="10" s="1"/>
  <c r="BZ20" i="10"/>
  <c r="BZ17" i="10"/>
  <c r="BZ24" i="10"/>
  <c r="BZ12" i="10"/>
  <c r="BX29" i="10"/>
  <c r="CD16" i="10" s="1"/>
  <c r="BZ30" i="10"/>
  <c r="BX32" i="10"/>
  <c r="BY3" i="10"/>
  <c r="BV4" i="10"/>
  <c r="BX4" i="10" s="1"/>
  <c r="BX10" i="10"/>
  <c r="BZ10" i="10" s="1"/>
  <c r="BX18" i="10"/>
  <c r="BZ18" i="10" s="1"/>
  <c r="BX25" i="10"/>
  <c r="BX33" i="10"/>
  <c r="BV6" i="10"/>
  <c r="BX6" i="10" s="1"/>
  <c r="BX7" i="10"/>
  <c r="BY28" i="10"/>
  <c r="BX15" i="10"/>
  <c r="BX13" i="10"/>
  <c r="BY29" i="10"/>
  <c r="BX14" i="10"/>
  <c r="BZ14" i="10" s="1"/>
  <c r="BU10" i="9"/>
  <c r="BU9" i="9"/>
  <c r="BW9" i="9" s="1"/>
  <c r="CD6" i="9" s="1"/>
  <c r="BX9" i="9"/>
  <c r="BU6" i="9"/>
  <c r="BW6" i="9" s="1"/>
  <c r="BY6" i="9" s="1"/>
  <c r="BU5" i="9"/>
  <c r="BW5" i="9" s="1"/>
  <c r="BX7" i="9"/>
  <c r="BU21" i="9"/>
  <c r="BW21" i="9" s="1"/>
  <c r="BX6" i="9"/>
  <c r="CE4" i="9" s="1"/>
  <c r="BU20" i="9"/>
  <c r="BU19" i="9"/>
  <c r="BW19" i="9" s="1"/>
  <c r="CD11" i="9" s="1"/>
  <c r="BX21" i="9"/>
  <c r="BX19" i="9"/>
  <c r="BU34" i="9"/>
  <c r="BW34" i="9" s="1"/>
  <c r="BU16" i="9"/>
  <c r="BW16" i="9" s="1"/>
  <c r="BY16" i="9" s="1"/>
  <c r="BX17" i="9"/>
  <c r="BU14" i="9"/>
  <c r="BW14" i="9" s="1"/>
  <c r="BU31" i="9"/>
  <c r="BW31" i="9" s="1"/>
  <c r="BX14" i="9"/>
  <c r="BU24" i="9"/>
  <c r="BW24" i="9" s="1"/>
  <c r="BU7" i="9"/>
  <c r="BW7" i="9" s="1"/>
  <c r="CD5" i="9" s="1"/>
  <c r="BU13" i="9"/>
  <c r="BW13" i="9" s="1"/>
  <c r="BU3" i="9"/>
  <c r="BW3" i="9" s="1"/>
  <c r="BU22" i="9"/>
  <c r="BW22" i="9" s="1"/>
  <c r="BY22" i="9" s="1"/>
  <c r="BX34" i="9"/>
  <c r="BY34" i="9" s="1"/>
  <c r="BU33" i="9"/>
  <c r="BW33" i="9" s="1"/>
  <c r="BX31" i="9"/>
  <c r="CE17" i="9" s="1"/>
  <c r="BX29" i="9"/>
  <c r="CE16" i="9" s="1"/>
  <c r="BU30" i="9"/>
  <c r="BW30" i="9" s="1"/>
  <c r="BY30" i="9" s="1"/>
  <c r="BU29" i="9"/>
  <c r="BW29" i="9" s="1"/>
  <c r="CD16" i="9" s="1"/>
  <c r="BU27" i="9"/>
  <c r="BX28" i="9"/>
  <c r="BU28" i="9"/>
  <c r="BW28" i="9" s="1"/>
  <c r="BY28" i="9"/>
  <c r="BX27" i="9"/>
  <c r="CE15" i="9" s="1"/>
  <c r="BX25" i="9"/>
  <c r="CE14" i="9" s="1"/>
  <c r="BX26" i="9"/>
  <c r="BU26" i="9"/>
  <c r="BW26" i="9" s="1"/>
  <c r="BU25" i="9"/>
  <c r="BX24" i="9"/>
  <c r="BY24" i="9" s="1"/>
  <c r="BU23" i="9"/>
  <c r="BW23" i="9" s="1"/>
  <c r="BX22" i="9"/>
  <c r="BU18" i="9"/>
  <c r="BU15" i="9"/>
  <c r="BU12" i="9"/>
  <c r="BW12" i="9" s="1"/>
  <c r="BY12" i="9" s="1"/>
  <c r="BU11" i="9"/>
  <c r="BU8" i="9"/>
  <c r="BW8" i="9" s="1"/>
  <c r="BY8" i="9" s="1"/>
  <c r="BU4" i="9"/>
  <c r="BW4" i="9" s="1"/>
  <c r="BY4" i="9" s="1"/>
  <c r="BY31" i="9"/>
  <c r="BW32" i="9"/>
  <c r="BY32" i="9" s="1"/>
  <c r="BW10" i="9"/>
  <c r="BW18" i="9"/>
  <c r="BY18" i="9" s="1"/>
  <c r="BW25" i="9"/>
  <c r="BW11" i="9"/>
  <c r="BW20" i="9"/>
  <c r="BW27" i="9"/>
  <c r="BX3" i="9"/>
  <c r="CE3" i="9" s="1"/>
  <c r="BW15" i="9"/>
  <c r="BU32" i="6"/>
  <c r="BU3" i="6"/>
  <c r="BW3" i="6" s="1"/>
  <c r="CD3" i="6" s="1"/>
  <c r="BU5" i="6"/>
  <c r="BW5" i="6" s="1"/>
  <c r="BX31" i="6"/>
  <c r="BX30" i="6"/>
  <c r="BX27" i="6"/>
  <c r="CE15" i="6" s="1"/>
  <c r="BU25" i="6"/>
  <c r="BW25" i="6" s="1"/>
  <c r="BX26" i="6"/>
  <c r="CE14" i="6" s="1"/>
  <c r="BU24" i="6"/>
  <c r="BW24" i="6" s="1"/>
  <c r="BU23" i="6"/>
  <c r="BW23" i="6" s="1"/>
  <c r="BX23" i="6"/>
  <c r="CE13" i="6" s="1"/>
  <c r="BX22" i="6"/>
  <c r="BX19" i="6"/>
  <c r="CE11" i="6" s="1"/>
  <c r="BX18" i="6"/>
  <c r="BX16" i="6"/>
  <c r="BX12" i="6"/>
  <c r="BX10" i="6"/>
  <c r="BX3" i="6"/>
  <c r="CE3" i="6" s="1"/>
  <c r="BX24" i="6"/>
  <c r="BY24" i="6" s="1"/>
  <c r="BU14" i="6"/>
  <c r="BW14" i="6" s="1"/>
  <c r="BU18" i="6"/>
  <c r="BW18" i="6" s="1"/>
  <c r="BU17" i="6"/>
  <c r="BW17" i="6" s="1"/>
  <c r="CD10" i="6" s="1"/>
  <c r="BU16" i="6"/>
  <c r="BX17" i="6"/>
  <c r="CE10" i="6" s="1"/>
  <c r="BU13" i="6"/>
  <c r="BW13" i="6" s="1"/>
  <c r="BU9" i="6"/>
  <c r="BW9" i="6" s="1"/>
  <c r="BU8" i="6"/>
  <c r="BW8" i="6" s="1"/>
  <c r="BY8" i="6" s="1"/>
  <c r="BU21" i="6"/>
  <c r="BW21" i="6" s="1"/>
  <c r="CD12" i="6" s="1"/>
  <c r="BU29" i="6"/>
  <c r="BW29" i="6" s="1"/>
  <c r="CD16" i="6" s="1"/>
  <c r="BU7" i="6"/>
  <c r="BW7" i="6" s="1"/>
  <c r="BX9" i="6"/>
  <c r="CE6" i="6" s="1"/>
  <c r="BU27" i="6"/>
  <c r="BW27" i="6" s="1"/>
  <c r="BU6" i="6"/>
  <c r="BW6" i="6" s="1"/>
  <c r="BX7" i="6"/>
  <c r="CE5" i="6" s="1"/>
  <c r="BU26" i="6"/>
  <c r="BW26" i="6" s="1"/>
  <c r="BX6" i="6"/>
  <c r="BU22" i="6"/>
  <c r="BW22" i="6" s="1"/>
  <c r="BY22" i="6" s="1"/>
  <c r="BU20" i="6"/>
  <c r="BW20" i="6" s="1"/>
  <c r="BY20" i="6" s="1"/>
  <c r="BU19" i="6"/>
  <c r="BW19" i="6" s="1"/>
  <c r="BX21" i="6"/>
  <c r="CE12" i="6" s="1"/>
  <c r="BU15" i="6"/>
  <c r="BW15" i="6" s="1"/>
  <c r="BU34" i="6"/>
  <c r="BW34" i="6" s="1"/>
  <c r="BY34" i="6" s="1"/>
  <c r="BX14" i="6"/>
  <c r="BU33" i="6"/>
  <c r="BW33" i="6" s="1"/>
  <c r="BU12" i="6"/>
  <c r="BU28" i="6"/>
  <c r="BW28" i="6" s="1"/>
  <c r="BW32" i="6"/>
  <c r="BU11" i="6"/>
  <c r="BW11" i="6" s="1"/>
  <c r="CD7" i="6" s="1"/>
  <c r="BU31" i="6"/>
  <c r="BW31" i="6" s="1"/>
  <c r="CD17" i="6" s="1"/>
  <c r="BU10" i="6"/>
  <c r="BW10" i="6" s="1"/>
  <c r="BX11" i="6"/>
  <c r="CE7" i="6" s="1"/>
  <c r="BX13" i="6"/>
  <c r="BU30" i="6"/>
  <c r="BW30" i="6" s="1"/>
  <c r="BW12" i="6"/>
  <c r="BY12" i="6"/>
  <c r="BY31" i="6"/>
  <c r="BX32" i="6"/>
  <c r="BY32" i="6" s="1"/>
  <c r="BW4" i="6"/>
  <c r="BY4" i="6" s="1"/>
  <c r="BU4" i="6"/>
  <c r="BX28" i="6"/>
  <c r="BX15" i="6"/>
  <c r="BW16" i="6"/>
  <c r="BX29" i="6"/>
  <c r="CE16" i="6" s="1"/>
  <c r="BV34" i="3"/>
  <c r="BT34" i="3"/>
  <c r="BR34" i="3"/>
  <c r="BN34" i="3"/>
  <c r="BJ34" i="3"/>
  <c r="BF34" i="3"/>
  <c r="BB34" i="3"/>
  <c r="AX34" i="3"/>
  <c r="AT34" i="3"/>
  <c r="AP34" i="3"/>
  <c r="AL34" i="3"/>
  <c r="AH34" i="3"/>
  <c r="Z34" i="3"/>
  <c r="V34" i="3"/>
  <c r="R34" i="3"/>
  <c r="N34" i="3"/>
  <c r="J34" i="3"/>
  <c r="F34" i="3"/>
  <c r="BV33" i="3"/>
  <c r="BT33" i="3"/>
  <c r="BR33" i="3"/>
  <c r="BN33" i="3"/>
  <c r="BJ33" i="3"/>
  <c r="BF33" i="3"/>
  <c r="BB33" i="3"/>
  <c r="AX33" i="3"/>
  <c r="AT33" i="3"/>
  <c r="AP33" i="3"/>
  <c r="AL33" i="3"/>
  <c r="AH33" i="3"/>
  <c r="Z33" i="3"/>
  <c r="V33" i="3"/>
  <c r="R33" i="3"/>
  <c r="N33" i="3"/>
  <c r="J33" i="3"/>
  <c r="F33" i="3"/>
  <c r="BV32" i="3"/>
  <c r="BT32" i="3"/>
  <c r="BR32" i="3"/>
  <c r="BN32" i="3"/>
  <c r="BJ32" i="3"/>
  <c r="BF32" i="3"/>
  <c r="BB32" i="3"/>
  <c r="AX32" i="3"/>
  <c r="AT32" i="3"/>
  <c r="AP32" i="3"/>
  <c r="AL32" i="3"/>
  <c r="AH32" i="3"/>
  <c r="Z32" i="3"/>
  <c r="V32" i="3"/>
  <c r="R32" i="3"/>
  <c r="N32" i="3"/>
  <c r="J32" i="3"/>
  <c r="F32" i="3"/>
  <c r="BV31" i="3"/>
  <c r="BT31" i="3"/>
  <c r="BR31" i="3"/>
  <c r="BN31" i="3"/>
  <c r="BJ31" i="3"/>
  <c r="BF31" i="3"/>
  <c r="BB31" i="3"/>
  <c r="AX31" i="3"/>
  <c r="AT31" i="3"/>
  <c r="AP31" i="3"/>
  <c r="AL31" i="3"/>
  <c r="AH31" i="3"/>
  <c r="Z31" i="3"/>
  <c r="V31" i="3"/>
  <c r="R31" i="3"/>
  <c r="N31" i="3"/>
  <c r="J31" i="3"/>
  <c r="F31" i="3"/>
  <c r="BV30" i="3"/>
  <c r="BT30" i="3"/>
  <c r="BR30" i="3"/>
  <c r="BN30" i="3"/>
  <c r="BJ30" i="3"/>
  <c r="BF30" i="3"/>
  <c r="BB30" i="3"/>
  <c r="AX30" i="3"/>
  <c r="AT30" i="3"/>
  <c r="AP30" i="3"/>
  <c r="AL30" i="3"/>
  <c r="AH30" i="3"/>
  <c r="Z30" i="3"/>
  <c r="V30" i="3"/>
  <c r="R30" i="3"/>
  <c r="N30" i="3"/>
  <c r="J30" i="3"/>
  <c r="F30" i="3"/>
  <c r="BV29" i="3"/>
  <c r="BT29" i="3"/>
  <c r="BX29" i="3" s="1"/>
  <c r="BR29" i="3"/>
  <c r="BN29" i="3"/>
  <c r="BJ29" i="3"/>
  <c r="BF29" i="3"/>
  <c r="BB29" i="3"/>
  <c r="AX29" i="3"/>
  <c r="AT29" i="3"/>
  <c r="AP29" i="3"/>
  <c r="AL29" i="3"/>
  <c r="AH29" i="3"/>
  <c r="AD29" i="3"/>
  <c r="Z29" i="3"/>
  <c r="V29" i="3"/>
  <c r="R29" i="3"/>
  <c r="N29" i="3"/>
  <c r="J29" i="3"/>
  <c r="F29" i="3"/>
  <c r="BV28" i="3"/>
  <c r="BT28" i="3"/>
  <c r="BR28" i="3"/>
  <c r="BN28" i="3"/>
  <c r="BJ28" i="3"/>
  <c r="BF28" i="3"/>
  <c r="BB28" i="3"/>
  <c r="AX28" i="3"/>
  <c r="AT28" i="3"/>
  <c r="AP28" i="3"/>
  <c r="AL28" i="3"/>
  <c r="AH28" i="3"/>
  <c r="AD28" i="3"/>
  <c r="Z28" i="3"/>
  <c r="V28" i="3"/>
  <c r="R28" i="3"/>
  <c r="N28" i="3"/>
  <c r="J28" i="3"/>
  <c r="F28" i="3"/>
  <c r="BV27" i="3"/>
  <c r="BT27" i="3"/>
  <c r="BR27" i="3"/>
  <c r="BN27" i="3"/>
  <c r="BJ27" i="3"/>
  <c r="BF27" i="3"/>
  <c r="BB27" i="3"/>
  <c r="AX27" i="3"/>
  <c r="AT27" i="3"/>
  <c r="AP27" i="3"/>
  <c r="AL27" i="3"/>
  <c r="AH27" i="3"/>
  <c r="AD27" i="3"/>
  <c r="Z27" i="3"/>
  <c r="V27" i="3"/>
  <c r="R27" i="3"/>
  <c r="N27" i="3"/>
  <c r="J27" i="3"/>
  <c r="F27" i="3"/>
  <c r="BV26" i="3"/>
  <c r="BT26" i="3"/>
  <c r="BX26" i="3" s="1"/>
  <c r="BR26" i="3"/>
  <c r="BN26" i="3"/>
  <c r="BJ26" i="3"/>
  <c r="BF26" i="3"/>
  <c r="BB26" i="3"/>
  <c r="AX26" i="3"/>
  <c r="AT26" i="3"/>
  <c r="AP26" i="3"/>
  <c r="AL26" i="3"/>
  <c r="AH26" i="3"/>
  <c r="AD26" i="3"/>
  <c r="Z26" i="3"/>
  <c r="V26" i="3"/>
  <c r="R26" i="3"/>
  <c r="N26" i="3"/>
  <c r="J26" i="3"/>
  <c r="F26" i="3"/>
  <c r="BV25" i="3"/>
  <c r="BT25" i="3"/>
  <c r="BX25" i="3" s="1"/>
  <c r="BR25" i="3"/>
  <c r="BN25" i="3"/>
  <c r="BJ25" i="3"/>
  <c r="BF25" i="3"/>
  <c r="BB25" i="3"/>
  <c r="AX25" i="3"/>
  <c r="AT25" i="3"/>
  <c r="AP25" i="3"/>
  <c r="AL25" i="3"/>
  <c r="AH25" i="3"/>
  <c r="AD25" i="3"/>
  <c r="Z25" i="3"/>
  <c r="V25" i="3"/>
  <c r="R25" i="3"/>
  <c r="N25" i="3"/>
  <c r="J25" i="3"/>
  <c r="F25" i="3"/>
  <c r="BV24" i="3"/>
  <c r="BT24" i="3"/>
  <c r="BR24" i="3"/>
  <c r="BN24" i="3"/>
  <c r="BJ24" i="3"/>
  <c r="BF24" i="3"/>
  <c r="BB24" i="3"/>
  <c r="AX24" i="3"/>
  <c r="AT24" i="3"/>
  <c r="AP24" i="3"/>
  <c r="AL24" i="3"/>
  <c r="AH24" i="3"/>
  <c r="AD24" i="3"/>
  <c r="Z24" i="3"/>
  <c r="V24" i="3"/>
  <c r="R24" i="3"/>
  <c r="N24" i="3"/>
  <c r="J24" i="3"/>
  <c r="F24" i="3"/>
  <c r="BV23" i="3"/>
  <c r="BT23" i="3"/>
  <c r="BR23" i="3"/>
  <c r="BN23" i="3"/>
  <c r="BJ23" i="3"/>
  <c r="BF23" i="3"/>
  <c r="BB23" i="3"/>
  <c r="AX23" i="3"/>
  <c r="AT23" i="3"/>
  <c r="AP23" i="3"/>
  <c r="AL23" i="3"/>
  <c r="AH23" i="3"/>
  <c r="AD23" i="3"/>
  <c r="Z23" i="3"/>
  <c r="V23" i="3"/>
  <c r="R23" i="3"/>
  <c r="N23" i="3"/>
  <c r="J23" i="3"/>
  <c r="F23" i="3"/>
  <c r="BV22" i="3"/>
  <c r="BT22" i="3"/>
  <c r="BR22" i="3"/>
  <c r="BN22" i="3"/>
  <c r="BJ22" i="3"/>
  <c r="BF22" i="3"/>
  <c r="BB22" i="3"/>
  <c r="AX22" i="3"/>
  <c r="AT22" i="3"/>
  <c r="AP22" i="3"/>
  <c r="AL22" i="3"/>
  <c r="AH22" i="3"/>
  <c r="AD22" i="3"/>
  <c r="Z22" i="3"/>
  <c r="V22" i="3"/>
  <c r="R22" i="3"/>
  <c r="N22" i="3"/>
  <c r="J22" i="3"/>
  <c r="F22" i="3"/>
  <c r="BV21" i="3"/>
  <c r="BT21" i="3"/>
  <c r="BR21" i="3"/>
  <c r="BN21" i="3"/>
  <c r="BJ21" i="3"/>
  <c r="BF21" i="3"/>
  <c r="BB21" i="3"/>
  <c r="AX21" i="3"/>
  <c r="AT21" i="3"/>
  <c r="AP21" i="3"/>
  <c r="AL21" i="3"/>
  <c r="AH21" i="3"/>
  <c r="AD21" i="3"/>
  <c r="Z21" i="3"/>
  <c r="V21" i="3"/>
  <c r="R21" i="3"/>
  <c r="N21" i="3"/>
  <c r="J21" i="3"/>
  <c r="F21" i="3"/>
  <c r="BV20" i="3"/>
  <c r="BT20" i="3"/>
  <c r="BX20" i="3" s="1"/>
  <c r="BR20" i="3"/>
  <c r="BN20" i="3"/>
  <c r="BJ20" i="3"/>
  <c r="BF20" i="3"/>
  <c r="BB20" i="3"/>
  <c r="AX20" i="3"/>
  <c r="AT20" i="3"/>
  <c r="AP20" i="3"/>
  <c r="AL20" i="3"/>
  <c r="AH20" i="3"/>
  <c r="AD20" i="3"/>
  <c r="Z20" i="3"/>
  <c r="V20" i="3"/>
  <c r="R20" i="3"/>
  <c r="N20" i="3"/>
  <c r="J20" i="3"/>
  <c r="F20" i="3"/>
  <c r="BV19" i="3"/>
  <c r="BT19" i="3"/>
  <c r="BR19" i="3"/>
  <c r="BN19" i="3"/>
  <c r="BJ19" i="3"/>
  <c r="BF19" i="3"/>
  <c r="BB19" i="3"/>
  <c r="AX19" i="3"/>
  <c r="AT19" i="3"/>
  <c r="AP19" i="3"/>
  <c r="AL19" i="3"/>
  <c r="AH19" i="3"/>
  <c r="AD19" i="3"/>
  <c r="Z19" i="3"/>
  <c r="V19" i="3"/>
  <c r="R19" i="3"/>
  <c r="N19" i="3"/>
  <c r="J19" i="3"/>
  <c r="F19" i="3"/>
  <c r="BV18" i="3"/>
  <c r="BT18" i="3"/>
  <c r="BR18" i="3"/>
  <c r="BN18" i="3"/>
  <c r="BJ18" i="3"/>
  <c r="BF18" i="3"/>
  <c r="BB18" i="3"/>
  <c r="AX18" i="3"/>
  <c r="AT18" i="3"/>
  <c r="AP18" i="3"/>
  <c r="AL18" i="3"/>
  <c r="AH18" i="3"/>
  <c r="AD18" i="3"/>
  <c r="Z18" i="3"/>
  <c r="V18" i="3"/>
  <c r="R18" i="3"/>
  <c r="N18" i="3"/>
  <c r="J18" i="3"/>
  <c r="F18" i="3"/>
  <c r="BV17" i="3"/>
  <c r="BT17" i="3"/>
  <c r="BR17" i="3"/>
  <c r="BN17" i="3"/>
  <c r="BJ17" i="3"/>
  <c r="BF17" i="3"/>
  <c r="BB17" i="3"/>
  <c r="AX17" i="3"/>
  <c r="AT17" i="3"/>
  <c r="AP17" i="3"/>
  <c r="AL17" i="3"/>
  <c r="AH17" i="3"/>
  <c r="AD17" i="3"/>
  <c r="Z17" i="3"/>
  <c r="V17" i="3"/>
  <c r="R17" i="3"/>
  <c r="N17" i="3"/>
  <c r="J17" i="3"/>
  <c r="F17" i="3"/>
  <c r="BV16" i="3"/>
  <c r="BT16" i="3"/>
  <c r="BR16" i="3"/>
  <c r="BN16" i="3"/>
  <c r="BJ16" i="3"/>
  <c r="BF16" i="3"/>
  <c r="BB16" i="3"/>
  <c r="AX16" i="3"/>
  <c r="AT16" i="3"/>
  <c r="AP16" i="3"/>
  <c r="AL16" i="3"/>
  <c r="AH16" i="3"/>
  <c r="AD16" i="3"/>
  <c r="V16" i="3"/>
  <c r="R16" i="3"/>
  <c r="N16" i="3"/>
  <c r="J16" i="3"/>
  <c r="F16" i="3"/>
  <c r="BV15" i="3"/>
  <c r="BT15" i="3"/>
  <c r="BX15" i="3" s="1"/>
  <c r="BR15" i="3"/>
  <c r="BN15" i="3"/>
  <c r="BJ15" i="3"/>
  <c r="BF15" i="3"/>
  <c r="BB15" i="3"/>
  <c r="AX15" i="3"/>
  <c r="AT15" i="3"/>
  <c r="AP15" i="3"/>
  <c r="AL15" i="3"/>
  <c r="AH15" i="3"/>
  <c r="AD15" i="3"/>
  <c r="Z15" i="3"/>
  <c r="V15" i="3"/>
  <c r="R15" i="3"/>
  <c r="N15" i="3"/>
  <c r="J15" i="3"/>
  <c r="F15" i="3"/>
  <c r="BV14" i="3"/>
  <c r="BT14" i="3"/>
  <c r="BR14" i="3"/>
  <c r="BU14" i="3" s="1"/>
  <c r="BN14" i="3"/>
  <c r="BJ14" i="3"/>
  <c r="BF14" i="3"/>
  <c r="BB14" i="3"/>
  <c r="AX14" i="3"/>
  <c r="AT14" i="3"/>
  <c r="AP14" i="3"/>
  <c r="AL14" i="3"/>
  <c r="AH14" i="3"/>
  <c r="AD14" i="3"/>
  <c r="Z14" i="3"/>
  <c r="R14" i="3"/>
  <c r="F14" i="3"/>
  <c r="BV13" i="3"/>
  <c r="BT13" i="3"/>
  <c r="BR13" i="3"/>
  <c r="BN13" i="3"/>
  <c r="BJ13" i="3"/>
  <c r="BF13" i="3"/>
  <c r="BB13" i="3"/>
  <c r="AX13" i="3"/>
  <c r="AT13" i="3"/>
  <c r="AP13" i="3"/>
  <c r="AL13" i="3"/>
  <c r="AH13" i="3"/>
  <c r="AD13" i="3"/>
  <c r="Z13" i="3"/>
  <c r="V13" i="3"/>
  <c r="R13" i="3"/>
  <c r="N13" i="3"/>
  <c r="J13" i="3"/>
  <c r="F13" i="3"/>
  <c r="BV12" i="3"/>
  <c r="BT12" i="3"/>
  <c r="BR12" i="3"/>
  <c r="BN12" i="3"/>
  <c r="BJ12" i="3"/>
  <c r="BF12" i="3"/>
  <c r="BB12" i="3"/>
  <c r="AX12" i="3"/>
  <c r="AT12" i="3"/>
  <c r="AP12" i="3"/>
  <c r="AL12" i="3"/>
  <c r="AH12" i="3"/>
  <c r="AD12" i="3"/>
  <c r="Z12" i="3"/>
  <c r="V12" i="3"/>
  <c r="R12" i="3"/>
  <c r="N12" i="3"/>
  <c r="J12" i="3"/>
  <c r="F12" i="3"/>
  <c r="BV11" i="3"/>
  <c r="BT11" i="3"/>
  <c r="BR11" i="3"/>
  <c r="BN11" i="3"/>
  <c r="BJ11" i="3"/>
  <c r="BF11" i="3"/>
  <c r="BB11" i="3"/>
  <c r="AX11" i="3"/>
  <c r="AT11" i="3"/>
  <c r="AP11" i="3"/>
  <c r="AL11" i="3"/>
  <c r="AH11" i="3"/>
  <c r="AD11" i="3"/>
  <c r="Z11" i="3"/>
  <c r="V11" i="3"/>
  <c r="R11" i="3"/>
  <c r="N11" i="3"/>
  <c r="J11" i="3"/>
  <c r="F11" i="3"/>
  <c r="BV10" i="3"/>
  <c r="BT10" i="3"/>
  <c r="BR10" i="3"/>
  <c r="BN10" i="3"/>
  <c r="BJ10" i="3"/>
  <c r="BF10" i="3"/>
  <c r="BB10" i="3"/>
  <c r="AX10" i="3"/>
  <c r="AT10" i="3"/>
  <c r="AP10" i="3"/>
  <c r="AL10" i="3"/>
  <c r="AH10" i="3"/>
  <c r="AD10" i="3"/>
  <c r="Z10" i="3"/>
  <c r="V10" i="3"/>
  <c r="R10" i="3"/>
  <c r="N10" i="3"/>
  <c r="J10" i="3"/>
  <c r="F10" i="3"/>
  <c r="BV9" i="3"/>
  <c r="BT9" i="3"/>
  <c r="BV8" i="3"/>
  <c r="BT8" i="3"/>
  <c r="BX8" i="3" s="1"/>
  <c r="BR8" i="3"/>
  <c r="BN8" i="3"/>
  <c r="BJ8" i="3"/>
  <c r="BF8" i="3"/>
  <c r="BB8" i="3"/>
  <c r="AX8" i="3"/>
  <c r="AT8" i="3"/>
  <c r="AP8" i="3"/>
  <c r="AL8" i="3"/>
  <c r="AH8" i="3"/>
  <c r="AD8" i="3"/>
  <c r="Z8" i="3"/>
  <c r="V8" i="3"/>
  <c r="R8" i="3"/>
  <c r="N8" i="3"/>
  <c r="J8" i="3"/>
  <c r="F8" i="3"/>
  <c r="BV7" i="3"/>
  <c r="BT7" i="3"/>
  <c r="BR7" i="3"/>
  <c r="BN7" i="3"/>
  <c r="BJ7" i="3"/>
  <c r="BF7" i="3"/>
  <c r="BB7" i="3"/>
  <c r="AX7" i="3"/>
  <c r="AT7" i="3"/>
  <c r="AP7" i="3"/>
  <c r="AL7" i="3"/>
  <c r="AH7" i="3"/>
  <c r="AD7" i="3"/>
  <c r="Z7" i="3"/>
  <c r="V7" i="3"/>
  <c r="R7" i="3"/>
  <c r="N7" i="3"/>
  <c r="J7" i="3"/>
  <c r="F7" i="3"/>
  <c r="BV6" i="3"/>
  <c r="BT6" i="3"/>
  <c r="BR6" i="3"/>
  <c r="BN6" i="3"/>
  <c r="BJ6" i="3"/>
  <c r="BF6" i="3"/>
  <c r="BB6" i="3"/>
  <c r="AX6" i="3"/>
  <c r="AT6" i="3"/>
  <c r="AP6" i="3"/>
  <c r="AL6" i="3"/>
  <c r="AH6" i="3"/>
  <c r="AD6" i="3"/>
  <c r="Z6" i="3"/>
  <c r="V6" i="3"/>
  <c r="R6" i="3"/>
  <c r="N6" i="3"/>
  <c r="J6" i="3"/>
  <c r="F6" i="3"/>
  <c r="BV5" i="3"/>
  <c r="BT5" i="3"/>
  <c r="BR5" i="3"/>
  <c r="BN5" i="3"/>
  <c r="BJ5" i="3"/>
  <c r="BF5" i="3"/>
  <c r="BB5" i="3"/>
  <c r="AX5" i="3"/>
  <c r="AT5" i="3"/>
  <c r="AP5" i="3"/>
  <c r="AL5" i="3"/>
  <c r="AH5" i="3"/>
  <c r="AD5" i="3"/>
  <c r="Z5" i="3"/>
  <c r="V5" i="3"/>
  <c r="R5" i="3"/>
  <c r="N5" i="3"/>
  <c r="J5" i="3"/>
  <c r="F5" i="3"/>
  <c r="BV4" i="3"/>
  <c r="BT4" i="3"/>
  <c r="BR4" i="3"/>
  <c r="BN4" i="3"/>
  <c r="BJ4" i="3"/>
  <c r="BF4" i="3"/>
  <c r="BB4" i="3"/>
  <c r="AX4" i="3"/>
  <c r="AT4" i="3"/>
  <c r="AP4" i="3"/>
  <c r="AL4" i="3"/>
  <c r="AH4" i="3"/>
  <c r="AD4" i="3"/>
  <c r="Z4" i="3"/>
  <c r="V4" i="3"/>
  <c r="R4" i="3"/>
  <c r="N4" i="3"/>
  <c r="J4" i="3"/>
  <c r="F4" i="3"/>
  <c r="BV3" i="3"/>
  <c r="BT3" i="3"/>
  <c r="BR3" i="3"/>
  <c r="BN3" i="3"/>
  <c r="BJ3" i="3"/>
  <c r="BF3" i="3"/>
  <c r="BB3" i="3"/>
  <c r="AX3" i="3"/>
  <c r="AT3" i="3"/>
  <c r="AP3" i="3"/>
  <c r="AL3" i="3"/>
  <c r="AH3" i="3"/>
  <c r="AD3" i="3"/>
  <c r="Z3" i="3"/>
  <c r="V3" i="3"/>
  <c r="R3" i="3"/>
  <c r="N3" i="3"/>
  <c r="J3" i="3"/>
  <c r="F3" i="3"/>
  <c r="BB6" i="8"/>
  <c r="BV34" i="8"/>
  <c r="BT34" i="8"/>
  <c r="BR34" i="8"/>
  <c r="BN34" i="8"/>
  <c r="BJ34" i="8"/>
  <c r="BF34" i="8"/>
  <c r="BB34" i="8"/>
  <c r="AX34" i="8"/>
  <c r="AT34" i="8"/>
  <c r="AP34" i="8"/>
  <c r="AL34" i="8"/>
  <c r="AH34" i="8"/>
  <c r="Z34" i="8"/>
  <c r="V34" i="8"/>
  <c r="R34" i="8"/>
  <c r="N34" i="8"/>
  <c r="J34" i="8"/>
  <c r="F34" i="8"/>
  <c r="BV33" i="8"/>
  <c r="BT33" i="8"/>
  <c r="BX33" i="8" s="1"/>
  <c r="BR33" i="8"/>
  <c r="BN33" i="8"/>
  <c r="BJ33" i="8"/>
  <c r="BF33" i="8"/>
  <c r="BB33" i="8"/>
  <c r="AX33" i="8"/>
  <c r="AT33" i="8"/>
  <c r="AP33" i="8"/>
  <c r="AL33" i="8"/>
  <c r="AH33" i="8"/>
  <c r="Z33" i="8"/>
  <c r="V33" i="8"/>
  <c r="R33" i="8"/>
  <c r="N33" i="8"/>
  <c r="J33" i="8"/>
  <c r="F33" i="8"/>
  <c r="BV32" i="8"/>
  <c r="BT32" i="8"/>
  <c r="BX32" i="8" s="1"/>
  <c r="BR32" i="8"/>
  <c r="BN32" i="8"/>
  <c r="BJ32" i="8"/>
  <c r="BF32" i="8"/>
  <c r="BB32" i="8"/>
  <c r="AX32" i="8"/>
  <c r="AT32" i="8"/>
  <c r="AP32" i="8"/>
  <c r="AL32" i="8"/>
  <c r="AH32" i="8"/>
  <c r="Z32" i="8"/>
  <c r="V32" i="8"/>
  <c r="R32" i="8"/>
  <c r="N32" i="8"/>
  <c r="J32" i="8"/>
  <c r="F32" i="8"/>
  <c r="BV31" i="8"/>
  <c r="BT31" i="8"/>
  <c r="BR31" i="8"/>
  <c r="BN31" i="8"/>
  <c r="BJ31" i="8"/>
  <c r="BF31" i="8"/>
  <c r="BB31" i="8"/>
  <c r="AX31" i="8"/>
  <c r="AT31" i="8"/>
  <c r="AP31" i="8"/>
  <c r="AL31" i="8"/>
  <c r="AH31" i="8"/>
  <c r="Z31" i="8"/>
  <c r="V31" i="8"/>
  <c r="R31" i="8"/>
  <c r="N31" i="8"/>
  <c r="J31" i="8"/>
  <c r="F31" i="8"/>
  <c r="BV30" i="8"/>
  <c r="BT30" i="8"/>
  <c r="BX30" i="8" s="1"/>
  <c r="BR30" i="8"/>
  <c r="BN30" i="8"/>
  <c r="BJ30" i="8"/>
  <c r="BF30" i="8"/>
  <c r="BB30" i="8"/>
  <c r="AX30" i="8"/>
  <c r="AT30" i="8"/>
  <c r="AP30" i="8"/>
  <c r="AL30" i="8"/>
  <c r="AH30" i="8"/>
  <c r="Z30" i="8"/>
  <c r="V30" i="8"/>
  <c r="R30" i="8"/>
  <c r="N30" i="8"/>
  <c r="J30" i="8"/>
  <c r="F30" i="8"/>
  <c r="BV29" i="8"/>
  <c r="BT29" i="8"/>
  <c r="BX29" i="8" s="1"/>
  <c r="BR29" i="8"/>
  <c r="BN29" i="8"/>
  <c r="BJ29" i="8"/>
  <c r="BF29" i="8"/>
  <c r="BB29" i="8"/>
  <c r="AX29" i="8"/>
  <c r="AT29" i="8"/>
  <c r="AP29" i="8"/>
  <c r="AL29" i="8"/>
  <c r="AH29" i="8"/>
  <c r="AD29" i="8"/>
  <c r="Z29" i="8"/>
  <c r="V29" i="8"/>
  <c r="R29" i="8"/>
  <c r="N29" i="8"/>
  <c r="J29" i="8"/>
  <c r="F29" i="8"/>
  <c r="BV28" i="8"/>
  <c r="BT28" i="8"/>
  <c r="BR28" i="8"/>
  <c r="BN28" i="8"/>
  <c r="BJ28" i="8"/>
  <c r="BF28" i="8"/>
  <c r="BB28" i="8"/>
  <c r="AX28" i="8"/>
  <c r="AT28" i="8"/>
  <c r="AP28" i="8"/>
  <c r="AL28" i="8"/>
  <c r="AH28" i="8"/>
  <c r="AD28" i="8"/>
  <c r="Z28" i="8"/>
  <c r="V28" i="8"/>
  <c r="R28" i="8"/>
  <c r="N28" i="8"/>
  <c r="J28" i="8"/>
  <c r="F28" i="8"/>
  <c r="BV27" i="8"/>
  <c r="BT27" i="8"/>
  <c r="BR27" i="8"/>
  <c r="BN27" i="8"/>
  <c r="BJ27" i="8"/>
  <c r="BF27" i="8"/>
  <c r="BB27" i="8"/>
  <c r="AX27" i="8"/>
  <c r="AT27" i="8"/>
  <c r="AP27" i="8"/>
  <c r="AL27" i="8"/>
  <c r="AH27" i="8"/>
  <c r="AD27" i="8"/>
  <c r="Z27" i="8"/>
  <c r="V27" i="8"/>
  <c r="R27" i="8"/>
  <c r="N27" i="8"/>
  <c r="J27" i="8"/>
  <c r="F27" i="8"/>
  <c r="BV26" i="8"/>
  <c r="BT26" i="8"/>
  <c r="BR26" i="8"/>
  <c r="BN26" i="8"/>
  <c r="BJ26" i="8"/>
  <c r="BF26" i="8"/>
  <c r="BB26" i="8"/>
  <c r="AX26" i="8"/>
  <c r="AT26" i="8"/>
  <c r="AP26" i="8"/>
  <c r="AL26" i="8"/>
  <c r="AH26" i="8"/>
  <c r="AD26" i="8"/>
  <c r="Z26" i="8"/>
  <c r="V26" i="8"/>
  <c r="R26" i="8"/>
  <c r="N26" i="8"/>
  <c r="J26" i="8"/>
  <c r="F26" i="8"/>
  <c r="BV25" i="8"/>
  <c r="BT25" i="8"/>
  <c r="BX25" i="8" s="1"/>
  <c r="BR25" i="8"/>
  <c r="BN25" i="8"/>
  <c r="BJ25" i="8"/>
  <c r="BF25" i="8"/>
  <c r="BB25" i="8"/>
  <c r="AX25" i="8"/>
  <c r="AT25" i="8"/>
  <c r="AP25" i="8"/>
  <c r="AL25" i="8"/>
  <c r="AH25" i="8"/>
  <c r="AD25" i="8"/>
  <c r="Z25" i="8"/>
  <c r="V25" i="8"/>
  <c r="R25" i="8"/>
  <c r="N25" i="8"/>
  <c r="J25" i="8"/>
  <c r="F25" i="8"/>
  <c r="BV24" i="8"/>
  <c r="BT24" i="8"/>
  <c r="BR24" i="8"/>
  <c r="BN24" i="8"/>
  <c r="BJ24" i="8"/>
  <c r="BF24" i="8"/>
  <c r="BB24" i="8"/>
  <c r="AX24" i="8"/>
  <c r="AT24" i="8"/>
  <c r="AP24" i="8"/>
  <c r="AL24" i="8"/>
  <c r="AH24" i="8"/>
  <c r="AD24" i="8"/>
  <c r="Z24" i="8"/>
  <c r="V24" i="8"/>
  <c r="R24" i="8"/>
  <c r="N24" i="8"/>
  <c r="J24" i="8"/>
  <c r="F24" i="8"/>
  <c r="BV23" i="8"/>
  <c r="BT23" i="8"/>
  <c r="BX23" i="8" s="1"/>
  <c r="BR23" i="8"/>
  <c r="BN23" i="8"/>
  <c r="BJ23" i="8"/>
  <c r="BF23" i="8"/>
  <c r="BB23" i="8"/>
  <c r="AX23" i="8"/>
  <c r="AT23" i="8"/>
  <c r="AP23" i="8"/>
  <c r="AL23" i="8"/>
  <c r="AH23" i="8"/>
  <c r="AD23" i="8"/>
  <c r="Z23" i="8"/>
  <c r="V23" i="8"/>
  <c r="R23" i="8"/>
  <c r="N23" i="8"/>
  <c r="J23" i="8"/>
  <c r="F23" i="8"/>
  <c r="BV22" i="8"/>
  <c r="BT22" i="8"/>
  <c r="BX22" i="8" s="1"/>
  <c r="BR22" i="8"/>
  <c r="BN22" i="8"/>
  <c r="BJ22" i="8"/>
  <c r="BF22" i="8"/>
  <c r="BB22" i="8"/>
  <c r="AX22" i="8"/>
  <c r="AT22" i="8"/>
  <c r="AP22" i="8"/>
  <c r="AL22" i="8"/>
  <c r="AH22" i="8"/>
  <c r="AD22" i="8"/>
  <c r="Z22" i="8"/>
  <c r="V22" i="8"/>
  <c r="R22" i="8"/>
  <c r="N22" i="8"/>
  <c r="J22" i="8"/>
  <c r="F22" i="8"/>
  <c r="BV21" i="8"/>
  <c r="BT21" i="8"/>
  <c r="BR21" i="8"/>
  <c r="BN21" i="8"/>
  <c r="BJ21" i="8"/>
  <c r="BF21" i="8"/>
  <c r="BB21" i="8"/>
  <c r="AX21" i="8"/>
  <c r="AT21" i="8"/>
  <c r="AP21" i="8"/>
  <c r="AL21" i="8"/>
  <c r="AH21" i="8"/>
  <c r="AD21" i="8"/>
  <c r="Z21" i="8"/>
  <c r="V21" i="8"/>
  <c r="R21" i="8"/>
  <c r="N21" i="8"/>
  <c r="J21" i="8"/>
  <c r="F21" i="8"/>
  <c r="BV20" i="8"/>
  <c r="BT20" i="8"/>
  <c r="BX20" i="8" s="1"/>
  <c r="BR20" i="8"/>
  <c r="BN20" i="8"/>
  <c r="BJ20" i="8"/>
  <c r="BF20" i="8"/>
  <c r="BB20" i="8"/>
  <c r="AX20" i="8"/>
  <c r="AT20" i="8"/>
  <c r="AP20" i="8"/>
  <c r="AL20" i="8"/>
  <c r="AH20" i="8"/>
  <c r="AD20" i="8"/>
  <c r="Z20" i="8"/>
  <c r="V20" i="8"/>
  <c r="R20" i="8"/>
  <c r="N20" i="8"/>
  <c r="J20" i="8"/>
  <c r="F20" i="8"/>
  <c r="BV19" i="8"/>
  <c r="BT19" i="8"/>
  <c r="BR19" i="8"/>
  <c r="BN19" i="8"/>
  <c r="BJ19" i="8"/>
  <c r="BF19" i="8"/>
  <c r="BB19" i="8"/>
  <c r="AX19" i="8"/>
  <c r="AT19" i="8"/>
  <c r="AP19" i="8"/>
  <c r="AL19" i="8"/>
  <c r="AH19" i="8"/>
  <c r="AD19" i="8"/>
  <c r="Z19" i="8"/>
  <c r="V19" i="8"/>
  <c r="R19" i="8"/>
  <c r="N19" i="8"/>
  <c r="J19" i="8"/>
  <c r="F19" i="8"/>
  <c r="BV18" i="8"/>
  <c r="BT18" i="8"/>
  <c r="BR18" i="8"/>
  <c r="BN18" i="8"/>
  <c r="BJ18" i="8"/>
  <c r="BF18" i="8"/>
  <c r="BB18" i="8"/>
  <c r="AX18" i="8"/>
  <c r="AT18" i="8"/>
  <c r="AP18" i="8"/>
  <c r="AL18" i="8"/>
  <c r="AH18" i="8"/>
  <c r="AD18" i="8"/>
  <c r="Z18" i="8"/>
  <c r="V18" i="8"/>
  <c r="R18" i="8"/>
  <c r="N18" i="8"/>
  <c r="J18" i="8"/>
  <c r="F18" i="8"/>
  <c r="BV17" i="8"/>
  <c r="BT17" i="8"/>
  <c r="BR17" i="8"/>
  <c r="BN17" i="8"/>
  <c r="BJ17" i="8"/>
  <c r="BF17" i="8"/>
  <c r="BB17" i="8"/>
  <c r="AX17" i="8"/>
  <c r="AT17" i="8"/>
  <c r="AP17" i="8"/>
  <c r="AL17" i="8"/>
  <c r="AH17" i="8"/>
  <c r="AD17" i="8"/>
  <c r="Z17" i="8"/>
  <c r="V17" i="8"/>
  <c r="R17" i="8"/>
  <c r="N17" i="8"/>
  <c r="J17" i="8"/>
  <c r="F17" i="8"/>
  <c r="BV16" i="8"/>
  <c r="BT16" i="8"/>
  <c r="BX16" i="8" s="1"/>
  <c r="BR16" i="8"/>
  <c r="BN16" i="8"/>
  <c r="BJ16" i="8"/>
  <c r="BF16" i="8"/>
  <c r="BB16" i="8"/>
  <c r="AX16" i="8"/>
  <c r="AT16" i="8"/>
  <c r="AP16" i="8"/>
  <c r="AL16" i="8"/>
  <c r="AH16" i="8"/>
  <c r="AD16" i="8"/>
  <c r="V16" i="8"/>
  <c r="R16" i="8"/>
  <c r="N16" i="8"/>
  <c r="J16" i="8"/>
  <c r="F16" i="8"/>
  <c r="BV15" i="8"/>
  <c r="BT15" i="8"/>
  <c r="BX15" i="8" s="1"/>
  <c r="BR15" i="8"/>
  <c r="BN15" i="8"/>
  <c r="BJ15" i="8"/>
  <c r="BF15" i="8"/>
  <c r="BB15" i="8"/>
  <c r="AX15" i="8"/>
  <c r="AT15" i="8"/>
  <c r="AP15" i="8"/>
  <c r="AL15" i="8"/>
  <c r="AH15" i="8"/>
  <c r="AD15" i="8"/>
  <c r="Z15" i="8"/>
  <c r="V15" i="8"/>
  <c r="R15" i="8"/>
  <c r="N15" i="8"/>
  <c r="J15" i="8"/>
  <c r="F15" i="8"/>
  <c r="BV14" i="8"/>
  <c r="BT14" i="8"/>
  <c r="BR14" i="8"/>
  <c r="BN14" i="8"/>
  <c r="BJ14" i="8"/>
  <c r="BF14" i="8"/>
  <c r="BB14" i="8"/>
  <c r="AX14" i="8"/>
  <c r="AT14" i="8"/>
  <c r="AP14" i="8"/>
  <c r="AL14" i="8"/>
  <c r="AH14" i="8"/>
  <c r="AD14" i="8"/>
  <c r="Z14" i="8"/>
  <c r="R14" i="8"/>
  <c r="F14" i="8"/>
  <c r="BV13" i="8"/>
  <c r="BT13" i="8"/>
  <c r="BR13" i="8"/>
  <c r="BN13" i="8"/>
  <c r="BJ13" i="8"/>
  <c r="BF13" i="8"/>
  <c r="BB13" i="8"/>
  <c r="AX13" i="8"/>
  <c r="AT13" i="8"/>
  <c r="AP13" i="8"/>
  <c r="AL13" i="8"/>
  <c r="AH13" i="8"/>
  <c r="AD13" i="8"/>
  <c r="Z13" i="8"/>
  <c r="V13" i="8"/>
  <c r="R13" i="8"/>
  <c r="N13" i="8"/>
  <c r="J13" i="8"/>
  <c r="F13" i="8"/>
  <c r="BV12" i="8"/>
  <c r="BT12" i="8"/>
  <c r="BR12" i="8"/>
  <c r="BN12" i="8"/>
  <c r="BJ12" i="8"/>
  <c r="BF12" i="8"/>
  <c r="BB12" i="8"/>
  <c r="AX12" i="8"/>
  <c r="AT12" i="8"/>
  <c r="AP12" i="8"/>
  <c r="AL12" i="8"/>
  <c r="AH12" i="8"/>
  <c r="AD12" i="8"/>
  <c r="Z12" i="8"/>
  <c r="V12" i="8"/>
  <c r="R12" i="8"/>
  <c r="N12" i="8"/>
  <c r="J12" i="8"/>
  <c r="F12" i="8"/>
  <c r="BV11" i="8"/>
  <c r="BT11" i="8"/>
  <c r="BR11" i="8"/>
  <c r="BN11" i="8"/>
  <c r="BJ11" i="8"/>
  <c r="BF11" i="8"/>
  <c r="BB11" i="8"/>
  <c r="AX11" i="8"/>
  <c r="AT11" i="8"/>
  <c r="AP11" i="8"/>
  <c r="AL11" i="8"/>
  <c r="AH11" i="8"/>
  <c r="AD11" i="8"/>
  <c r="Z11" i="8"/>
  <c r="V11" i="8"/>
  <c r="R11" i="8"/>
  <c r="N11" i="8"/>
  <c r="J11" i="8"/>
  <c r="F11" i="8"/>
  <c r="BV10" i="8"/>
  <c r="BT10" i="8"/>
  <c r="BR10" i="8"/>
  <c r="BN10" i="8"/>
  <c r="BJ10" i="8"/>
  <c r="BF10" i="8"/>
  <c r="BB10" i="8"/>
  <c r="AX10" i="8"/>
  <c r="AT10" i="8"/>
  <c r="AP10" i="8"/>
  <c r="AL10" i="8"/>
  <c r="AH10" i="8"/>
  <c r="AD10" i="8"/>
  <c r="Z10" i="8"/>
  <c r="V10" i="8"/>
  <c r="R10" i="8"/>
  <c r="N10" i="8"/>
  <c r="J10" i="8"/>
  <c r="F10" i="8"/>
  <c r="BV9" i="8"/>
  <c r="BT9" i="8"/>
  <c r="BR9" i="8"/>
  <c r="BN9" i="8"/>
  <c r="BJ9" i="8"/>
  <c r="BF9" i="8"/>
  <c r="BB9" i="8"/>
  <c r="AX9" i="8"/>
  <c r="AT9" i="8"/>
  <c r="AP9" i="8"/>
  <c r="AL9" i="8"/>
  <c r="AH9" i="8"/>
  <c r="AD9" i="8"/>
  <c r="Z9" i="8"/>
  <c r="V9" i="8"/>
  <c r="R9" i="8"/>
  <c r="N9" i="8"/>
  <c r="J9" i="8"/>
  <c r="F9" i="8"/>
  <c r="BV8" i="8"/>
  <c r="BT8" i="8"/>
  <c r="BX8" i="8" s="1"/>
  <c r="BR8" i="8"/>
  <c r="BN8" i="8"/>
  <c r="BJ8" i="8"/>
  <c r="BF8" i="8"/>
  <c r="BB8" i="8"/>
  <c r="AX8" i="8"/>
  <c r="AT8" i="8"/>
  <c r="AP8" i="8"/>
  <c r="AL8" i="8"/>
  <c r="AH8" i="8"/>
  <c r="AD8" i="8"/>
  <c r="Z8" i="8"/>
  <c r="V8" i="8"/>
  <c r="R8" i="8"/>
  <c r="N8" i="8"/>
  <c r="J8" i="8"/>
  <c r="F8" i="8"/>
  <c r="BV7" i="8"/>
  <c r="BT7" i="8"/>
  <c r="BR7" i="8"/>
  <c r="BN7" i="8"/>
  <c r="BJ7" i="8"/>
  <c r="BF7" i="8"/>
  <c r="BB7" i="8"/>
  <c r="AX7" i="8"/>
  <c r="AT7" i="8"/>
  <c r="AP7" i="8"/>
  <c r="AL7" i="8"/>
  <c r="AH7" i="8"/>
  <c r="AD7" i="8"/>
  <c r="Z7" i="8"/>
  <c r="V7" i="8"/>
  <c r="R7" i="8"/>
  <c r="N7" i="8"/>
  <c r="J7" i="8"/>
  <c r="F7" i="8"/>
  <c r="BV6" i="8"/>
  <c r="BT6" i="8"/>
  <c r="BR6" i="8"/>
  <c r="BN6" i="8"/>
  <c r="BJ6" i="8"/>
  <c r="BF6" i="8"/>
  <c r="AX6" i="8"/>
  <c r="AT6" i="8"/>
  <c r="AP6" i="8"/>
  <c r="AL6" i="8"/>
  <c r="AH6" i="8"/>
  <c r="AD6" i="8"/>
  <c r="Z6" i="8"/>
  <c r="V6" i="8"/>
  <c r="R6" i="8"/>
  <c r="N6" i="8"/>
  <c r="J6" i="8"/>
  <c r="F6" i="8"/>
  <c r="BV5" i="8"/>
  <c r="BT5" i="8"/>
  <c r="BR5" i="8"/>
  <c r="BN5" i="8"/>
  <c r="BJ5" i="8"/>
  <c r="BF5" i="8"/>
  <c r="BB5" i="8"/>
  <c r="AX5" i="8"/>
  <c r="AT5" i="8"/>
  <c r="AP5" i="8"/>
  <c r="AL5" i="8"/>
  <c r="AH5" i="8"/>
  <c r="AD5" i="8"/>
  <c r="Z5" i="8"/>
  <c r="V5" i="8"/>
  <c r="R5" i="8"/>
  <c r="N5" i="8"/>
  <c r="J5" i="8"/>
  <c r="F5" i="8"/>
  <c r="BV4" i="8"/>
  <c r="BT4" i="8"/>
  <c r="BR4" i="8"/>
  <c r="BN4" i="8"/>
  <c r="BJ4" i="8"/>
  <c r="BF4" i="8"/>
  <c r="BB4" i="8"/>
  <c r="AX4" i="8"/>
  <c r="AT4" i="8"/>
  <c r="AP4" i="8"/>
  <c r="AL4" i="8"/>
  <c r="AH4" i="8"/>
  <c r="AD4" i="8"/>
  <c r="Z4" i="8"/>
  <c r="V4" i="8"/>
  <c r="R4" i="8"/>
  <c r="N4" i="8"/>
  <c r="J4" i="8"/>
  <c r="F4" i="8"/>
  <c r="BV3" i="8"/>
  <c r="BT3" i="8"/>
  <c r="BR3" i="8"/>
  <c r="BN3" i="8"/>
  <c r="BJ3" i="8"/>
  <c r="BF3" i="8"/>
  <c r="BB3" i="8"/>
  <c r="AX3" i="8"/>
  <c r="AT3" i="8"/>
  <c r="AP3" i="8"/>
  <c r="AL3" i="8"/>
  <c r="AH3" i="8"/>
  <c r="AD3" i="8"/>
  <c r="Z3" i="8"/>
  <c r="V3" i="8"/>
  <c r="R3" i="8"/>
  <c r="N3" i="8"/>
  <c r="J3" i="8"/>
  <c r="F3" i="8"/>
  <c r="BV34" i="5"/>
  <c r="BT34" i="5"/>
  <c r="BX34" i="5" s="1"/>
  <c r="BR34" i="5"/>
  <c r="BN34" i="5"/>
  <c r="BJ34" i="5"/>
  <c r="BF34" i="5"/>
  <c r="BB34" i="5"/>
  <c r="AX34" i="5"/>
  <c r="AT34" i="5"/>
  <c r="AP34" i="5"/>
  <c r="AL34" i="5"/>
  <c r="AH34" i="5"/>
  <c r="Z34" i="5"/>
  <c r="V34" i="5"/>
  <c r="R34" i="5"/>
  <c r="N34" i="5"/>
  <c r="J34" i="5"/>
  <c r="F34" i="5"/>
  <c r="BV33" i="5"/>
  <c r="BT33" i="5"/>
  <c r="BR33" i="5"/>
  <c r="BN33" i="5"/>
  <c r="BJ33" i="5"/>
  <c r="BF33" i="5"/>
  <c r="BB33" i="5"/>
  <c r="AX33" i="5"/>
  <c r="AT33" i="5"/>
  <c r="AP33" i="5"/>
  <c r="AL33" i="5"/>
  <c r="AH33" i="5"/>
  <c r="Z33" i="5"/>
  <c r="V33" i="5"/>
  <c r="R33" i="5"/>
  <c r="N33" i="5"/>
  <c r="J33" i="5"/>
  <c r="F33" i="5"/>
  <c r="BV32" i="5"/>
  <c r="BT32" i="5"/>
  <c r="BX32" i="5" s="1"/>
  <c r="BR32" i="5"/>
  <c r="BN32" i="5"/>
  <c r="BJ32" i="5"/>
  <c r="BF32" i="5"/>
  <c r="BB32" i="5"/>
  <c r="AX32" i="5"/>
  <c r="AT32" i="5"/>
  <c r="AP32" i="5"/>
  <c r="AL32" i="5"/>
  <c r="AH32" i="5"/>
  <c r="Z32" i="5"/>
  <c r="V32" i="5"/>
  <c r="R32" i="5"/>
  <c r="N32" i="5"/>
  <c r="J32" i="5"/>
  <c r="F32" i="5"/>
  <c r="BV31" i="5"/>
  <c r="BT31" i="5"/>
  <c r="BR31" i="5"/>
  <c r="BN31" i="5"/>
  <c r="BJ31" i="5"/>
  <c r="BF31" i="5"/>
  <c r="BB31" i="5"/>
  <c r="AX31" i="5"/>
  <c r="AT31" i="5"/>
  <c r="AP31" i="5"/>
  <c r="AL31" i="5"/>
  <c r="AH31" i="5"/>
  <c r="Z31" i="5"/>
  <c r="V31" i="5"/>
  <c r="R31" i="5"/>
  <c r="N31" i="5"/>
  <c r="J31" i="5"/>
  <c r="F31" i="5"/>
  <c r="BV30" i="5"/>
  <c r="BT30" i="5"/>
  <c r="BX30" i="5" s="1"/>
  <c r="BR30" i="5"/>
  <c r="BN30" i="5"/>
  <c r="BJ30" i="5"/>
  <c r="BF30" i="5"/>
  <c r="BB30" i="5"/>
  <c r="AX30" i="5"/>
  <c r="AT30" i="5"/>
  <c r="AP30" i="5"/>
  <c r="AL30" i="5"/>
  <c r="AH30" i="5"/>
  <c r="Z30" i="5"/>
  <c r="V30" i="5"/>
  <c r="R30" i="5"/>
  <c r="N30" i="5"/>
  <c r="J30" i="5"/>
  <c r="F30" i="5"/>
  <c r="BV29" i="5"/>
  <c r="BT29" i="5"/>
  <c r="BR29" i="5"/>
  <c r="BN29" i="5"/>
  <c r="BJ29" i="5"/>
  <c r="BF29" i="5"/>
  <c r="BB29" i="5"/>
  <c r="AX29" i="5"/>
  <c r="AT29" i="5"/>
  <c r="AP29" i="5"/>
  <c r="AL29" i="5"/>
  <c r="AH29" i="5"/>
  <c r="AD29" i="5"/>
  <c r="Z29" i="5"/>
  <c r="V29" i="5"/>
  <c r="R29" i="5"/>
  <c r="N29" i="5"/>
  <c r="J29" i="5"/>
  <c r="F29" i="5"/>
  <c r="BV28" i="5"/>
  <c r="BT28" i="5"/>
  <c r="BR28" i="5"/>
  <c r="BN28" i="5"/>
  <c r="BJ28" i="5"/>
  <c r="BF28" i="5"/>
  <c r="BB28" i="5"/>
  <c r="AX28" i="5"/>
  <c r="AT28" i="5"/>
  <c r="AP28" i="5"/>
  <c r="AL28" i="5"/>
  <c r="AH28" i="5"/>
  <c r="AD28" i="5"/>
  <c r="Z28" i="5"/>
  <c r="V28" i="5"/>
  <c r="R28" i="5"/>
  <c r="N28" i="5"/>
  <c r="J28" i="5"/>
  <c r="F28" i="5"/>
  <c r="BV27" i="5"/>
  <c r="BT27" i="5"/>
  <c r="BX27" i="5" s="1"/>
  <c r="BR27" i="5"/>
  <c r="BN27" i="5"/>
  <c r="BJ27" i="5"/>
  <c r="BF27" i="5"/>
  <c r="BB27" i="5"/>
  <c r="AX27" i="5"/>
  <c r="AT27" i="5"/>
  <c r="AP27" i="5"/>
  <c r="AL27" i="5"/>
  <c r="AH27" i="5"/>
  <c r="AD27" i="5"/>
  <c r="Z27" i="5"/>
  <c r="V27" i="5"/>
  <c r="R27" i="5"/>
  <c r="N27" i="5"/>
  <c r="J27" i="5"/>
  <c r="F27" i="5"/>
  <c r="BV26" i="5"/>
  <c r="BT26" i="5"/>
  <c r="BR26" i="5"/>
  <c r="BN26" i="5"/>
  <c r="BJ26" i="5"/>
  <c r="BF26" i="5"/>
  <c r="BB26" i="5"/>
  <c r="AX26" i="5"/>
  <c r="AT26" i="5"/>
  <c r="AP26" i="5"/>
  <c r="AL26" i="5"/>
  <c r="AH26" i="5"/>
  <c r="AD26" i="5"/>
  <c r="Z26" i="5"/>
  <c r="V26" i="5"/>
  <c r="R26" i="5"/>
  <c r="N26" i="5"/>
  <c r="J26" i="5"/>
  <c r="F26" i="5"/>
  <c r="BV25" i="5"/>
  <c r="BT25" i="5"/>
  <c r="BX25" i="5" s="1"/>
  <c r="BR25" i="5"/>
  <c r="BN25" i="5"/>
  <c r="BJ25" i="5"/>
  <c r="BF25" i="5"/>
  <c r="BB25" i="5"/>
  <c r="AX25" i="5"/>
  <c r="AT25" i="5"/>
  <c r="AP25" i="5"/>
  <c r="AL25" i="5"/>
  <c r="AH25" i="5"/>
  <c r="AD25" i="5"/>
  <c r="Z25" i="5"/>
  <c r="V25" i="5"/>
  <c r="R25" i="5"/>
  <c r="N25" i="5"/>
  <c r="J25" i="5"/>
  <c r="F25" i="5"/>
  <c r="BV24" i="5"/>
  <c r="BT24" i="5"/>
  <c r="BR24" i="5"/>
  <c r="BN24" i="5"/>
  <c r="BJ24" i="5"/>
  <c r="BF24" i="5"/>
  <c r="BB24" i="5"/>
  <c r="AX24" i="5"/>
  <c r="AT24" i="5"/>
  <c r="AP24" i="5"/>
  <c r="AL24" i="5"/>
  <c r="AH24" i="5"/>
  <c r="AD24" i="5"/>
  <c r="Z24" i="5"/>
  <c r="V24" i="5"/>
  <c r="R24" i="5"/>
  <c r="N24" i="5"/>
  <c r="J24" i="5"/>
  <c r="F24" i="5"/>
  <c r="BV23" i="5"/>
  <c r="BT23" i="5"/>
  <c r="BX23" i="5" s="1"/>
  <c r="BR23" i="5"/>
  <c r="BN23" i="5"/>
  <c r="BJ23" i="5"/>
  <c r="BF23" i="5"/>
  <c r="BB23" i="5"/>
  <c r="AX23" i="5"/>
  <c r="AT23" i="5"/>
  <c r="AP23" i="5"/>
  <c r="AL23" i="5"/>
  <c r="AH23" i="5"/>
  <c r="AD23" i="5"/>
  <c r="Z23" i="5"/>
  <c r="V23" i="5"/>
  <c r="R23" i="5"/>
  <c r="N23" i="5"/>
  <c r="J23" i="5"/>
  <c r="F23" i="5"/>
  <c r="BV22" i="5"/>
  <c r="BT22" i="5"/>
  <c r="BX22" i="5" s="1"/>
  <c r="BR22" i="5"/>
  <c r="BN22" i="5"/>
  <c r="BJ22" i="5"/>
  <c r="BF22" i="5"/>
  <c r="BB22" i="5"/>
  <c r="AX22" i="5"/>
  <c r="AT22" i="5"/>
  <c r="AP22" i="5"/>
  <c r="AL22" i="5"/>
  <c r="AH22" i="5"/>
  <c r="AD22" i="5"/>
  <c r="Z22" i="5"/>
  <c r="V22" i="5"/>
  <c r="R22" i="5"/>
  <c r="N22" i="5"/>
  <c r="J22" i="5"/>
  <c r="F22" i="5"/>
  <c r="BV21" i="5"/>
  <c r="BT21" i="5"/>
  <c r="BR21" i="5"/>
  <c r="BN21" i="5"/>
  <c r="BJ21" i="5"/>
  <c r="BF21" i="5"/>
  <c r="BB21" i="5"/>
  <c r="AX21" i="5"/>
  <c r="AT21" i="5"/>
  <c r="AP21" i="5"/>
  <c r="AL21" i="5"/>
  <c r="AH21" i="5"/>
  <c r="AD21" i="5"/>
  <c r="Z21" i="5"/>
  <c r="V21" i="5"/>
  <c r="R21" i="5"/>
  <c r="N21" i="5"/>
  <c r="J21" i="5"/>
  <c r="F21" i="5"/>
  <c r="BV20" i="5"/>
  <c r="BT20" i="5"/>
  <c r="BR20" i="5"/>
  <c r="BN20" i="5"/>
  <c r="BJ20" i="5"/>
  <c r="BF20" i="5"/>
  <c r="BB20" i="5"/>
  <c r="AX20" i="5"/>
  <c r="AT20" i="5"/>
  <c r="AP20" i="5"/>
  <c r="AL20" i="5"/>
  <c r="AH20" i="5"/>
  <c r="AD20" i="5"/>
  <c r="Z20" i="5"/>
  <c r="V20" i="5"/>
  <c r="R20" i="5"/>
  <c r="N20" i="5"/>
  <c r="J20" i="5"/>
  <c r="F20" i="5"/>
  <c r="BV19" i="5"/>
  <c r="BT19" i="5"/>
  <c r="BR19" i="5"/>
  <c r="BN19" i="5"/>
  <c r="BJ19" i="5"/>
  <c r="BF19" i="5"/>
  <c r="BB19" i="5"/>
  <c r="AX19" i="5"/>
  <c r="AT19" i="5"/>
  <c r="AP19" i="5"/>
  <c r="AL19" i="5"/>
  <c r="AH19" i="5"/>
  <c r="AD19" i="5"/>
  <c r="Z19" i="5"/>
  <c r="V19" i="5"/>
  <c r="R19" i="5"/>
  <c r="N19" i="5"/>
  <c r="J19" i="5"/>
  <c r="F19" i="5"/>
  <c r="BV18" i="5"/>
  <c r="BT18" i="5"/>
  <c r="BX18" i="5" s="1"/>
  <c r="BR18" i="5"/>
  <c r="BN18" i="5"/>
  <c r="BJ18" i="5"/>
  <c r="BF18" i="5"/>
  <c r="BB18" i="5"/>
  <c r="AX18" i="5"/>
  <c r="AT18" i="5"/>
  <c r="AP18" i="5"/>
  <c r="AL18" i="5"/>
  <c r="AH18" i="5"/>
  <c r="AD18" i="5"/>
  <c r="Z18" i="5"/>
  <c r="V18" i="5"/>
  <c r="R18" i="5"/>
  <c r="N18" i="5"/>
  <c r="J18" i="5"/>
  <c r="F18" i="5"/>
  <c r="BV17" i="5"/>
  <c r="BT17" i="5"/>
  <c r="BR17" i="5"/>
  <c r="BN17" i="5"/>
  <c r="BJ17" i="5"/>
  <c r="BF17" i="5"/>
  <c r="BB17" i="5"/>
  <c r="AX17" i="5"/>
  <c r="AT17" i="5"/>
  <c r="AP17" i="5"/>
  <c r="AL17" i="5"/>
  <c r="AH17" i="5"/>
  <c r="AD17" i="5"/>
  <c r="Z17" i="5"/>
  <c r="V17" i="5"/>
  <c r="R17" i="5"/>
  <c r="N17" i="5"/>
  <c r="J17" i="5"/>
  <c r="F17" i="5"/>
  <c r="BV16" i="5"/>
  <c r="BT16" i="5"/>
  <c r="BR16" i="5"/>
  <c r="BN16" i="5"/>
  <c r="BJ16" i="5"/>
  <c r="BF16" i="5"/>
  <c r="BB16" i="5"/>
  <c r="AX16" i="5"/>
  <c r="AT16" i="5"/>
  <c r="AP16" i="5"/>
  <c r="AL16" i="5"/>
  <c r="AH16" i="5"/>
  <c r="AD16" i="5"/>
  <c r="V16" i="5"/>
  <c r="R16" i="5"/>
  <c r="N16" i="5"/>
  <c r="J16" i="5"/>
  <c r="F16" i="5"/>
  <c r="BV15" i="5"/>
  <c r="BT15" i="5"/>
  <c r="BX15" i="5" s="1"/>
  <c r="BR15" i="5"/>
  <c r="BN15" i="5"/>
  <c r="BJ15" i="5"/>
  <c r="BF15" i="5"/>
  <c r="BB15" i="5"/>
  <c r="AX15" i="5"/>
  <c r="AT15" i="5"/>
  <c r="AP15" i="5"/>
  <c r="AL15" i="5"/>
  <c r="AH15" i="5"/>
  <c r="AD15" i="5"/>
  <c r="Z15" i="5"/>
  <c r="V15" i="5"/>
  <c r="R15" i="5"/>
  <c r="N15" i="5"/>
  <c r="J15" i="5"/>
  <c r="F15" i="5"/>
  <c r="BV14" i="5"/>
  <c r="BT14" i="5"/>
  <c r="BX14" i="5" s="1"/>
  <c r="BR14" i="5"/>
  <c r="BN14" i="5"/>
  <c r="BJ14" i="5"/>
  <c r="BF14" i="5"/>
  <c r="BB14" i="5"/>
  <c r="AX14" i="5"/>
  <c r="AT14" i="5"/>
  <c r="AP14" i="5"/>
  <c r="AL14" i="5"/>
  <c r="AH14" i="5"/>
  <c r="AD14" i="5"/>
  <c r="Z14" i="5"/>
  <c r="R14" i="5"/>
  <c r="F14" i="5"/>
  <c r="BV13" i="5"/>
  <c r="BT13" i="5"/>
  <c r="BR13" i="5"/>
  <c r="BN13" i="5"/>
  <c r="BJ13" i="5"/>
  <c r="BF13" i="5"/>
  <c r="BB13" i="5"/>
  <c r="AX13" i="5"/>
  <c r="AT13" i="5"/>
  <c r="AP13" i="5"/>
  <c r="AL13" i="5"/>
  <c r="AH13" i="5"/>
  <c r="AD13" i="5"/>
  <c r="Z13" i="5"/>
  <c r="V13" i="5"/>
  <c r="R13" i="5"/>
  <c r="N13" i="5"/>
  <c r="J13" i="5"/>
  <c r="F13" i="5"/>
  <c r="BV12" i="5"/>
  <c r="BT12" i="5"/>
  <c r="BR12" i="5"/>
  <c r="BN12" i="5"/>
  <c r="BJ12" i="5"/>
  <c r="BF12" i="5"/>
  <c r="BB12" i="5"/>
  <c r="AX12" i="5"/>
  <c r="AT12" i="5"/>
  <c r="AP12" i="5"/>
  <c r="AL12" i="5"/>
  <c r="AH12" i="5"/>
  <c r="AD12" i="5"/>
  <c r="Z12" i="5"/>
  <c r="V12" i="5"/>
  <c r="R12" i="5"/>
  <c r="N12" i="5"/>
  <c r="J12" i="5"/>
  <c r="F12" i="5"/>
  <c r="BV11" i="5"/>
  <c r="BT11" i="5"/>
  <c r="BX11" i="5" s="1"/>
  <c r="BR11" i="5"/>
  <c r="BN11" i="5"/>
  <c r="BJ11" i="5"/>
  <c r="BF11" i="5"/>
  <c r="BB11" i="5"/>
  <c r="AX11" i="5"/>
  <c r="AT11" i="5"/>
  <c r="AP11" i="5"/>
  <c r="AL11" i="5"/>
  <c r="AH11" i="5"/>
  <c r="AD11" i="5"/>
  <c r="Z11" i="5"/>
  <c r="V11" i="5"/>
  <c r="R11" i="5"/>
  <c r="N11" i="5"/>
  <c r="J11" i="5"/>
  <c r="F11" i="5"/>
  <c r="BV10" i="5"/>
  <c r="BT10" i="5"/>
  <c r="BX10" i="5" s="1"/>
  <c r="BR10" i="5"/>
  <c r="BN10" i="5"/>
  <c r="BJ10" i="5"/>
  <c r="BF10" i="5"/>
  <c r="BB10" i="5"/>
  <c r="AX10" i="5"/>
  <c r="AT10" i="5"/>
  <c r="AP10" i="5"/>
  <c r="AL10" i="5"/>
  <c r="AH10" i="5"/>
  <c r="AD10" i="5"/>
  <c r="Z10" i="5"/>
  <c r="V10" i="5"/>
  <c r="R10" i="5"/>
  <c r="N10" i="5"/>
  <c r="J10" i="5"/>
  <c r="F10" i="5"/>
  <c r="BV9" i="5"/>
  <c r="BT9" i="5"/>
  <c r="BR9" i="5"/>
  <c r="BN9" i="5"/>
  <c r="BJ9" i="5"/>
  <c r="BF9" i="5"/>
  <c r="BB9" i="5"/>
  <c r="AX9" i="5"/>
  <c r="AT9" i="5"/>
  <c r="AP9" i="5"/>
  <c r="AL9" i="5"/>
  <c r="AH9" i="5"/>
  <c r="AD9" i="5"/>
  <c r="Z9" i="5"/>
  <c r="V9" i="5"/>
  <c r="R9" i="5"/>
  <c r="N9" i="5"/>
  <c r="J9" i="5"/>
  <c r="F9" i="5"/>
  <c r="BV8" i="5"/>
  <c r="BT8" i="5"/>
  <c r="BX8" i="5" s="1"/>
  <c r="BR8" i="5"/>
  <c r="BN8" i="5"/>
  <c r="BJ8" i="5"/>
  <c r="BF8" i="5"/>
  <c r="BB8" i="5"/>
  <c r="AX8" i="5"/>
  <c r="AT8" i="5"/>
  <c r="AP8" i="5"/>
  <c r="AL8" i="5"/>
  <c r="AH8" i="5"/>
  <c r="AD8" i="5"/>
  <c r="Z8" i="5"/>
  <c r="V8" i="5"/>
  <c r="R8" i="5"/>
  <c r="N8" i="5"/>
  <c r="J8" i="5"/>
  <c r="F8" i="5"/>
  <c r="BV7" i="5"/>
  <c r="BT7" i="5"/>
  <c r="BR7" i="5"/>
  <c r="BN7" i="5"/>
  <c r="BJ7" i="5"/>
  <c r="BF7" i="5"/>
  <c r="BB7" i="5"/>
  <c r="AX7" i="5"/>
  <c r="AT7" i="5"/>
  <c r="AP7" i="5"/>
  <c r="AL7" i="5"/>
  <c r="AH7" i="5"/>
  <c r="AD7" i="5"/>
  <c r="Z7" i="5"/>
  <c r="V7" i="5"/>
  <c r="R7" i="5"/>
  <c r="N7" i="5"/>
  <c r="J7" i="5"/>
  <c r="F7" i="5"/>
  <c r="BV6" i="5"/>
  <c r="BT6" i="5"/>
  <c r="BX6" i="5" s="1"/>
  <c r="BR6" i="5"/>
  <c r="BN6" i="5"/>
  <c r="BJ6" i="5"/>
  <c r="BF6" i="5"/>
  <c r="BB6" i="5"/>
  <c r="AX6" i="5"/>
  <c r="AT6" i="5"/>
  <c r="AP6" i="5"/>
  <c r="AL6" i="5"/>
  <c r="AH6" i="5"/>
  <c r="AD6" i="5"/>
  <c r="Z6" i="5"/>
  <c r="V6" i="5"/>
  <c r="R6" i="5"/>
  <c r="N6" i="5"/>
  <c r="J6" i="5"/>
  <c r="F6" i="5"/>
  <c r="BV5" i="5"/>
  <c r="BT5" i="5"/>
  <c r="BR5" i="5"/>
  <c r="BN5" i="5"/>
  <c r="BJ5" i="5"/>
  <c r="BF5" i="5"/>
  <c r="BB5" i="5"/>
  <c r="AX5" i="5"/>
  <c r="AT5" i="5"/>
  <c r="AP5" i="5"/>
  <c r="AL5" i="5"/>
  <c r="AH5" i="5"/>
  <c r="AD5" i="5"/>
  <c r="Z5" i="5"/>
  <c r="V5" i="5"/>
  <c r="R5" i="5"/>
  <c r="N5" i="5"/>
  <c r="J5" i="5"/>
  <c r="F5" i="5"/>
  <c r="BV4" i="5"/>
  <c r="BT4" i="5"/>
  <c r="BR4" i="5"/>
  <c r="BN4" i="5"/>
  <c r="BJ4" i="5"/>
  <c r="BF4" i="5"/>
  <c r="BB4" i="5"/>
  <c r="AX4" i="5"/>
  <c r="AT4" i="5"/>
  <c r="AP4" i="5"/>
  <c r="AL4" i="5"/>
  <c r="AH4" i="5"/>
  <c r="AD4" i="5"/>
  <c r="Z4" i="5"/>
  <c r="V4" i="5"/>
  <c r="R4" i="5"/>
  <c r="N4" i="5"/>
  <c r="J4" i="5"/>
  <c r="F4" i="5"/>
  <c r="BV3" i="5"/>
  <c r="BT3" i="5"/>
  <c r="BR3" i="5"/>
  <c r="BN3" i="5"/>
  <c r="BJ3" i="5"/>
  <c r="BF3" i="5"/>
  <c r="BB3" i="5"/>
  <c r="AX3" i="5"/>
  <c r="AT3" i="5"/>
  <c r="AP3" i="5"/>
  <c r="AL3" i="5"/>
  <c r="AH3" i="5"/>
  <c r="AD3" i="5"/>
  <c r="Z3" i="5"/>
  <c r="V3" i="5"/>
  <c r="R3" i="5"/>
  <c r="N3" i="5"/>
  <c r="J3" i="5"/>
  <c r="F3" i="5"/>
  <c r="BV34" i="4"/>
  <c r="BT34" i="4"/>
  <c r="BX34" i="4" s="1"/>
  <c r="BR34" i="4"/>
  <c r="BN34" i="4"/>
  <c r="BJ34" i="4"/>
  <c r="BF34" i="4"/>
  <c r="BB34" i="4"/>
  <c r="AX34" i="4"/>
  <c r="AT34" i="4"/>
  <c r="AP34" i="4"/>
  <c r="AL34" i="4"/>
  <c r="AH34" i="4"/>
  <c r="Z34" i="4"/>
  <c r="V34" i="4"/>
  <c r="R34" i="4"/>
  <c r="N34" i="4"/>
  <c r="J34" i="4"/>
  <c r="F34" i="4"/>
  <c r="BV33" i="4"/>
  <c r="BT33" i="4"/>
  <c r="BX33" i="4" s="1"/>
  <c r="BR33" i="4"/>
  <c r="BN33" i="4"/>
  <c r="BJ33" i="4"/>
  <c r="BF33" i="4"/>
  <c r="BB33" i="4"/>
  <c r="AX33" i="4"/>
  <c r="AT33" i="4"/>
  <c r="AP33" i="4"/>
  <c r="AL33" i="4"/>
  <c r="AH33" i="4"/>
  <c r="Z33" i="4"/>
  <c r="V33" i="4"/>
  <c r="R33" i="4"/>
  <c r="N33" i="4"/>
  <c r="J33" i="4"/>
  <c r="F33" i="4"/>
  <c r="BV32" i="4"/>
  <c r="BT32" i="4"/>
  <c r="BR32" i="4"/>
  <c r="BN32" i="4"/>
  <c r="BJ32" i="4"/>
  <c r="BF32" i="4"/>
  <c r="BB32" i="4"/>
  <c r="AX32" i="4"/>
  <c r="AT32" i="4"/>
  <c r="AP32" i="4"/>
  <c r="AL32" i="4"/>
  <c r="AH32" i="4"/>
  <c r="Z32" i="4"/>
  <c r="V32" i="4"/>
  <c r="R32" i="4"/>
  <c r="N32" i="4"/>
  <c r="J32" i="4"/>
  <c r="F32" i="4"/>
  <c r="BV31" i="4"/>
  <c r="BT31" i="4"/>
  <c r="BR31" i="4"/>
  <c r="BN31" i="4"/>
  <c r="BJ31" i="4"/>
  <c r="BF31" i="4"/>
  <c r="BB31" i="4"/>
  <c r="AX31" i="4"/>
  <c r="AT31" i="4"/>
  <c r="AP31" i="4"/>
  <c r="AL31" i="4"/>
  <c r="AH31" i="4"/>
  <c r="Z31" i="4"/>
  <c r="V31" i="4"/>
  <c r="R31" i="4"/>
  <c r="N31" i="4"/>
  <c r="J31" i="4"/>
  <c r="F31" i="4"/>
  <c r="BV30" i="4"/>
  <c r="BT30" i="4"/>
  <c r="BX30" i="4" s="1"/>
  <c r="BR30" i="4"/>
  <c r="BN30" i="4"/>
  <c r="BJ30" i="4"/>
  <c r="BF30" i="4"/>
  <c r="BB30" i="4"/>
  <c r="AX30" i="4"/>
  <c r="AT30" i="4"/>
  <c r="AP30" i="4"/>
  <c r="AL30" i="4"/>
  <c r="AH30" i="4"/>
  <c r="Z30" i="4"/>
  <c r="V30" i="4"/>
  <c r="R30" i="4"/>
  <c r="N30" i="4"/>
  <c r="J30" i="4"/>
  <c r="F30" i="4"/>
  <c r="BV29" i="4"/>
  <c r="BT29" i="4"/>
  <c r="BR29" i="4"/>
  <c r="BN29" i="4"/>
  <c r="BJ29" i="4"/>
  <c r="BF29" i="4"/>
  <c r="BB29" i="4"/>
  <c r="AX29" i="4"/>
  <c r="AT29" i="4"/>
  <c r="AP29" i="4"/>
  <c r="AL29" i="4"/>
  <c r="AH29" i="4"/>
  <c r="AD29" i="4"/>
  <c r="Z29" i="4"/>
  <c r="V29" i="4"/>
  <c r="R29" i="4"/>
  <c r="N29" i="4"/>
  <c r="J29" i="4"/>
  <c r="F29" i="4"/>
  <c r="BV28" i="4"/>
  <c r="BT28" i="4"/>
  <c r="BR28" i="4"/>
  <c r="BN28" i="4"/>
  <c r="BJ28" i="4"/>
  <c r="BF28" i="4"/>
  <c r="BB28" i="4"/>
  <c r="AX28" i="4"/>
  <c r="AT28" i="4"/>
  <c r="AP28" i="4"/>
  <c r="AL28" i="4"/>
  <c r="AH28" i="4"/>
  <c r="AD28" i="4"/>
  <c r="Z28" i="4"/>
  <c r="V28" i="4"/>
  <c r="R28" i="4"/>
  <c r="N28" i="4"/>
  <c r="J28" i="4"/>
  <c r="F28" i="4"/>
  <c r="BV27" i="4"/>
  <c r="BT27" i="4"/>
  <c r="BR27" i="4"/>
  <c r="BN27" i="4"/>
  <c r="BJ27" i="4"/>
  <c r="BF27" i="4"/>
  <c r="BB27" i="4"/>
  <c r="AX27" i="4"/>
  <c r="AT27" i="4"/>
  <c r="AP27" i="4"/>
  <c r="AL27" i="4"/>
  <c r="AH27" i="4"/>
  <c r="AD27" i="4"/>
  <c r="Z27" i="4"/>
  <c r="V27" i="4"/>
  <c r="R27" i="4"/>
  <c r="N27" i="4"/>
  <c r="J27" i="4"/>
  <c r="F27" i="4"/>
  <c r="BV26" i="4"/>
  <c r="BT26" i="4"/>
  <c r="BX26" i="4" s="1"/>
  <c r="BR26" i="4"/>
  <c r="BN26" i="4"/>
  <c r="BJ26" i="4"/>
  <c r="BF26" i="4"/>
  <c r="BB26" i="4"/>
  <c r="AX26" i="4"/>
  <c r="AT26" i="4"/>
  <c r="AP26" i="4"/>
  <c r="AL26" i="4"/>
  <c r="AH26" i="4"/>
  <c r="AD26" i="4"/>
  <c r="Z26" i="4"/>
  <c r="V26" i="4"/>
  <c r="R26" i="4"/>
  <c r="N26" i="4"/>
  <c r="J26" i="4"/>
  <c r="F26" i="4"/>
  <c r="BV25" i="4"/>
  <c r="BT25" i="4"/>
  <c r="BX25" i="4" s="1"/>
  <c r="BR25" i="4"/>
  <c r="BN25" i="4"/>
  <c r="BJ25" i="4"/>
  <c r="BF25" i="4"/>
  <c r="BB25" i="4"/>
  <c r="AX25" i="4"/>
  <c r="AT25" i="4"/>
  <c r="AP25" i="4"/>
  <c r="AL25" i="4"/>
  <c r="AH25" i="4"/>
  <c r="AD25" i="4"/>
  <c r="Z25" i="4"/>
  <c r="V25" i="4"/>
  <c r="R25" i="4"/>
  <c r="N25" i="4"/>
  <c r="J25" i="4"/>
  <c r="F25" i="4"/>
  <c r="BV24" i="4"/>
  <c r="BT24" i="4"/>
  <c r="BR24" i="4"/>
  <c r="BN24" i="4"/>
  <c r="BJ24" i="4"/>
  <c r="BF24" i="4"/>
  <c r="BB24" i="4"/>
  <c r="AX24" i="4"/>
  <c r="AT24" i="4"/>
  <c r="AP24" i="4"/>
  <c r="AL24" i="4"/>
  <c r="AH24" i="4"/>
  <c r="AD24" i="4"/>
  <c r="Z24" i="4"/>
  <c r="V24" i="4"/>
  <c r="R24" i="4"/>
  <c r="N24" i="4"/>
  <c r="J24" i="4"/>
  <c r="F24" i="4"/>
  <c r="BV23" i="4"/>
  <c r="BT23" i="4"/>
  <c r="BX23" i="4" s="1"/>
  <c r="BR23" i="4"/>
  <c r="BN23" i="4"/>
  <c r="BJ23" i="4"/>
  <c r="BF23" i="4"/>
  <c r="BB23" i="4"/>
  <c r="AX23" i="4"/>
  <c r="AT23" i="4"/>
  <c r="AP23" i="4"/>
  <c r="AL23" i="4"/>
  <c r="AH23" i="4"/>
  <c r="AD23" i="4"/>
  <c r="Z23" i="4"/>
  <c r="V23" i="4"/>
  <c r="R23" i="4"/>
  <c r="N23" i="4"/>
  <c r="J23" i="4"/>
  <c r="F23" i="4"/>
  <c r="BV22" i="4"/>
  <c r="BT22" i="4"/>
  <c r="BR22" i="4"/>
  <c r="BN22" i="4"/>
  <c r="BJ22" i="4"/>
  <c r="BF22" i="4"/>
  <c r="BB22" i="4"/>
  <c r="AX22" i="4"/>
  <c r="AT22" i="4"/>
  <c r="AP22" i="4"/>
  <c r="AL22" i="4"/>
  <c r="AH22" i="4"/>
  <c r="AD22" i="4"/>
  <c r="Z22" i="4"/>
  <c r="V22" i="4"/>
  <c r="R22" i="4"/>
  <c r="N22" i="4"/>
  <c r="J22" i="4"/>
  <c r="F22" i="4"/>
  <c r="BV21" i="4"/>
  <c r="BT21" i="4"/>
  <c r="BR21" i="4"/>
  <c r="BN21" i="4"/>
  <c r="BJ21" i="4"/>
  <c r="BF21" i="4"/>
  <c r="BB21" i="4"/>
  <c r="AX21" i="4"/>
  <c r="AT21" i="4"/>
  <c r="AP21" i="4"/>
  <c r="AL21" i="4"/>
  <c r="AH21" i="4"/>
  <c r="AD21" i="4"/>
  <c r="Z21" i="4"/>
  <c r="V21" i="4"/>
  <c r="R21" i="4"/>
  <c r="N21" i="4"/>
  <c r="J21" i="4"/>
  <c r="F21" i="4"/>
  <c r="BV20" i="4"/>
  <c r="BT20" i="4"/>
  <c r="BR20" i="4"/>
  <c r="BN20" i="4"/>
  <c r="BJ20" i="4"/>
  <c r="BF20" i="4"/>
  <c r="BB20" i="4"/>
  <c r="AX20" i="4"/>
  <c r="AT20" i="4"/>
  <c r="AP20" i="4"/>
  <c r="AL20" i="4"/>
  <c r="AH20" i="4"/>
  <c r="AD20" i="4"/>
  <c r="Z20" i="4"/>
  <c r="V20" i="4"/>
  <c r="R20" i="4"/>
  <c r="N20" i="4"/>
  <c r="J20" i="4"/>
  <c r="F20" i="4"/>
  <c r="BV19" i="4"/>
  <c r="BT19" i="4"/>
  <c r="BX19" i="4" s="1"/>
  <c r="BR19" i="4"/>
  <c r="BN19" i="4"/>
  <c r="BJ19" i="4"/>
  <c r="BF19" i="4"/>
  <c r="BB19" i="4"/>
  <c r="AX19" i="4"/>
  <c r="AT19" i="4"/>
  <c r="AP19" i="4"/>
  <c r="AL19" i="4"/>
  <c r="AH19" i="4"/>
  <c r="AD19" i="4"/>
  <c r="Z19" i="4"/>
  <c r="V19" i="4"/>
  <c r="R19" i="4"/>
  <c r="N19" i="4"/>
  <c r="J19" i="4"/>
  <c r="F19" i="4"/>
  <c r="BV18" i="4"/>
  <c r="BT18" i="4"/>
  <c r="BX18" i="4" s="1"/>
  <c r="BR18" i="4"/>
  <c r="BN18" i="4"/>
  <c r="BJ18" i="4"/>
  <c r="BF18" i="4"/>
  <c r="BB18" i="4"/>
  <c r="AX18" i="4"/>
  <c r="AT18" i="4"/>
  <c r="AP18" i="4"/>
  <c r="AL18" i="4"/>
  <c r="AH18" i="4"/>
  <c r="AD18" i="4"/>
  <c r="Z18" i="4"/>
  <c r="V18" i="4"/>
  <c r="R18" i="4"/>
  <c r="N18" i="4"/>
  <c r="J18" i="4"/>
  <c r="F18" i="4"/>
  <c r="BV17" i="4"/>
  <c r="BT17" i="4"/>
  <c r="BR17" i="4"/>
  <c r="BN17" i="4"/>
  <c r="BJ17" i="4"/>
  <c r="BF17" i="4"/>
  <c r="BB17" i="4"/>
  <c r="AX17" i="4"/>
  <c r="AT17" i="4"/>
  <c r="AP17" i="4"/>
  <c r="AL17" i="4"/>
  <c r="AH17" i="4"/>
  <c r="AD17" i="4"/>
  <c r="Z17" i="4"/>
  <c r="V17" i="4"/>
  <c r="R17" i="4"/>
  <c r="N17" i="4"/>
  <c r="J17" i="4"/>
  <c r="F17" i="4"/>
  <c r="BV16" i="4"/>
  <c r="BT16" i="4"/>
  <c r="BX16" i="4" s="1"/>
  <c r="BR16" i="4"/>
  <c r="BN16" i="4"/>
  <c r="BJ16" i="4"/>
  <c r="BF16" i="4"/>
  <c r="BB16" i="4"/>
  <c r="AX16" i="4"/>
  <c r="AT16" i="4"/>
  <c r="AP16" i="4"/>
  <c r="AL16" i="4"/>
  <c r="AH16" i="4"/>
  <c r="AD16" i="4"/>
  <c r="V16" i="4"/>
  <c r="R16" i="4"/>
  <c r="N16" i="4"/>
  <c r="J16" i="4"/>
  <c r="F16" i="4"/>
  <c r="BV15" i="4"/>
  <c r="BT15" i="4"/>
  <c r="BX15" i="4" s="1"/>
  <c r="BR15" i="4"/>
  <c r="BN15" i="4"/>
  <c r="BJ15" i="4"/>
  <c r="BF15" i="4"/>
  <c r="BB15" i="4"/>
  <c r="AX15" i="4"/>
  <c r="AT15" i="4"/>
  <c r="AP15" i="4"/>
  <c r="AL15" i="4"/>
  <c r="AH15" i="4"/>
  <c r="AD15" i="4"/>
  <c r="Z15" i="4"/>
  <c r="V15" i="4"/>
  <c r="R15" i="4"/>
  <c r="N15" i="4"/>
  <c r="J15" i="4"/>
  <c r="F15" i="4"/>
  <c r="BV14" i="4"/>
  <c r="BT14" i="4"/>
  <c r="BR14" i="4"/>
  <c r="BN14" i="4"/>
  <c r="BJ14" i="4"/>
  <c r="BF14" i="4"/>
  <c r="BB14" i="4"/>
  <c r="AX14" i="4"/>
  <c r="AT14" i="4"/>
  <c r="AP14" i="4"/>
  <c r="AL14" i="4"/>
  <c r="AH14" i="4"/>
  <c r="AD14" i="4"/>
  <c r="Z14" i="4"/>
  <c r="R14" i="4"/>
  <c r="F14" i="4"/>
  <c r="BV13" i="4"/>
  <c r="BT13" i="4"/>
  <c r="BR13" i="4"/>
  <c r="BN13" i="4"/>
  <c r="BJ13" i="4"/>
  <c r="BF13" i="4"/>
  <c r="BB13" i="4"/>
  <c r="AX13" i="4"/>
  <c r="AT13" i="4"/>
  <c r="AP13" i="4"/>
  <c r="AL13" i="4"/>
  <c r="AH13" i="4"/>
  <c r="AD13" i="4"/>
  <c r="Z13" i="4"/>
  <c r="V13" i="4"/>
  <c r="R13" i="4"/>
  <c r="N13" i="4"/>
  <c r="J13" i="4"/>
  <c r="F13" i="4"/>
  <c r="BV12" i="4"/>
  <c r="BT12" i="4"/>
  <c r="BR12" i="4"/>
  <c r="BN12" i="4"/>
  <c r="BJ12" i="4"/>
  <c r="BF12" i="4"/>
  <c r="BB12" i="4"/>
  <c r="AX12" i="4"/>
  <c r="AT12" i="4"/>
  <c r="AP12" i="4"/>
  <c r="AL12" i="4"/>
  <c r="AH12" i="4"/>
  <c r="AD12" i="4"/>
  <c r="Z12" i="4"/>
  <c r="V12" i="4"/>
  <c r="R12" i="4"/>
  <c r="N12" i="4"/>
  <c r="J12" i="4"/>
  <c r="F12" i="4"/>
  <c r="BV11" i="4"/>
  <c r="BT11" i="4"/>
  <c r="BX11" i="4" s="1"/>
  <c r="BR11" i="4"/>
  <c r="BN11" i="4"/>
  <c r="BJ11" i="4"/>
  <c r="BF11" i="4"/>
  <c r="BB11" i="4"/>
  <c r="AX11" i="4"/>
  <c r="AT11" i="4"/>
  <c r="AP11" i="4"/>
  <c r="AL11" i="4"/>
  <c r="AH11" i="4"/>
  <c r="AD11" i="4"/>
  <c r="Z11" i="4"/>
  <c r="V11" i="4"/>
  <c r="R11" i="4"/>
  <c r="N11" i="4"/>
  <c r="J11" i="4"/>
  <c r="F11" i="4"/>
  <c r="BV10" i="4"/>
  <c r="BT10" i="4"/>
  <c r="BX10" i="4" s="1"/>
  <c r="BR10" i="4"/>
  <c r="BN10" i="4"/>
  <c r="BJ10" i="4"/>
  <c r="BF10" i="4"/>
  <c r="BB10" i="4"/>
  <c r="AX10" i="4"/>
  <c r="AT10" i="4"/>
  <c r="AP10" i="4"/>
  <c r="AL10" i="4"/>
  <c r="AH10" i="4"/>
  <c r="AD10" i="4"/>
  <c r="Z10" i="4"/>
  <c r="V10" i="4"/>
  <c r="R10" i="4"/>
  <c r="N10" i="4"/>
  <c r="J10" i="4"/>
  <c r="F10" i="4"/>
  <c r="BV9" i="4"/>
  <c r="BT9" i="4"/>
  <c r="BR9" i="4"/>
  <c r="BN9" i="4"/>
  <c r="BJ9" i="4"/>
  <c r="BF9" i="4"/>
  <c r="BB9" i="4"/>
  <c r="AX9" i="4"/>
  <c r="AT9" i="4"/>
  <c r="AP9" i="4"/>
  <c r="AL9" i="4"/>
  <c r="AH9" i="4"/>
  <c r="AD9" i="4"/>
  <c r="Z9" i="4"/>
  <c r="V9" i="4"/>
  <c r="R9" i="4"/>
  <c r="N9" i="4"/>
  <c r="J9" i="4"/>
  <c r="F9" i="4"/>
  <c r="BV8" i="4"/>
  <c r="BT8" i="4"/>
  <c r="BR8" i="4"/>
  <c r="BN8" i="4"/>
  <c r="BJ8" i="4"/>
  <c r="BF8" i="4"/>
  <c r="BB8" i="4"/>
  <c r="AX8" i="4"/>
  <c r="AT8" i="4"/>
  <c r="AP8" i="4"/>
  <c r="AL8" i="4"/>
  <c r="AH8" i="4"/>
  <c r="AD8" i="4"/>
  <c r="Z8" i="4"/>
  <c r="V8" i="4"/>
  <c r="R8" i="4"/>
  <c r="N8" i="4"/>
  <c r="J8" i="4"/>
  <c r="F8" i="4"/>
  <c r="BV7" i="4"/>
  <c r="BT7" i="4"/>
  <c r="BX7" i="4" s="1"/>
  <c r="BR7" i="4"/>
  <c r="BN7" i="4"/>
  <c r="BJ7" i="4"/>
  <c r="BF7" i="4"/>
  <c r="BB7" i="4"/>
  <c r="AX7" i="4"/>
  <c r="AT7" i="4"/>
  <c r="AP7" i="4"/>
  <c r="AL7" i="4"/>
  <c r="AH7" i="4"/>
  <c r="AD7" i="4"/>
  <c r="Z7" i="4"/>
  <c r="V7" i="4"/>
  <c r="R7" i="4"/>
  <c r="N7" i="4"/>
  <c r="J7" i="4"/>
  <c r="F7" i="4"/>
  <c r="BV6" i="4"/>
  <c r="BT6" i="4"/>
  <c r="BR6" i="4"/>
  <c r="BN6" i="4"/>
  <c r="BJ6" i="4"/>
  <c r="BF6" i="4"/>
  <c r="BB6" i="4"/>
  <c r="AX6" i="4"/>
  <c r="AT6" i="4"/>
  <c r="AP6" i="4"/>
  <c r="AL6" i="4"/>
  <c r="AH6" i="4"/>
  <c r="AD6" i="4"/>
  <c r="Z6" i="4"/>
  <c r="V6" i="4"/>
  <c r="R6" i="4"/>
  <c r="N6" i="4"/>
  <c r="J6" i="4"/>
  <c r="F6" i="4"/>
  <c r="BV5" i="4"/>
  <c r="BT5" i="4"/>
  <c r="BR5" i="4"/>
  <c r="BN5" i="4"/>
  <c r="BJ5" i="4"/>
  <c r="BF5" i="4"/>
  <c r="BB5" i="4"/>
  <c r="AX5" i="4"/>
  <c r="AT5" i="4"/>
  <c r="AP5" i="4"/>
  <c r="AL5" i="4"/>
  <c r="AH5" i="4"/>
  <c r="AD5" i="4"/>
  <c r="Z5" i="4"/>
  <c r="V5" i="4"/>
  <c r="R5" i="4"/>
  <c r="N5" i="4"/>
  <c r="J5" i="4"/>
  <c r="F5" i="4"/>
  <c r="BV4" i="4"/>
  <c r="BT4" i="4"/>
  <c r="BX4" i="4" s="1"/>
  <c r="BR4" i="4"/>
  <c r="BN4" i="4"/>
  <c r="BJ4" i="4"/>
  <c r="BF4" i="4"/>
  <c r="BB4" i="4"/>
  <c r="AX4" i="4"/>
  <c r="AT4" i="4"/>
  <c r="AP4" i="4"/>
  <c r="AL4" i="4"/>
  <c r="AH4" i="4"/>
  <c r="AD4" i="4"/>
  <c r="Z4" i="4"/>
  <c r="V4" i="4"/>
  <c r="R4" i="4"/>
  <c r="N4" i="4"/>
  <c r="J4" i="4"/>
  <c r="F4" i="4"/>
  <c r="BV3" i="4"/>
  <c r="BT3" i="4"/>
  <c r="BR3" i="4"/>
  <c r="BU3" i="4" s="1"/>
  <c r="BN3" i="4"/>
  <c r="BJ3" i="4"/>
  <c r="BF3" i="4"/>
  <c r="BB3" i="4"/>
  <c r="AX3" i="4"/>
  <c r="AT3" i="4"/>
  <c r="AP3" i="4"/>
  <c r="AL3" i="4"/>
  <c r="AH3" i="4"/>
  <c r="AD3" i="4"/>
  <c r="Z3" i="4"/>
  <c r="V3" i="4"/>
  <c r="R3" i="4"/>
  <c r="N3" i="4"/>
  <c r="J3" i="4"/>
  <c r="F3" i="4"/>
  <c r="BV34" i="2"/>
  <c r="BT34" i="2"/>
  <c r="BR34" i="2"/>
  <c r="BN34" i="2"/>
  <c r="BJ34" i="2"/>
  <c r="BF34" i="2"/>
  <c r="BB34" i="2"/>
  <c r="AX34" i="2"/>
  <c r="AT34" i="2"/>
  <c r="AP34" i="2"/>
  <c r="AL34" i="2"/>
  <c r="AH34" i="2"/>
  <c r="Z34" i="2"/>
  <c r="V34" i="2"/>
  <c r="R34" i="2"/>
  <c r="N34" i="2"/>
  <c r="J34" i="2"/>
  <c r="F34" i="2"/>
  <c r="BV33" i="2"/>
  <c r="BT33" i="2"/>
  <c r="BR33" i="2"/>
  <c r="BN33" i="2"/>
  <c r="BJ33" i="2"/>
  <c r="BF33" i="2"/>
  <c r="BB33" i="2"/>
  <c r="AX33" i="2"/>
  <c r="AT33" i="2"/>
  <c r="AP33" i="2"/>
  <c r="AL33" i="2"/>
  <c r="AH33" i="2"/>
  <c r="Z33" i="2"/>
  <c r="V33" i="2"/>
  <c r="R33" i="2"/>
  <c r="N33" i="2"/>
  <c r="J33" i="2"/>
  <c r="F33" i="2"/>
  <c r="BV32" i="2"/>
  <c r="BT32" i="2"/>
  <c r="BX32" i="2" s="1"/>
  <c r="BR32" i="2"/>
  <c r="BN32" i="2"/>
  <c r="BJ32" i="2"/>
  <c r="BF32" i="2"/>
  <c r="BB32" i="2"/>
  <c r="AX32" i="2"/>
  <c r="AT32" i="2"/>
  <c r="AP32" i="2"/>
  <c r="AL32" i="2"/>
  <c r="AH32" i="2"/>
  <c r="Z32" i="2"/>
  <c r="V32" i="2"/>
  <c r="R32" i="2"/>
  <c r="N32" i="2"/>
  <c r="J32" i="2"/>
  <c r="F32" i="2"/>
  <c r="BV31" i="2"/>
  <c r="BT31" i="2"/>
  <c r="BR31" i="2"/>
  <c r="BN31" i="2"/>
  <c r="BJ31" i="2"/>
  <c r="BF31" i="2"/>
  <c r="BB31" i="2"/>
  <c r="AX31" i="2"/>
  <c r="AT31" i="2"/>
  <c r="AP31" i="2"/>
  <c r="AL31" i="2"/>
  <c r="AH31" i="2"/>
  <c r="Z31" i="2"/>
  <c r="V31" i="2"/>
  <c r="R31" i="2"/>
  <c r="N31" i="2"/>
  <c r="J31" i="2"/>
  <c r="F31" i="2"/>
  <c r="BV30" i="2"/>
  <c r="BT30" i="2"/>
  <c r="BR30" i="2"/>
  <c r="BN30" i="2"/>
  <c r="BJ30" i="2"/>
  <c r="BF30" i="2"/>
  <c r="BB30" i="2"/>
  <c r="AX30" i="2"/>
  <c r="AT30" i="2"/>
  <c r="AP30" i="2"/>
  <c r="AL30" i="2"/>
  <c r="AH30" i="2"/>
  <c r="Z30" i="2"/>
  <c r="V30" i="2"/>
  <c r="R30" i="2"/>
  <c r="N30" i="2"/>
  <c r="J30" i="2"/>
  <c r="F30" i="2"/>
  <c r="BV29" i="2"/>
  <c r="BT29" i="2"/>
  <c r="BX29" i="2" s="1"/>
  <c r="BR29" i="2"/>
  <c r="BN29" i="2"/>
  <c r="BJ29" i="2"/>
  <c r="BF29" i="2"/>
  <c r="BB29" i="2"/>
  <c r="AX29" i="2"/>
  <c r="AT29" i="2"/>
  <c r="AP29" i="2"/>
  <c r="AL29" i="2"/>
  <c r="AH29" i="2"/>
  <c r="AD29" i="2"/>
  <c r="Z29" i="2"/>
  <c r="V29" i="2"/>
  <c r="R29" i="2"/>
  <c r="N29" i="2"/>
  <c r="J29" i="2"/>
  <c r="F29" i="2"/>
  <c r="BV28" i="2"/>
  <c r="BT28" i="2"/>
  <c r="BR28" i="2"/>
  <c r="BN28" i="2"/>
  <c r="BJ28" i="2"/>
  <c r="BF28" i="2"/>
  <c r="BB28" i="2"/>
  <c r="AX28" i="2"/>
  <c r="AT28" i="2"/>
  <c r="AP28" i="2"/>
  <c r="AL28" i="2"/>
  <c r="AH28" i="2"/>
  <c r="AD28" i="2"/>
  <c r="Z28" i="2"/>
  <c r="V28" i="2"/>
  <c r="R28" i="2"/>
  <c r="N28" i="2"/>
  <c r="J28" i="2"/>
  <c r="F28" i="2"/>
  <c r="BV27" i="2"/>
  <c r="BT27" i="2"/>
  <c r="BR27" i="2"/>
  <c r="BN27" i="2"/>
  <c r="BJ27" i="2"/>
  <c r="BF27" i="2"/>
  <c r="BB27" i="2"/>
  <c r="AX27" i="2"/>
  <c r="AT27" i="2"/>
  <c r="AP27" i="2"/>
  <c r="AL27" i="2"/>
  <c r="AH27" i="2"/>
  <c r="AD27" i="2"/>
  <c r="Z27" i="2"/>
  <c r="V27" i="2"/>
  <c r="R27" i="2"/>
  <c r="N27" i="2"/>
  <c r="J27" i="2"/>
  <c r="F27" i="2"/>
  <c r="BV26" i="2"/>
  <c r="BT26" i="2"/>
  <c r="BX26" i="2" s="1"/>
  <c r="BR26" i="2"/>
  <c r="BN26" i="2"/>
  <c r="BJ26" i="2"/>
  <c r="BF26" i="2"/>
  <c r="BB26" i="2"/>
  <c r="AX26" i="2"/>
  <c r="AT26" i="2"/>
  <c r="AP26" i="2"/>
  <c r="AL26" i="2"/>
  <c r="AH26" i="2"/>
  <c r="AD26" i="2"/>
  <c r="Z26" i="2"/>
  <c r="V26" i="2"/>
  <c r="R26" i="2"/>
  <c r="N26" i="2"/>
  <c r="J26" i="2"/>
  <c r="F26" i="2"/>
  <c r="BV25" i="2"/>
  <c r="BT25" i="2"/>
  <c r="BX25" i="2" s="1"/>
  <c r="BR25" i="2"/>
  <c r="BN25" i="2"/>
  <c r="BJ25" i="2"/>
  <c r="BF25" i="2"/>
  <c r="BB25" i="2"/>
  <c r="AX25" i="2"/>
  <c r="AT25" i="2"/>
  <c r="AP25" i="2"/>
  <c r="AL25" i="2"/>
  <c r="AH25" i="2"/>
  <c r="AD25" i="2"/>
  <c r="Z25" i="2"/>
  <c r="V25" i="2"/>
  <c r="R25" i="2"/>
  <c r="N25" i="2"/>
  <c r="J25" i="2"/>
  <c r="F25" i="2"/>
  <c r="BV24" i="2"/>
  <c r="BT24" i="2"/>
  <c r="BR24" i="2"/>
  <c r="BN24" i="2"/>
  <c r="BJ24" i="2"/>
  <c r="BF24" i="2"/>
  <c r="BB24" i="2"/>
  <c r="AX24" i="2"/>
  <c r="AT24" i="2"/>
  <c r="AP24" i="2"/>
  <c r="AL24" i="2"/>
  <c r="AH24" i="2"/>
  <c r="AD24" i="2"/>
  <c r="Z24" i="2"/>
  <c r="V24" i="2"/>
  <c r="R24" i="2"/>
  <c r="N24" i="2"/>
  <c r="J24" i="2"/>
  <c r="F24" i="2"/>
  <c r="BV23" i="2"/>
  <c r="BT23" i="2"/>
  <c r="BX23" i="2" s="1"/>
  <c r="BR23" i="2"/>
  <c r="BN23" i="2"/>
  <c r="BJ23" i="2"/>
  <c r="BF23" i="2"/>
  <c r="BB23" i="2"/>
  <c r="AX23" i="2"/>
  <c r="AT23" i="2"/>
  <c r="AP23" i="2"/>
  <c r="AL23" i="2"/>
  <c r="AH23" i="2"/>
  <c r="AD23" i="2"/>
  <c r="Z23" i="2"/>
  <c r="V23" i="2"/>
  <c r="R23" i="2"/>
  <c r="N23" i="2"/>
  <c r="J23" i="2"/>
  <c r="F23" i="2"/>
  <c r="BV22" i="2"/>
  <c r="BT22" i="2"/>
  <c r="BR22" i="2"/>
  <c r="BN22" i="2"/>
  <c r="BJ22" i="2"/>
  <c r="BF22" i="2"/>
  <c r="BB22" i="2"/>
  <c r="AX22" i="2"/>
  <c r="AT22" i="2"/>
  <c r="AP22" i="2"/>
  <c r="AL22" i="2"/>
  <c r="AH22" i="2"/>
  <c r="AD22" i="2"/>
  <c r="Z22" i="2"/>
  <c r="V22" i="2"/>
  <c r="R22" i="2"/>
  <c r="N22" i="2"/>
  <c r="J22" i="2"/>
  <c r="F22" i="2"/>
  <c r="BV21" i="2"/>
  <c r="BT21" i="2"/>
  <c r="BR21" i="2"/>
  <c r="BN21" i="2"/>
  <c r="BJ21" i="2"/>
  <c r="BF21" i="2"/>
  <c r="BB21" i="2"/>
  <c r="AX21" i="2"/>
  <c r="AT21" i="2"/>
  <c r="AP21" i="2"/>
  <c r="AL21" i="2"/>
  <c r="AH21" i="2"/>
  <c r="AD21" i="2"/>
  <c r="Z21" i="2"/>
  <c r="V21" i="2"/>
  <c r="R21" i="2"/>
  <c r="N21" i="2"/>
  <c r="J21" i="2"/>
  <c r="F21" i="2"/>
  <c r="BV20" i="2"/>
  <c r="BT20" i="2"/>
  <c r="BR20" i="2"/>
  <c r="BN20" i="2"/>
  <c r="BJ20" i="2"/>
  <c r="BF20" i="2"/>
  <c r="BB20" i="2"/>
  <c r="AX20" i="2"/>
  <c r="AT20" i="2"/>
  <c r="AP20" i="2"/>
  <c r="AL20" i="2"/>
  <c r="AH20" i="2"/>
  <c r="AD20" i="2"/>
  <c r="Z20" i="2"/>
  <c r="V20" i="2"/>
  <c r="R20" i="2"/>
  <c r="N20" i="2"/>
  <c r="J20" i="2"/>
  <c r="F20" i="2"/>
  <c r="BV19" i="2"/>
  <c r="BT19" i="2"/>
  <c r="BR19" i="2"/>
  <c r="BN19" i="2"/>
  <c r="BJ19" i="2"/>
  <c r="BF19" i="2"/>
  <c r="BB19" i="2"/>
  <c r="AX19" i="2"/>
  <c r="AT19" i="2"/>
  <c r="AP19" i="2"/>
  <c r="AL19" i="2"/>
  <c r="AH19" i="2"/>
  <c r="AD19" i="2"/>
  <c r="Z19" i="2"/>
  <c r="V19" i="2"/>
  <c r="R19" i="2"/>
  <c r="N19" i="2"/>
  <c r="J19" i="2"/>
  <c r="F19" i="2"/>
  <c r="BV18" i="2"/>
  <c r="BT18" i="2"/>
  <c r="BX18" i="2" s="1"/>
  <c r="BR18" i="2"/>
  <c r="BN18" i="2"/>
  <c r="BJ18" i="2"/>
  <c r="BF18" i="2"/>
  <c r="BB18" i="2"/>
  <c r="AX18" i="2"/>
  <c r="AT18" i="2"/>
  <c r="AP18" i="2"/>
  <c r="AL18" i="2"/>
  <c r="AH18" i="2"/>
  <c r="AD18" i="2"/>
  <c r="Z18" i="2"/>
  <c r="V18" i="2"/>
  <c r="R18" i="2"/>
  <c r="N18" i="2"/>
  <c r="J18" i="2"/>
  <c r="F18" i="2"/>
  <c r="BV17" i="2"/>
  <c r="BT17" i="2"/>
  <c r="BR17" i="2"/>
  <c r="BN17" i="2"/>
  <c r="BJ17" i="2"/>
  <c r="BF17" i="2"/>
  <c r="BB17" i="2"/>
  <c r="AX17" i="2"/>
  <c r="AT17" i="2"/>
  <c r="AP17" i="2"/>
  <c r="AL17" i="2"/>
  <c r="AH17" i="2"/>
  <c r="AD17" i="2"/>
  <c r="Z17" i="2"/>
  <c r="V17" i="2"/>
  <c r="R17" i="2"/>
  <c r="N17" i="2"/>
  <c r="J17" i="2"/>
  <c r="F17" i="2"/>
  <c r="BV16" i="2"/>
  <c r="BT16" i="2"/>
  <c r="BX16" i="2" s="1"/>
  <c r="BR16" i="2"/>
  <c r="BN16" i="2"/>
  <c r="BJ16" i="2"/>
  <c r="BF16" i="2"/>
  <c r="BB16" i="2"/>
  <c r="AX16" i="2"/>
  <c r="AT16" i="2"/>
  <c r="AP16" i="2"/>
  <c r="AL16" i="2"/>
  <c r="AH16" i="2"/>
  <c r="AD16" i="2"/>
  <c r="V16" i="2"/>
  <c r="R16" i="2"/>
  <c r="N16" i="2"/>
  <c r="J16" i="2"/>
  <c r="F16" i="2"/>
  <c r="BV15" i="2"/>
  <c r="BT15" i="2"/>
  <c r="BX15" i="2" s="1"/>
  <c r="BR15" i="2"/>
  <c r="BN15" i="2"/>
  <c r="BJ15" i="2"/>
  <c r="BF15" i="2"/>
  <c r="BB15" i="2"/>
  <c r="AX15" i="2"/>
  <c r="AT15" i="2"/>
  <c r="AP15" i="2"/>
  <c r="AL15" i="2"/>
  <c r="AH15" i="2"/>
  <c r="AD15" i="2"/>
  <c r="Z15" i="2"/>
  <c r="V15" i="2"/>
  <c r="R15" i="2"/>
  <c r="N15" i="2"/>
  <c r="J15" i="2"/>
  <c r="F15" i="2"/>
  <c r="BV14" i="2"/>
  <c r="BT14" i="2"/>
  <c r="BR14" i="2"/>
  <c r="BN14" i="2"/>
  <c r="BJ14" i="2"/>
  <c r="BF14" i="2"/>
  <c r="BB14" i="2"/>
  <c r="AX14" i="2"/>
  <c r="AT14" i="2"/>
  <c r="AP14" i="2"/>
  <c r="AL14" i="2"/>
  <c r="AH14" i="2"/>
  <c r="AD14" i="2"/>
  <c r="Z14" i="2"/>
  <c r="R14" i="2"/>
  <c r="F14" i="2"/>
  <c r="BV13" i="2"/>
  <c r="BT13" i="2"/>
  <c r="BR13" i="2"/>
  <c r="BN13" i="2"/>
  <c r="BJ13" i="2"/>
  <c r="BF13" i="2"/>
  <c r="BB13" i="2"/>
  <c r="AX13" i="2"/>
  <c r="AT13" i="2"/>
  <c r="AP13" i="2"/>
  <c r="AL13" i="2"/>
  <c r="AH13" i="2"/>
  <c r="AD13" i="2"/>
  <c r="Z13" i="2"/>
  <c r="V13" i="2"/>
  <c r="R13" i="2"/>
  <c r="N13" i="2"/>
  <c r="J13" i="2"/>
  <c r="F13" i="2"/>
  <c r="BV12" i="2"/>
  <c r="BT12" i="2"/>
  <c r="BX12" i="2" s="1"/>
  <c r="BR12" i="2"/>
  <c r="BN12" i="2"/>
  <c r="BJ12" i="2"/>
  <c r="BF12" i="2"/>
  <c r="BB12" i="2"/>
  <c r="AX12" i="2"/>
  <c r="AT12" i="2"/>
  <c r="AP12" i="2"/>
  <c r="AL12" i="2"/>
  <c r="AH12" i="2"/>
  <c r="AD12" i="2"/>
  <c r="Z12" i="2"/>
  <c r="V12" i="2"/>
  <c r="R12" i="2"/>
  <c r="N12" i="2"/>
  <c r="J12" i="2"/>
  <c r="F12" i="2"/>
  <c r="BV11" i="2"/>
  <c r="BT11" i="2"/>
  <c r="BR11" i="2"/>
  <c r="BN11" i="2"/>
  <c r="BJ11" i="2"/>
  <c r="BF11" i="2"/>
  <c r="BB11" i="2"/>
  <c r="AX11" i="2"/>
  <c r="AT11" i="2"/>
  <c r="AP11" i="2"/>
  <c r="AL11" i="2"/>
  <c r="AH11" i="2"/>
  <c r="AD11" i="2"/>
  <c r="Z11" i="2"/>
  <c r="V11" i="2"/>
  <c r="R11" i="2"/>
  <c r="N11" i="2"/>
  <c r="J11" i="2"/>
  <c r="F11" i="2"/>
  <c r="BV10" i="2"/>
  <c r="BT10" i="2"/>
  <c r="BX10" i="2" s="1"/>
  <c r="BR10" i="2"/>
  <c r="BN10" i="2"/>
  <c r="BJ10" i="2"/>
  <c r="BF10" i="2"/>
  <c r="BB10" i="2"/>
  <c r="AX10" i="2"/>
  <c r="AT10" i="2"/>
  <c r="AP10" i="2"/>
  <c r="AL10" i="2"/>
  <c r="AH10" i="2"/>
  <c r="AD10" i="2"/>
  <c r="Z10" i="2"/>
  <c r="V10" i="2"/>
  <c r="R10" i="2"/>
  <c r="N10" i="2"/>
  <c r="J10" i="2"/>
  <c r="F10" i="2"/>
  <c r="BV9" i="2"/>
  <c r="BT9" i="2"/>
  <c r="BR9" i="2"/>
  <c r="BN9" i="2"/>
  <c r="BJ9" i="2"/>
  <c r="BF9" i="2"/>
  <c r="BB9" i="2"/>
  <c r="AX9" i="2"/>
  <c r="AT9" i="2"/>
  <c r="AP9" i="2"/>
  <c r="AL9" i="2"/>
  <c r="AH9" i="2"/>
  <c r="AD9" i="2"/>
  <c r="Z9" i="2"/>
  <c r="V9" i="2"/>
  <c r="R9" i="2"/>
  <c r="N9" i="2"/>
  <c r="J9" i="2"/>
  <c r="F9" i="2"/>
  <c r="BV8" i="2"/>
  <c r="BT8" i="2"/>
  <c r="BX8" i="2" s="1"/>
  <c r="BR8" i="2"/>
  <c r="BN8" i="2"/>
  <c r="BJ8" i="2"/>
  <c r="BF8" i="2"/>
  <c r="BB8" i="2"/>
  <c r="AX8" i="2"/>
  <c r="AT8" i="2"/>
  <c r="AP8" i="2"/>
  <c r="AL8" i="2"/>
  <c r="AH8" i="2"/>
  <c r="AD8" i="2"/>
  <c r="Z8" i="2"/>
  <c r="V8" i="2"/>
  <c r="R8" i="2"/>
  <c r="N8" i="2"/>
  <c r="J8" i="2"/>
  <c r="F8" i="2"/>
  <c r="BV7" i="2"/>
  <c r="BT7" i="2"/>
  <c r="BR7" i="2"/>
  <c r="BN7" i="2"/>
  <c r="BJ7" i="2"/>
  <c r="BF7" i="2"/>
  <c r="BB7" i="2"/>
  <c r="AX7" i="2"/>
  <c r="AT7" i="2"/>
  <c r="AP7" i="2"/>
  <c r="AL7" i="2"/>
  <c r="AH7" i="2"/>
  <c r="AD7" i="2"/>
  <c r="Z7" i="2"/>
  <c r="V7" i="2"/>
  <c r="R7" i="2"/>
  <c r="N7" i="2"/>
  <c r="J7" i="2"/>
  <c r="F7" i="2"/>
  <c r="BV6" i="2"/>
  <c r="BT6" i="2"/>
  <c r="BR6" i="2"/>
  <c r="BN6" i="2"/>
  <c r="BJ6" i="2"/>
  <c r="BF6" i="2"/>
  <c r="BB6" i="2"/>
  <c r="AX6" i="2"/>
  <c r="AT6" i="2"/>
  <c r="AP6" i="2"/>
  <c r="AL6" i="2"/>
  <c r="AH6" i="2"/>
  <c r="AD6" i="2"/>
  <c r="Z6" i="2"/>
  <c r="V6" i="2"/>
  <c r="R6" i="2"/>
  <c r="N6" i="2"/>
  <c r="J6" i="2"/>
  <c r="F6" i="2"/>
  <c r="BV5" i="2"/>
  <c r="BT5" i="2"/>
  <c r="BX5" i="2" s="1"/>
  <c r="BR5" i="2"/>
  <c r="BN5" i="2"/>
  <c r="BJ5" i="2"/>
  <c r="BF5" i="2"/>
  <c r="BB5" i="2"/>
  <c r="AX5" i="2"/>
  <c r="AT5" i="2"/>
  <c r="AP5" i="2"/>
  <c r="AL5" i="2"/>
  <c r="AH5" i="2"/>
  <c r="AD5" i="2"/>
  <c r="Z5" i="2"/>
  <c r="V5" i="2"/>
  <c r="R5" i="2"/>
  <c r="N5" i="2"/>
  <c r="J5" i="2"/>
  <c r="F5" i="2"/>
  <c r="BV4" i="2"/>
  <c r="BT4" i="2"/>
  <c r="BR4" i="2"/>
  <c r="BN4" i="2"/>
  <c r="BJ4" i="2"/>
  <c r="BF4" i="2"/>
  <c r="BB4" i="2"/>
  <c r="AX4" i="2"/>
  <c r="AT4" i="2"/>
  <c r="AP4" i="2"/>
  <c r="AL4" i="2"/>
  <c r="AH4" i="2"/>
  <c r="AD4" i="2"/>
  <c r="Z4" i="2"/>
  <c r="V4" i="2"/>
  <c r="R4" i="2"/>
  <c r="N4" i="2"/>
  <c r="J4" i="2"/>
  <c r="F4" i="2"/>
  <c r="BV3" i="2"/>
  <c r="BT3" i="2"/>
  <c r="BR3" i="2"/>
  <c r="BN3" i="2"/>
  <c r="BJ3" i="2"/>
  <c r="BF3" i="2"/>
  <c r="BB3" i="2"/>
  <c r="AX3" i="2"/>
  <c r="AT3" i="2"/>
  <c r="AP3" i="2"/>
  <c r="AL3" i="2"/>
  <c r="AH3" i="2"/>
  <c r="AD3" i="2"/>
  <c r="Z3" i="2"/>
  <c r="V3" i="2"/>
  <c r="R3" i="2"/>
  <c r="N3" i="2"/>
  <c r="J3" i="2"/>
  <c r="F3" i="2"/>
  <c r="AH33" i="1"/>
  <c r="BR31" i="1"/>
  <c r="BR32" i="1"/>
  <c r="BR33" i="1"/>
  <c r="BR34" i="1"/>
  <c r="BN31" i="1"/>
  <c r="BN32" i="1"/>
  <c r="BN33" i="1"/>
  <c r="BN34" i="1"/>
  <c r="BJ31" i="1"/>
  <c r="BJ32" i="1"/>
  <c r="BJ33" i="1"/>
  <c r="BJ34" i="1"/>
  <c r="BF31" i="1"/>
  <c r="BF32" i="1"/>
  <c r="BF33" i="1"/>
  <c r="BF34" i="1"/>
  <c r="BB31" i="1"/>
  <c r="BB32" i="1"/>
  <c r="BB33" i="1"/>
  <c r="BB34" i="1"/>
  <c r="AX31" i="1"/>
  <c r="AX32" i="1"/>
  <c r="AX33" i="1"/>
  <c r="AX34" i="1"/>
  <c r="AT31" i="1"/>
  <c r="AT32" i="1"/>
  <c r="AT33" i="1"/>
  <c r="AT34" i="1"/>
  <c r="AP31" i="1"/>
  <c r="AP32" i="1"/>
  <c r="AP33" i="1"/>
  <c r="AP34" i="1"/>
  <c r="AL31" i="1"/>
  <c r="AL32" i="1"/>
  <c r="AL33" i="1"/>
  <c r="AL34" i="1"/>
  <c r="AH31" i="1"/>
  <c r="AH32" i="1"/>
  <c r="AH34" i="1"/>
  <c r="Z31" i="1"/>
  <c r="Z32" i="1"/>
  <c r="Z33" i="1"/>
  <c r="Z34" i="1"/>
  <c r="V31" i="1"/>
  <c r="V32" i="1"/>
  <c r="V33" i="1"/>
  <c r="V34" i="1"/>
  <c r="R31" i="1"/>
  <c r="R32" i="1"/>
  <c r="R33" i="1"/>
  <c r="R34" i="1"/>
  <c r="N31" i="1"/>
  <c r="N32" i="1"/>
  <c r="N33" i="1"/>
  <c r="N34" i="1"/>
  <c r="J31" i="1"/>
  <c r="J32" i="1"/>
  <c r="J33" i="1"/>
  <c r="J34" i="1"/>
  <c r="F31" i="1"/>
  <c r="F32" i="1"/>
  <c r="F33" i="1"/>
  <c r="F34" i="1"/>
  <c r="J24" i="1"/>
  <c r="R12" i="1"/>
  <c r="BT4" i="1"/>
  <c r="BV4" i="1"/>
  <c r="BT5" i="1"/>
  <c r="BV5" i="1"/>
  <c r="BT6" i="1"/>
  <c r="BV6" i="1"/>
  <c r="BT7" i="1"/>
  <c r="BV7" i="1"/>
  <c r="BT8" i="1"/>
  <c r="BV8" i="1"/>
  <c r="BT9" i="1"/>
  <c r="BV9" i="1"/>
  <c r="BX9" i="1"/>
  <c r="BT10" i="1"/>
  <c r="BV10" i="1"/>
  <c r="BT11" i="1"/>
  <c r="BX11" i="1" s="1"/>
  <c r="BV11" i="1"/>
  <c r="BT12" i="1"/>
  <c r="BV12" i="1"/>
  <c r="BT13" i="1"/>
  <c r="BV13" i="1"/>
  <c r="BT14" i="1"/>
  <c r="BV14" i="1"/>
  <c r="BT15" i="1"/>
  <c r="BV15" i="1"/>
  <c r="BT16" i="1"/>
  <c r="BV16" i="1"/>
  <c r="BT17" i="1"/>
  <c r="BV17" i="1"/>
  <c r="BT18" i="1"/>
  <c r="BV18" i="1"/>
  <c r="BX18" i="1"/>
  <c r="BT19" i="1"/>
  <c r="BV19" i="1"/>
  <c r="BT20" i="1"/>
  <c r="BV20" i="1"/>
  <c r="BT21" i="1"/>
  <c r="BV21" i="1"/>
  <c r="BT22" i="1"/>
  <c r="BV22" i="1"/>
  <c r="BT23" i="1"/>
  <c r="BV23" i="1"/>
  <c r="BX23" i="1" s="1"/>
  <c r="BT24" i="1"/>
  <c r="BV24" i="1"/>
  <c r="BT25" i="1"/>
  <c r="BV25" i="1"/>
  <c r="BT26" i="1"/>
  <c r="BV26" i="1"/>
  <c r="BT27" i="1"/>
  <c r="BV27" i="1"/>
  <c r="BT28" i="1"/>
  <c r="BV28" i="1"/>
  <c r="BX28" i="1" s="1"/>
  <c r="BT29" i="1"/>
  <c r="BV29" i="1"/>
  <c r="BX29" i="1" s="1"/>
  <c r="BT30" i="1"/>
  <c r="BV30" i="1"/>
  <c r="BT31" i="1"/>
  <c r="BV31" i="1"/>
  <c r="BX31" i="1" s="1"/>
  <c r="BT32" i="1"/>
  <c r="BV32" i="1"/>
  <c r="BT33" i="1"/>
  <c r="BV33" i="1"/>
  <c r="BT34" i="1"/>
  <c r="BV34" i="1"/>
  <c r="BR30" i="1"/>
  <c r="BN30" i="1"/>
  <c r="BJ30" i="1"/>
  <c r="BF30" i="1"/>
  <c r="BB30" i="1"/>
  <c r="AX30" i="1"/>
  <c r="AT30" i="1"/>
  <c r="AP30" i="1"/>
  <c r="AL30" i="1"/>
  <c r="AH30" i="1"/>
  <c r="Z30" i="1"/>
  <c r="V30" i="1"/>
  <c r="R30" i="1"/>
  <c r="N30" i="1"/>
  <c r="J30" i="1"/>
  <c r="F30" i="1"/>
  <c r="BR29" i="1"/>
  <c r="BN29" i="1"/>
  <c r="BJ29" i="1"/>
  <c r="BF29" i="1"/>
  <c r="BB29" i="1"/>
  <c r="AX29" i="1"/>
  <c r="AT29" i="1"/>
  <c r="AP29" i="1"/>
  <c r="AL29" i="1"/>
  <c r="AH29" i="1"/>
  <c r="AD29" i="1"/>
  <c r="Z29" i="1"/>
  <c r="V29" i="1"/>
  <c r="R29" i="1"/>
  <c r="N29" i="1"/>
  <c r="J29" i="1"/>
  <c r="F29" i="1"/>
  <c r="BR28" i="1"/>
  <c r="BN28" i="1"/>
  <c r="BJ28" i="1"/>
  <c r="BF28" i="1"/>
  <c r="BB28" i="1"/>
  <c r="AX28" i="1"/>
  <c r="AT28" i="1"/>
  <c r="AP28" i="1"/>
  <c r="AL28" i="1"/>
  <c r="AH28" i="1"/>
  <c r="AD28" i="1"/>
  <c r="Z28" i="1"/>
  <c r="V28" i="1"/>
  <c r="R28" i="1"/>
  <c r="N28" i="1"/>
  <c r="J28" i="1"/>
  <c r="F28" i="1"/>
  <c r="BR27" i="1"/>
  <c r="BN27" i="1"/>
  <c r="BJ27" i="1"/>
  <c r="BF27" i="1"/>
  <c r="BB27" i="1"/>
  <c r="AX27" i="1"/>
  <c r="AT27" i="1"/>
  <c r="AP27" i="1"/>
  <c r="AL27" i="1"/>
  <c r="AH27" i="1"/>
  <c r="AD27" i="1"/>
  <c r="Z27" i="1"/>
  <c r="V27" i="1"/>
  <c r="R27" i="1"/>
  <c r="N27" i="1"/>
  <c r="J27" i="1"/>
  <c r="F27" i="1"/>
  <c r="BR26" i="1"/>
  <c r="BN26" i="1"/>
  <c r="BJ26" i="1"/>
  <c r="BF26" i="1"/>
  <c r="BB26" i="1"/>
  <c r="AX26" i="1"/>
  <c r="AT26" i="1"/>
  <c r="AP26" i="1"/>
  <c r="AL26" i="1"/>
  <c r="AH26" i="1"/>
  <c r="AD26" i="1"/>
  <c r="Z26" i="1"/>
  <c r="V26" i="1"/>
  <c r="R26" i="1"/>
  <c r="N26" i="1"/>
  <c r="J26" i="1"/>
  <c r="F26" i="1"/>
  <c r="BR25" i="1"/>
  <c r="BN25" i="1"/>
  <c r="BJ25" i="1"/>
  <c r="BF25" i="1"/>
  <c r="BB25" i="1"/>
  <c r="AX25" i="1"/>
  <c r="AT25" i="1"/>
  <c r="AP25" i="1"/>
  <c r="AL25" i="1"/>
  <c r="AH25" i="1"/>
  <c r="AD25" i="1"/>
  <c r="Z25" i="1"/>
  <c r="V25" i="1"/>
  <c r="R25" i="1"/>
  <c r="N25" i="1"/>
  <c r="J25" i="1"/>
  <c r="F25" i="1"/>
  <c r="BR24" i="1"/>
  <c r="BN24" i="1"/>
  <c r="BJ24" i="1"/>
  <c r="BF24" i="1"/>
  <c r="BB24" i="1"/>
  <c r="AX24" i="1"/>
  <c r="AT24" i="1"/>
  <c r="AP24" i="1"/>
  <c r="AL24" i="1"/>
  <c r="AH24" i="1"/>
  <c r="AD24" i="1"/>
  <c r="Z24" i="1"/>
  <c r="V24" i="1"/>
  <c r="R24" i="1"/>
  <c r="N24" i="1"/>
  <c r="F24" i="1"/>
  <c r="BR23" i="1"/>
  <c r="BN23" i="1"/>
  <c r="BJ23" i="1"/>
  <c r="BF23" i="1"/>
  <c r="BB23" i="1"/>
  <c r="AX23" i="1"/>
  <c r="AT23" i="1"/>
  <c r="AP23" i="1"/>
  <c r="AL23" i="1"/>
  <c r="AH23" i="1"/>
  <c r="AD23" i="1"/>
  <c r="Z23" i="1"/>
  <c r="V23" i="1"/>
  <c r="R23" i="1"/>
  <c r="N23" i="1"/>
  <c r="J23" i="1"/>
  <c r="F23" i="1"/>
  <c r="BR22" i="1"/>
  <c r="BN22" i="1"/>
  <c r="BJ22" i="1"/>
  <c r="BF22" i="1"/>
  <c r="BB22" i="1"/>
  <c r="AX22" i="1"/>
  <c r="AT22" i="1"/>
  <c r="AP22" i="1"/>
  <c r="AL22" i="1"/>
  <c r="AH22" i="1"/>
  <c r="AD22" i="1"/>
  <c r="Z22" i="1"/>
  <c r="V22" i="1"/>
  <c r="R22" i="1"/>
  <c r="N22" i="1"/>
  <c r="J22" i="1"/>
  <c r="F22" i="1"/>
  <c r="BR21" i="1"/>
  <c r="BN21" i="1"/>
  <c r="BJ21" i="1"/>
  <c r="BF21" i="1"/>
  <c r="BB21" i="1"/>
  <c r="AX21" i="1"/>
  <c r="AT21" i="1"/>
  <c r="AP21" i="1"/>
  <c r="AL21" i="1"/>
  <c r="AH21" i="1"/>
  <c r="AD21" i="1"/>
  <c r="Z21" i="1"/>
  <c r="V21" i="1"/>
  <c r="R21" i="1"/>
  <c r="N21" i="1"/>
  <c r="J21" i="1"/>
  <c r="F21" i="1"/>
  <c r="BR20" i="1"/>
  <c r="BN20" i="1"/>
  <c r="BJ20" i="1"/>
  <c r="BF20" i="1"/>
  <c r="BB20" i="1"/>
  <c r="AX20" i="1"/>
  <c r="AT20" i="1"/>
  <c r="AP20" i="1"/>
  <c r="AL20" i="1"/>
  <c r="AH20" i="1"/>
  <c r="AD20" i="1"/>
  <c r="Z20" i="1"/>
  <c r="V20" i="1"/>
  <c r="R20" i="1"/>
  <c r="N20" i="1"/>
  <c r="J20" i="1"/>
  <c r="F20" i="1"/>
  <c r="BR19" i="1"/>
  <c r="BN19" i="1"/>
  <c r="BJ19" i="1"/>
  <c r="BF19" i="1"/>
  <c r="BB19" i="1"/>
  <c r="AX19" i="1"/>
  <c r="AT19" i="1"/>
  <c r="AP19" i="1"/>
  <c r="AL19" i="1"/>
  <c r="AH19" i="1"/>
  <c r="AD19" i="1"/>
  <c r="Z19" i="1"/>
  <c r="V19" i="1"/>
  <c r="R19" i="1"/>
  <c r="N19" i="1"/>
  <c r="J19" i="1"/>
  <c r="F19" i="1"/>
  <c r="BR18" i="1"/>
  <c r="BN18" i="1"/>
  <c r="BJ18" i="1"/>
  <c r="BF18" i="1"/>
  <c r="BB18" i="1"/>
  <c r="AX18" i="1"/>
  <c r="AT18" i="1"/>
  <c r="AP18" i="1"/>
  <c r="AL18" i="1"/>
  <c r="AH18" i="1"/>
  <c r="AD18" i="1"/>
  <c r="Z18" i="1"/>
  <c r="V18" i="1"/>
  <c r="R18" i="1"/>
  <c r="N18" i="1"/>
  <c r="J18" i="1"/>
  <c r="F18" i="1"/>
  <c r="BR17" i="1"/>
  <c r="BN17" i="1"/>
  <c r="BJ17" i="1"/>
  <c r="BF17" i="1"/>
  <c r="BB17" i="1"/>
  <c r="AX17" i="1"/>
  <c r="AT17" i="1"/>
  <c r="AP17" i="1"/>
  <c r="AL17" i="1"/>
  <c r="AH17" i="1"/>
  <c r="AD17" i="1"/>
  <c r="Z17" i="1"/>
  <c r="V17" i="1"/>
  <c r="R17" i="1"/>
  <c r="N17" i="1"/>
  <c r="J17" i="1"/>
  <c r="F17" i="1"/>
  <c r="BR16" i="1"/>
  <c r="BN16" i="1"/>
  <c r="BJ16" i="1"/>
  <c r="BF16" i="1"/>
  <c r="BB16" i="1"/>
  <c r="AX16" i="1"/>
  <c r="AT16" i="1"/>
  <c r="AP16" i="1"/>
  <c r="AL16" i="1"/>
  <c r="AH16" i="1"/>
  <c r="AD16" i="1"/>
  <c r="V16" i="1"/>
  <c r="R16" i="1"/>
  <c r="N16" i="1"/>
  <c r="J16" i="1"/>
  <c r="F16" i="1"/>
  <c r="BR15" i="1"/>
  <c r="BN15" i="1"/>
  <c r="BJ15" i="1"/>
  <c r="BF15" i="1"/>
  <c r="BB15" i="1"/>
  <c r="AX15" i="1"/>
  <c r="AT15" i="1"/>
  <c r="AP15" i="1"/>
  <c r="AL15" i="1"/>
  <c r="AH15" i="1"/>
  <c r="AD15" i="1"/>
  <c r="Z15" i="1"/>
  <c r="V15" i="1"/>
  <c r="R15" i="1"/>
  <c r="N15" i="1"/>
  <c r="J15" i="1"/>
  <c r="F15" i="1"/>
  <c r="BR14" i="1"/>
  <c r="BN14" i="1"/>
  <c r="BJ14" i="1"/>
  <c r="BF14" i="1"/>
  <c r="BB14" i="1"/>
  <c r="AX14" i="1"/>
  <c r="AT14" i="1"/>
  <c r="AP14" i="1"/>
  <c r="AL14" i="1"/>
  <c r="AH14" i="1"/>
  <c r="AD14" i="1"/>
  <c r="Z14" i="1"/>
  <c r="R14" i="1"/>
  <c r="F14" i="1"/>
  <c r="BR13" i="1"/>
  <c r="BN13" i="1"/>
  <c r="BJ13" i="1"/>
  <c r="BF13" i="1"/>
  <c r="BB13" i="1"/>
  <c r="AX13" i="1"/>
  <c r="AT13" i="1"/>
  <c r="AP13" i="1"/>
  <c r="AL13" i="1"/>
  <c r="AH13" i="1"/>
  <c r="AD13" i="1"/>
  <c r="Z13" i="1"/>
  <c r="V13" i="1"/>
  <c r="R13" i="1"/>
  <c r="N13" i="1"/>
  <c r="J13" i="1"/>
  <c r="F13" i="1"/>
  <c r="BR12" i="1"/>
  <c r="BN12" i="1"/>
  <c r="BJ12" i="1"/>
  <c r="BF12" i="1"/>
  <c r="BB12" i="1"/>
  <c r="AX12" i="1"/>
  <c r="AT12" i="1"/>
  <c r="AP12" i="1"/>
  <c r="AL12" i="1"/>
  <c r="AH12" i="1"/>
  <c r="AD12" i="1"/>
  <c r="Z12" i="1"/>
  <c r="V12" i="1"/>
  <c r="N12" i="1"/>
  <c r="J12" i="1"/>
  <c r="F12" i="1"/>
  <c r="BR11" i="1"/>
  <c r="BN11" i="1"/>
  <c r="BJ11" i="1"/>
  <c r="BF11" i="1"/>
  <c r="BB11" i="1"/>
  <c r="AX11" i="1"/>
  <c r="AT11" i="1"/>
  <c r="AP11" i="1"/>
  <c r="AL11" i="1"/>
  <c r="AH11" i="1"/>
  <c r="AD11" i="1"/>
  <c r="Z11" i="1"/>
  <c r="V11" i="1"/>
  <c r="R11" i="1"/>
  <c r="N11" i="1"/>
  <c r="J11" i="1"/>
  <c r="F11" i="1"/>
  <c r="BR10" i="1"/>
  <c r="BN10" i="1"/>
  <c r="BJ10" i="1"/>
  <c r="BF10" i="1"/>
  <c r="BB10" i="1"/>
  <c r="AX10" i="1"/>
  <c r="AT10" i="1"/>
  <c r="AP10" i="1"/>
  <c r="AL10" i="1"/>
  <c r="AH10" i="1"/>
  <c r="AD10" i="1"/>
  <c r="Z10" i="1"/>
  <c r="V10" i="1"/>
  <c r="R10" i="1"/>
  <c r="N10" i="1"/>
  <c r="J10" i="1"/>
  <c r="F10" i="1"/>
  <c r="BR9" i="1"/>
  <c r="BN9" i="1"/>
  <c r="BJ9" i="1"/>
  <c r="BF9" i="1"/>
  <c r="BB9" i="1"/>
  <c r="AX9" i="1"/>
  <c r="AT9" i="1"/>
  <c r="AP9" i="1"/>
  <c r="AL9" i="1"/>
  <c r="AH9" i="1"/>
  <c r="AD9" i="1"/>
  <c r="Z9" i="1"/>
  <c r="V9" i="1"/>
  <c r="R9" i="1"/>
  <c r="N9" i="1"/>
  <c r="J9" i="1"/>
  <c r="F9" i="1"/>
  <c r="BR8" i="1"/>
  <c r="BN8" i="1"/>
  <c r="BJ8" i="1"/>
  <c r="BF8" i="1"/>
  <c r="BB8" i="1"/>
  <c r="AX8" i="1"/>
  <c r="AT8" i="1"/>
  <c r="AP8" i="1"/>
  <c r="AL8" i="1"/>
  <c r="AH8" i="1"/>
  <c r="AD8" i="1"/>
  <c r="Z8" i="1"/>
  <c r="V8" i="1"/>
  <c r="R8" i="1"/>
  <c r="N8" i="1"/>
  <c r="J8" i="1"/>
  <c r="F8" i="1"/>
  <c r="BR7" i="1"/>
  <c r="BN7" i="1"/>
  <c r="BJ7" i="1"/>
  <c r="BF7" i="1"/>
  <c r="BB7" i="1"/>
  <c r="AX7" i="1"/>
  <c r="AT7" i="1"/>
  <c r="AP7" i="1"/>
  <c r="AL7" i="1"/>
  <c r="AH7" i="1"/>
  <c r="AD7" i="1"/>
  <c r="Z7" i="1"/>
  <c r="V7" i="1"/>
  <c r="R7" i="1"/>
  <c r="N7" i="1"/>
  <c r="J7" i="1"/>
  <c r="F7" i="1"/>
  <c r="BR6" i="1"/>
  <c r="BN6" i="1"/>
  <c r="BJ6" i="1"/>
  <c r="BF6" i="1"/>
  <c r="BB6" i="1"/>
  <c r="AX6" i="1"/>
  <c r="AT6" i="1"/>
  <c r="AP6" i="1"/>
  <c r="AL6" i="1"/>
  <c r="AH6" i="1"/>
  <c r="AD6" i="1"/>
  <c r="Z6" i="1"/>
  <c r="V6" i="1"/>
  <c r="R6" i="1"/>
  <c r="N6" i="1"/>
  <c r="J6" i="1"/>
  <c r="F6" i="1"/>
  <c r="BR5" i="1"/>
  <c r="BN5" i="1"/>
  <c r="BJ5" i="1"/>
  <c r="BF5" i="1"/>
  <c r="BB5" i="1"/>
  <c r="AX5" i="1"/>
  <c r="AT5" i="1"/>
  <c r="AP5" i="1"/>
  <c r="AL5" i="1"/>
  <c r="AH5" i="1"/>
  <c r="AD5" i="1"/>
  <c r="Z5" i="1"/>
  <c r="V5" i="1"/>
  <c r="R5" i="1"/>
  <c r="N5" i="1"/>
  <c r="J5" i="1"/>
  <c r="F5" i="1"/>
  <c r="BR4" i="1"/>
  <c r="BN4" i="1"/>
  <c r="BJ4" i="1"/>
  <c r="BF4" i="1"/>
  <c r="BB4" i="1"/>
  <c r="AX4" i="1"/>
  <c r="AT4" i="1"/>
  <c r="AP4" i="1"/>
  <c r="AL4" i="1"/>
  <c r="AH4" i="1"/>
  <c r="AD4" i="1"/>
  <c r="Z4" i="1"/>
  <c r="V4" i="1"/>
  <c r="R4" i="1"/>
  <c r="N4" i="1"/>
  <c r="J4" i="1"/>
  <c r="F4" i="1"/>
  <c r="BV3" i="1"/>
  <c r="BT3" i="1"/>
  <c r="BX3" i="1" s="1"/>
  <c r="BR3" i="1"/>
  <c r="BN3" i="1"/>
  <c r="BJ3" i="1"/>
  <c r="BF3" i="1"/>
  <c r="BB3" i="1"/>
  <c r="AX3" i="1"/>
  <c r="AT3" i="1"/>
  <c r="AP3" i="1"/>
  <c r="AL3" i="1"/>
  <c r="AH3" i="1"/>
  <c r="AH35" i="1" s="1"/>
  <c r="AD3" i="1"/>
  <c r="Z3" i="1"/>
  <c r="V3" i="1"/>
  <c r="R3" i="1"/>
  <c r="N3" i="1"/>
  <c r="J3" i="1"/>
  <c r="F3" i="1"/>
  <c r="AG39" i="11" l="1"/>
  <c r="J2" i="14"/>
  <c r="J3" i="14"/>
  <c r="BA39" i="11"/>
  <c r="O3" i="14"/>
  <c r="O2" i="14"/>
  <c r="AC39" i="11"/>
  <c r="I3" i="14"/>
  <c r="I2" i="14"/>
  <c r="CD5" i="11"/>
  <c r="BZ22" i="11"/>
  <c r="AW39" i="11"/>
  <c r="N2" i="14"/>
  <c r="N3" i="14"/>
  <c r="Y39" i="11"/>
  <c r="H3" i="14"/>
  <c r="H2" i="14"/>
  <c r="CD10" i="11"/>
  <c r="AS39" i="11"/>
  <c r="M3" i="14"/>
  <c r="M2" i="14"/>
  <c r="AO39" i="11"/>
  <c r="L3" i="14"/>
  <c r="L2" i="14"/>
  <c r="BZ12" i="11"/>
  <c r="BM39" i="11"/>
  <c r="R3" i="14"/>
  <c r="R2" i="14"/>
  <c r="BQ39" i="11"/>
  <c r="S3" i="14"/>
  <c r="S2" i="14"/>
  <c r="U39" i="11"/>
  <c r="G2" i="14"/>
  <c r="G3" i="14"/>
  <c r="Q39" i="11"/>
  <c r="F2" i="14"/>
  <c r="F3" i="14"/>
  <c r="CE12" i="11"/>
  <c r="CD17" i="11"/>
  <c r="BE39" i="11"/>
  <c r="P2" i="14"/>
  <c r="P3" i="14"/>
  <c r="AK39" i="11"/>
  <c r="K3" i="14"/>
  <c r="K2" i="14"/>
  <c r="M39" i="11"/>
  <c r="E3" i="14"/>
  <c r="E2" i="14"/>
  <c r="BI39" i="11"/>
  <c r="Q3" i="14"/>
  <c r="Q2" i="14"/>
  <c r="I39" i="11"/>
  <c r="D2" i="14"/>
  <c r="D3" i="14"/>
  <c r="BZ9" i="11"/>
  <c r="E39" i="11"/>
  <c r="C6" i="14" s="1"/>
  <c r="C2" i="14"/>
  <c r="C3" i="14"/>
  <c r="BJ35" i="1"/>
  <c r="AL35" i="1"/>
  <c r="AP35" i="1"/>
  <c r="AT35" i="1"/>
  <c r="AX35" i="1"/>
  <c r="BB35" i="1"/>
  <c r="BF35" i="1"/>
  <c r="BN35" i="1"/>
  <c r="BR35" i="1"/>
  <c r="F35" i="1"/>
  <c r="J35" i="1"/>
  <c r="N35" i="1"/>
  <c r="R35" i="1"/>
  <c r="V35" i="1"/>
  <c r="Z35" i="1"/>
  <c r="AD35" i="1"/>
  <c r="BY33" i="9"/>
  <c r="CF18" i="9" s="1"/>
  <c r="CD18" i="9"/>
  <c r="BZ21" i="10"/>
  <c r="CF12" i="10" s="1"/>
  <c r="CD12" i="10"/>
  <c r="CD7" i="11"/>
  <c r="BZ11" i="11"/>
  <c r="CF7" i="11" s="1"/>
  <c r="BZ23" i="11"/>
  <c r="CD13" i="11"/>
  <c r="BY23" i="9"/>
  <c r="CF13" i="9" s="1"/>
  <c r="CD13" i="9"/>
  <c r="BZ33" i="11"/>
  <c r="CF18" i="11" s="1"/>
  <c r="CD18" i="11"/>
  <c r="CD11" i="10"/>
  <c r="BZ19" i="10"/>
  <c r="CF11" i="10" s="1"/>
  <c r="CD11" i="11"/>
  <c r="BZ19" i="11"/>
  <c r="CF11" i="11" s="1"/>
  <c r="CD4" i="10"/>
  <c r="CD19" i="10" s="1"/>
  <c r="BZ5" i="10"/>
  <c r="CF4" i="10" s="1"/>
  <c r="CE13" i="11"/>
  <c r="BY21" i="9"/>
  <c r="CF12" i="9" s="1"/>
  <c r="CD12" i="9"/>
  <c r="BZ27" i="11"/>
  <c r="CF15" i="11" s="1"/>
  <c r="CD15" i="11"/>
  <c r="BZ27" i="10"/>
  <c r="CE15" i="10"/>
  <c r="BX19" i="1"/>
  <c r="BY7" i="9"/>
  <c r="CF5" i="9" s="1"/>
  <c r="CE5" i="9"/>
  <c r="CD17" i="10"/>
  <c r="CE4" i="2"/>
  <c r="BY25" i="9"/>
  <c r="CF14" i="9" s="1"/>
  <c r="CD14" i="9"/>
  <c r="BY17" i="9"/>
  <c r="CF10" i="9" s="1"/>
  <c r="CE10" i="9"/>
  <c r="CD5" i="6"/>
  <c r="BY23" i="6"/>
  <c r="CF13" i="6" s="1"/>
  <c r="CD13" i="6"/>
  <c r="BZ15" i="10"/>
  <c r="CF9" i="10" s="1"/>
  <c r="CD9" i="10"/>
  <c r="BZ31" i="10"/>
  <c r="CF17" i="10" s="1"/>
  <c r="BZ28" i="10"/>
  <c r="BZ11" i="10"/>
  <c r="CF7" i="10" s="1"/>
  <c r="CF6" i="11"/>
  <c r="CD12" i="11"/>
  <c r="CE18" i="4"/>
  <c r="BU14" i="8"/>
  <c r="BW14" i="8" s="1"/>
  <c r="CE9" i="8"/>
  <c r="BY19" i="9"/>
  <c r="CF11" i="9" s="1"/>
  <c r="CE11" i="9"/>
  <c r="BZ7" i="10"/>
  <c r="CF5" i="10" s="1"/>
  <c r="CD5" i="10"/>
  <c r="BY25" i="6"/>
  <c r="CF14" i="6" s="1"/>
  <c r="CD14" i="6"/>
  <c r="CD19" i="6" s="1"/>
  <c r="CF17" i="9"/>
  <c r="CE12" i="9"/>
  <c r="BZ5" i="11"/>
  <c r="CF4" i="11" s="1"/>
  <c r="CD4" i="11"/>
  <c r="CE9" i="5"/>
  <c r="CD6" i="6"/>
  <c r="CE4" i="6"/>
  <c r="CE9" i="4"/>
  <c r="CD8" i="6"/>
  <c r="CE9" i="2"/>
  <c r="BU13" i="8"/>
  <c r="BW13" i="8" s="1"/>
  <c r="CD8" i="8" s="1"/>
  <c r="CE9" i="6"/>
  <c r="BY33" i="6"/>
  <c r="CF18" i="6" s="1"/>
  <c r="CD18" i="6"/>
  <c r="CE17" i="6"/>
  <c r="BZ17" i="11"/>
  <c r="CF10" i="11" s="1"/>
  <c r="CE16" i="8"/>
  <c r="BY14" i="6"/>
  <c r="BY5" i="6"/>
  <c r="CD4" i="6"/>
  <c r="BX13" i="5"/>
  <c r="CE8" i="5" s="1"/>
  <c r="BX29" i="5"/>
  <c r="CE16" i="5" s="1"/>
  <c r="BX11" i="8"/>
  <c r="CE7" i="8" s="1"/>
  <c r="BU13" i="3"/>
  <c r="BW13" i="3" s="1"/>
  <c r="CD8" i="3" s="1"/>
  <c r="CD9" i="6"/>
  <c r="BY5" i="9"/>
  <c r="CF4" i="9" s="1"/>
  <c r="CD4" i="9"/>
  <c r="BZ33" i="10"/>
  <c r="CF18" i="10" s="1"/>
  <c r="CD18" i="10"/>
  <c r="CE18" i="9"/>
  <c r="CE18" i="8"/>
  <c r="BX12" i="5"/>
  <c r="BX28" i="5"/>
  <c r="BX10" i="8"/>
  <c r="BZ25" i="10"/>
  <c r="CF14" i="10" s="1"/>
  <c r="CD14" i="10"/>
  <c r="BZ6" i="10"/>
  <c r="BZ25" i="11"/>
  <c r="CF14" i="11" s="1"/>
  <c r="CD14" i="11"/>
  <c r="BZ29" i="11"/>
  <c r="CD16" i="11"/>
  <c r="BZ13" i="11"/>
  <c r="CE8" i="11"/>
  <c r="CD15" i="10"/>
  <c r="CE15" i="5"/>
  <c r="CD11" i="6"/>
  <c r="BU7" i="8"/>
  <c r="BW7" i="8" s="1"/>
  <c r="CD5" i="8" s="1"/>
  <c r="CF17" i="6"/>
  <c r="CE19" i="9"/>
  <c r="CF10" i="10"/>
  <c r="CE19" i="11"/>
  <c r="C11" i="13" s="1"/>
  <c r="CD15" i="9"/>
  <c r="BY13" i="9"/>
  <c r="CF8" i="9" s="1"/>
  <c r="CD8" i="9"/>
  <c r="BZ4" i="10"/>
  <c r="CE14" i="4"/>
  <c r="BX9" i="3"/>
  <c r="BW9" i="3"/>
  <c r="BZ29" i="10"/>
  <c r="CF16" i="10" s="1"/>
  <c r="CE16" i="10"/>
  <c r="CD10" i="9"/>
  <c r="CD10" i="10"/>
  <c r="CE5" i="4"/>
  <c r="BX7" i="2"/>
  <c r="CE5" i="2" s="1"/>
  <c r="CE13" i="2"/>
  <c r="BX22" i="4"/>
  <c r="BX5" i="5"/>
  <c r="CE4" i="5" s="1"/>
  <c r="BX4" i="8"/>
  <c r="BX19" i="8"/>
  <c r="CE11" i="8" s="1"/>
  <c r="BX23" i="3"/>
  <c r="BY30" i="6"/>
  <c r="BY26" i="9"/>
  <c r="CD17" i="9"/>
  <c r="CD6" i="11"/>
  <c r="CE16" i="2"/>
  <c r="BU27" i="4"/>
  <c r="BW27" i="4" s="1"/>
  <c r="CD15" i="4" s="1"/>
  <c r="CE7" i="5"/>
  <c r="BU28" i="3"/>
  <c r="BY15" i="9"/>
  <c r="CF9" i="9" s="1"/>
  <c r="CD9" i="9"/>
  <c r="BY9" i="9"/>
  <c r="CF6" i="9" s="1"/>
  <c r="CE6" i="9"/>
  <c r="CE7" i="4"/>
  <c r="CE19" i="6"/>
  <c r="CD3" i="9"/>
  <c r="CD19" i="9" s="1"/>
  <c r="CD6" i="10"/>
  <c r="BU27" i="1"/>
  <c r="BW27" i="1" s="1"/>
  <c r="CD15" i="1" s="1"/>
  <c r="BU24" i="4"/>
  <c r="BU21" i="8"/>
  <c r="BY20" i="9"/>
  <c r="CE3" i="10"/>
  <c r="CE19" i="10" s="1"/>
  <c r="CE14" i="2"/>
  <c r="BX6" i="3"/>
  <c r="CE14" i="3"/>
  <c r="BY11" i="9"/>
  <c r="CF7" i="9" s="1"/>
  <c r="CD7" i="9"/>
  <c r="BX22" i="2"/>
  <c r="BX4" i="5"/>
  <c r="BX20" i="5"/>
  <c r="BX18" i="8"/>
  <c r="BU21" i="3"/>
  <c r="BX22" i="3"/>
  <c r="BY13" i="6"/>
  <c r="CE8" i="6"/>
  <c r="CD15" i="6"/>
  <c r="BZ13" i="10"/>
  <c r="CF8" i="10" s="1"/>
  <c r="CD8" i="10"/>
  <c r="BZ9" i="10"/>
  <c r="CF6" i="10" s="1"/>
  <c r="BZ31" i="11"/>
  <c r="CF17" i="11" s="1"/>
  <c r="BZ14" i="11"/>
  <c r="CE13" i="9"/>
  <c r="BZ30" i="11"/>
  <c r="BZ24" i="11"/>
  <c r="BZ21" i="11"/>
  <c r="BZ15" i="11"/>
  <c r="CF9" i="11" s="1"/>
  <c r="BZ7" i="11"/>
  <c r="CF5" i="11" s="1"/>
  <c r="BZ3" i="11"/>
  <c r="CF3" i="11" s="1"/>
  <c r="BZ3" i="10"/>
  <c r="BY14" i="9"/>
  <c r="BY27" i="9"/>
  <c r="CF15" i="9" s="1"/>
  <c r="BY29" i="9"/>
  <c r="CF16" i="9" s="1"/>
  <c r="BY3" i="9"/>
  <c r="CF3" i="9" s="1"/>
  <c r="BY6" i="6"/>
  <c r="BY18" i="6"/>
  <c r="BY27" i="6"/>
  <c r="BY26" i="6"/>
  <c r="BY19" i="6"/>
  <c r="CF11" i="6" s="1"/>
  <c r="BY17" i="6"/>
  <c r="BY16" i="6"/>
  <c r="BY15" i="6"/>
  <c r="CF9" i="6" s="1"/>
  <c r="BY11" i="6"/>
  <c r="CF7" i="6" s="1"/>
  <c r="BY9" i="6"/>
  <c r="BY10" i="6"/>
  <c r="BY21" i="6"/>
  <c r="CF12" i="6" s="1"/>
  <c r="BY7" i="6"/>
  <c r="CF5" i="6" s="1"/>
  <c r="BY29" i="6"/>
  <c r="CF16" i="6" s="1"/>
  <c r="BY28" i="6"/>
  <c r="BY3" i="6"/>
  <c r="CF3" i="6" s="1"/>
  <c r="BX32" i="3"/>
  <c r="BU27" i="3"/>
  <c r="BW27" i="3" s="1"/>
  <c r="BU5" i="3"/>
  <c r="BX19" i="3"/>
  <c r="CE11" i="3" s="1"/>
  <c r="BX18" i="3"/>
  <c r="BU34" i="3"/>
  <c r="BW34" i="3" s="1"/>
  <c r="BX16" i="3"/>
  <c r="BY16" i="3" s="1"/>
  <c r="BX17" i="3"/>
  <c r="CE10" i="3" s="1"/>
  <c r="BU33" i="3"/>
  <c r="BW33" i="3" s="1"/>
  <c r="BW14" i="3"/>
  <c r="BX14" i="3"/>
  <c r="BY14" i="3" s="1"/>
  <c r="BU10" i="3"/>
  <c r="BX13" i="3"/>
  <c r="BU16" i="3"/>
  <c r="BW16" i="3" s="1"/>
  <c r="BX33" i="3"/>
  <c r="BX34" i="3"/>
  <c r="BX31" i="3"/>
  <c r="CE17" i="3" s="1"/>
  <c r="BX30" i="3"/>
  <c r="CE16" i="3" s="1"/>
  <c r="BU30" i="3"/>
  <c r="BW30" i="3" s="1"/>
  <c r="BX27" i="3"/>
  <c r="BX24" i="3"/>
  <c r="BU24" i="3"/>
  <c r="BW24" i="3" s="1"/>
  <c r="BW21" i="3"/>
  <c r="BX21" i="3"/>
  <c r="CE12" i="3" s="1"/>
  <c r="BX11" i="3"/>
  <c r="BU11" i="3"/>
  <c r="BW11" i="3" s="1"/>
  <c r="BX12" i="3"/>
  <c r="BU12" i="3"/>
  <c r="BW12" i="3" s="1"/>
  <c r="BY12" i="3" s="1"/>
  <c r="BX5" i="3"/>
  <c r="BX10" i="3"/>
  <c r="BX3" i="3"/>
  <c r="BX4" i="3"/>
  <c r="BU4" i="3"/>
  <c r="BU6" i="3"/>
  <c r="BW6" i="3" s="1"/>
  <c r="BU9" i="3"/>
  <c r="BU8" i="3"/>
  <c r="BW8" i="3" s="1"/>
  <c r="BY8" i="3" s="1"/>
  <c r="BX7" i="3"/>
  <c r="CE5" i="3" s="1"/>
  <c r="BU7" i="3"/>
  <c r="BW7" i="3" s="1"/>
  <c r="CD5" i="3" s="1"/>
  <c r="BU15" i="3"/>
  <c r="BW15" i="3" s="1"/>
  <c r="BU32" i="3"/>
  <c r="BW32" i="3" s="1"/>
  <c r="BY32" i="3" s="1"/>
  <c r="BU31" i="3"/>
  <c r="BW31" i="3" s="1"/>
  <c r="CD17" i="3" s="1"/>
  <c r="BU26" i="3"/>
  <c r="BW26" i="3" s="1"/>
  <c r="BY26" i="3" s="1"/>
  <c r="BU29" i="3"/>
  <c r="BW29" i="3" s="1"/>
  <c r="BU25" i="3"/>
  <c r="BW25" i="3" s="1"/>
  <c r="BX28" i="3"/>
  <c r="BW28" i="3"/>
  <c r="BU20" i="3"/>
  <c r="BW20" i="3" s="1"/>
  <c r="BY20" i="3" s="1"/>
  <c r="BU23" i="3"/>
  <c r="BW23" i="3" s="1"/>
  <c r="BU19" i="3"/>
  <c r="BW19" i="3" s="1"/>
  <c r="BU22" i="3"/>
  <c r="BW22" i="3" s="1"/>
  <c r="BY22" i="3" s="1"/>
  <c r="BU18" i="3"/>
  <c r="BW18" i="3" s="1"/>
  <c r="BY18" i="3" s="1"/>
  <c r="BU17" i="3"/>
  <c r="BW17" i="3" s="1"/>
  <c r="BU3" i="3"/>
  <c r="BW3" i="3"/>
  <c r="BW10" i="3"/>
  <c r="BW4" i="3"/>
  <c r="BW5" i="3"/>
  <c r="CD4" i="3" s="1"/>
  <c r="BX27" i="8"/>
  <c r="BU28" i="8"/>
  <c r="BW28" i="8" s="1"/>
  <c r="BU19" i="8"/>
  <c r="BU18" i="8"/>
  <c r="BW18" i="8" s="1"/>
  <c r="BY18" i="8" s="1"/>
  <c r="BU16" i="8"/>
  <c r="BX34" i="8"/>
  <c r="BU31" i="8"/>
  <c r="BW31" i="8" s="1"/>
  <c r="CD17" i="8" s="1"/>
  <c r="BX14" i="8"/>
  <c r="BY14" i="8" s="1"/>
  <c r="BU30" i="8"/>
  <c r="BX31" i="8"/>
  <c r="CE17" i="8" s="1"/>
  <c r="BX13" i="8"/>
  <c r="BU27" i="8"/>
  <c r="BW27" i="8" s="1"/>
  <c r="BX26" i="8"/>
  <c r="CE14" i="8" s="1"/>
  <c r="BU26" i="8"/>
  <c r="BW26" i="8" s="1"/>
  <c r="BY26" i="8" s="1"/>
  <c r="BU25" i="8"/>
  <c r="BW25" i="8" s="1"/>
  <c r="BX24" i="8"/>
  <c r="CE13" i="8" s="1"/>
  <c r="BU24" i="8"/>
  <c r="BW24" i="8" s="1"/>
  <c r="BW21" i="8"/>
  <c r="CD12" i="8" s="1"/>
  <c r="BX21" i="8"/>
  <c r="BX17" i="8"/>
  <c r="CE10" i="8" s="1"/>
  <c r="BU12" i="8"/>
  <c r="BW12" i="8" s="1"/>
  <c r="BX12" i="8"/>
  <c r="BX9" i="8"/>
  <c r="CE6" i="8" s="1"/>
  <c r="BX6" i="8"/>
  <c r="BX5" i="8"/>
  <c r="CE4" i="8" s="1"/>
  <c r="BU5" i="8"/>
  <c r="BW5" i="8" s="1"/>
  <c r="BU6" i="8"/>
  <c r="BW6" i="8" s="1"/>
  <c r="BY6" i="8"/>
  <c r="BW30" i="8"/>
  <c r="BY30" i="8" s="1"/>
  <c r="BU29" i="8"/>
  <c r="BU15" i="8"/>
  <c r="BW15" i="8" s="1"/>
  <c r="BU32" i="8"/>
  <c r="BW32" i="8" s="1"/>
  <c r="BY32" i="8" s="1"/>
  <c r="BU11" i="8"/>
  <c r="BW11" i="8" s="1"/>
  <c r="BU34" i="8"/>
  <c r="BW34" i="8" s="1"/>
  <c r="BY34" i="8" s="1"/>
  <c r="BU10" i="8"/>
  <c r="BW10" i="8" s="1"/>
  <c r="BY10" i="8" s="1"/>
  <c r="BU9" i="8"/>
  <c r="BW9" i="8" s="1"/>
  <c r="CD6" i="8" s="1"/>
  <c r="BU33" i="8"/>
  <c r="BW33" i="8" s="1"/>
  <c r="BU8" i="8"/>
  <c r="BW8" i="8" s="1"/>
  <c r="BY8" i="8" s="1"/>
  <c r="BU4" i="8"/>
  <c r="BW4" i="8" s="1"/>
  <c r="BX7" i="8"/>
  <c r="CE5" i="8" s="1"/>
  <c r="BX28" i="8"/>
  <c r="BU20" i="8"/>
  <c r="BW20" i="8" s="1"/>
  <c r="BY20" i="8" s="1"/>
  <c r="BU23" i="8"/>
  <c r="BW23" i="8" s="1"/>
  <c r="BU22" i="8"/>
  <c r="BW22" i="8" s="1"/>
  <c r="BY22" i="8" s="1"/>
  <c r="BU17" i="8"/>
  <c r="BW17" i="8" s="1"/>
  <c r="BU3" i="8"/>
  <c r="BX3" i="8"/>
  <c r="BW19" i="8"/>
  <c r="BW29" i="8"/>
  <c r="BW16" i="8"/>
  <c r="BY16" i="8" s="1"/>
  <c r="BU3" i="5"/>
  <c r="BX33" i="5"/>
  <c r="CE18" i="5" s="1"/>
  <c r="BU24" i="5"/>
  <c r="BW24" i="5" s="1"/>
  <c r="BU32" i="5"/>
  <c r="BW32" i="5" s="1"/>
  <c r="BY32" i="5" s="1"/>
  <c r="BU15" i="5"/>
  <c r="BW15" i="5" s="1"/>
  <c r="BU33" i="5"/>
  <c r="BU31" i="5"/>
  <c r="BW31" i="5" s="1"/>
  <c r="BU13" i="5"/>
  <c r="BW13" i="5" s="1"/>
  <c r="BU30" i="5"/>
  <c r="BW30" i="5" s="1"/>
  <c r="BY30" i="5" s="1"/>
  <c r="BU12" i="5"/>
  <c r="BW12" i="5" s="1"/>
  <c r="BY12" i="5" s="1"/>
  <c r="BX31" i="5"/>
  <c r="CE17" i="5" s="1"/>
  <c r="BU11" i="5"/>
  <c r="BW11" i="5" s="1"/>
  <c r="BU29" i="5"/>
  <c r="BW29" i="5" s="1"/>
  <c r="BU10" i="5"/>
  <c r="BW10" i="5" s="1"/>
  <c r="BY10" i="5" s="1"/>
  <c r="BU28" i="5"/>
  <c r="BW28" i="5" s="1"/>
  <c r="BY28" i="5" s="1"/>
  <c r="BU9" i="5"/>
  <c r="BW9" i="5" s="1"/>
  <c r="BU27" i="5"/>
  <c r="BW27" i="5" s="1"/>
  <c r="BU8" i="5"/>
  <c r="BW8" i="5" s="1"/>
  <c r="BY8" i="5" s="1"/>
  <c r="BU26" i="5"/>
  <c r="BU7" i="5"/>
  <c r="BX9" i="5"/>
  <c r="CE6" i="5" s="1"/>
  <c r="BU23" i="5"/>
  <c r="BW23" i="5" s="1"/>
  <c r="BU25" i="5"/>
  <c r="BW25" i="5" s="1"/>
  <c r="BU6" i="5"/>
  <c r="BW6" i="5" s="1"/>
  <c r="BY6" i="5" s="1"/>
  <c r="BU22" i="5"/>
  <c r="BW22" i="5" s="1"/>
  <c r="BY22" i="5" s="1"/>
  <c r="BU5" i="5"/>
  <c r="BU21" i="5"/>
  <c r="BU4" i="5"/>
  <c r="BW4" i="5" s="1"/>
  <c r="BY4" i="5" s="1"/>
  <c r="BU20" i="5"/>
  <c r="BW20" i="5" s="1"/>
  <c r="BY20" i="5" s="1"/>
  <c r="BW21" i="5"/>
  <c r="BX24" i="5"/>
  <c r="CE13" i="5" s="1"/>
  <c r="BU19" i="5"/>
  <c r="BW19" i="5" s="1"/>
  <c r="CD11" i="5" s="1"/>
  <c r="BU18" i="5"/>
  <c r="BW18" i="5" s="1"/>
  <c r="BY18" i="5" s="1"/>
  <c r="BU17" i="5"/>
  <c r="BW17" i="5" s="1"/>
  <c r="CD10" i="5" s="1"/>
  <c r="BU16" i="5"/>
  <c r="BX16" i="5"/>
  <c r="BX17" i="5"/>
  <c r="BU34" i="5"/>
  <c r="BW34" i="5" s="1"/>
  <c r="BY34" i="5" s="1"/>
  <c r="BU14" i="5"/>
  <c r="BW14" i="5" s="1"/>
  <c r="BY14" i="5" s="1"/>
  <c r="BW26" i="5"/>
  <c r="BW7" i="5"/>
  <c r="BW3" i="5"/>
  <c r="CD3" i="5" s="1"/>
  <c r="BX3" i="5"/>
  <c r="CE3" i="5" s="1"/>
  <c r="BX19" i="5"/>
  <c r="CE11" i="5" s="1"/>
  <c r="BX26" i="5"/>
  <c r="CE14" i="5" s="1"/>
  <c r="BX21" i="5"/>
  <c r="CE12" i="5" s="1"/>
  <c r="BX7" i="5"/>
  <c r="CE5" i="5" s="1"/>
  <c r="BW16" i="5"/>
  <c r="BW33" i="5"/>
  <c r="BW5" i="5"/>
  <c r="BU26" i="4"/>
  <c r="BU25" i="4"/>
  <c r="BW25" i="4" s="1"/>
  <c r="BU18" i="4"/>
  <c r="BW18" i="4" s="1"/>
  <c r="BY18" i="4" s="1"/>
  <c r="BU15" i="4"/>
  <c r="BW15" i="4" s="1"/>
  <c r="BU30" i="4"/>
  <c r="BX31" i="4"/>
  <c r="BU20" i="4"/>
  <c r="BW20" i="4" s="1"/>
  <c r="BU14" i="4"/>
  <c r="BX20" i="4"/>
  <c r="BY20" i="4" s="1"/>
  <c r="BU16" i="4"/>
  <c r="BW16" i="4" s="1"/>
  <c r="BY16" i="4" s="1"/>
  <c r="BU32" i="4"/>
  <c r="BW32" i="4" s="1"/>
  <c r="BU29" i="4"/>
  <c r="BW29" i="4" s="1"/>
  <c r="BU8" i="4"/>
  <c r="BX27" i="4"/>
  <c r="BU22" i="4"/>
  <c r="BW22" i="4" s="1"/>
  <c r="BY22" i="4" s="1"/>
  <c r="BU13" i="4"/>
  <c r="BW13" i="4" s="1"/>
  <c r="CD8" i="4" s="1"/>
  <c r="BU31" i="4"/>
  <c r="BW31" i="4" s="1"/>
  <c r="CD17" i="4" s="1"/>
  <c r="BU6" i="4"/>
  <c r="BW6" i="4" s="1"/>
  <c r="BX12" i="4"/>
  <c r="BX29" i="4"/>
  <c r="CE16" i="4" s="1"/>
  <c r="BU33" i="4"/>
  <c r="BW33" i="4" s="1"/>
  <c r="BU34" i="4"/>
  <c r="BW34" i="4" s="1"/>
  <c r="BY34" i="4" s="1"/>
  <c r="BX28" i="4"/>
  <c r="BU28" i="4"/>
  <c r="BW28" i="4" s="1"/>
  <c r="BY28" i="4" s="1"/>
  <c r="BU23" i="4"/>
  <c r="BW23" i="4" s="1"/>
  <c r="BW24" i="4"/>
  <c r="BX24" i="4"/>
  <c r="BY24" i="4" s="1"/>
  <c r="BU21" i="4"/>
  <c r="BW21" i="4" s="1"/>
  <c r="BU19" i="4"/>
  <c r="BW19" i="4" s="1"/>
  <c r="BU17" i="4"/>
  <c r="BW17" i="4" s="1"/>
  <c r="BX17" i="4"/>
  <c r="CE10" i="4" s="1"/>
  <c r="BU12" i="4"/>
  <c r="BW12" i="4" s="1"/>
  <c r="BU11" i="4"/>
  <c r="BU10" i="4"/>
  <c r="BW10" i="4" s="1"/>
  <c r="BY10" i="4" s="1"/>
  <c r="BU9" i="4"/>
  <c r="BW9" i="4" s="1"/>
  <c r="CD6" i="4" s="1"/>
  <c r="BX9" i="4"/>
  <c r="CE6" i="4" s="1"/>
  <c r="BU7" i="4"/>
  <c r="BW7" i="4" s="1"/>
  <c r="BU5" i="4"/>
  <c r="BW5" i="4" s="1"/>
  <c r="BX5" i="4"/>
  <c r="BX6" i="4"/>
  <c r="BX8" i="4"/>
  <c r="BY17" i="4"/>
  <c r="CF10" i="4" s="1"/>
  <c r="BW30" i="4"/>
  <c r="BY30" i="4" s="1"/>
  <c r="BY12" i="4"/>
  <c r="BW14" i="4"/>
  <c r="BY9" i="4"/>
  <c r="CF6" i="4" s="1"/>
  <c r="BX3" i="4"/>
  <c r="CE3" i="4" s="1"/>
  <c r="BU4" i="4"/>
  <c r="BW4" i="4" s="1"/>
  <c r="BY4" i="4" s="1"/>
  <c r="BX32" i="4"/>
  <c r="BW26" i="4"/>
  <c r="BY26" i="4" s="1"/>
  <c r="BX13" i="4"/>
  <c r="BX14" i="4"/>
  <c r="BX21" i="4"/>
  <c r="BW3" i="4"/>
  <c r="CD3" i="4" s="1"/>
  <c r="BW8" i="4"/>
  <c r="BY8" i="4" s="1"/>
  <c r="BX34" i="2"/>
  <c r="BU27" i="2"/>
  <c r="BW27" i="2" s="1"/>
  <c r="BX4" i="2"/>
  <c r="BX20" i="2"/>
  <c r="BU28" i="2"/>
  <c r="BW28" i="2" s="1"/>
  <c r="BU21" i="2"/>
  <c r="BW21" i="2" s="1"/>
  <c r="CD12" i="2" s="1"/>
  <c r="BX19" i="2"/>
  <c r="CE11" i="2" s="1"/>
  <c r="BU13" i="2"/>
  <c r="BW13" i="2" s="1"/>
  <c r="BX27" i="2"/>
  <c r="BU23" i="2"/>
  <c r="BW23" i="2" s="1"/>
  <c r="BX6" i="2"/>
  <c r="BU22" i="2"/>
  <c r="BW22" i="2" s="1"/>
  <c r="BU18" i="2"/>
  <c r="BW18" i="2" s="1"/>
  <c r="BY18" i="2" s="1"/>
  <c r="BU32" i="2"/>
  <c r="BW32" i="2" s="1"/>
  <c r="BY32" i="2" s="1"/>
  <c r="BU16" i="2"/>
  <c r="BW16" i="2" s="1"/>
  <c r="BY16" i="2" s="1"/>
  <c r="BU33" i="2"/>
  <c r="BW33" i="2" s="1"/>
  <c r="CD18" i="2" s="1"/>
  <c r="BX33" i="2"/>
  <c r="BU25" i="2"/>
  <c r="BW25" i="2" s="1"/>
  <c r="BU4" i="2"/>
  <c r="BW4" i="2" s="1"/>
  <c r="BU14" i="2"/>
  <c r="BW14" i="2" s="1"/>
  <c r="BU20" i="2"/>
  <c r="BW20" i="2" s="1"/>
  <c r="BU19" i="2"/>
  <c r="BW19" i="2" s="1"/>
  <c r="CD11" i="2" s="1"/>
  <c r="BU12" i="2"/>
  <c r="BW12" i="2" s="1"/>
  <c r="BY12" i="2" s="1"/>
  <c r="BX31" i="2"/>
  <c r="CE17" i="2" s="1"/>
  <c r="BU5" i="2"/>
  <c r="BW5" i="2" s="1"/>
  <c r="BU31" i="2"/>
  <c r="BW31" i="2" s="1"/>
  <c r="CD17" i="2" s="1"/>
  <c r="BU30" i="2"/>
  <c r="BW30" i="2" s="1"/>
  <c r="BX11" i="2"/>
  <c r="CE7" i="2" s="1"/>
  <c r="BX13" i="2"/>
  <c r="BU34" i="2"/>
  <c r="BW34" i="2" s="1"/>
  <c r="BX30" i="2"/>
  <c r="BU29" i="2"/>
  <c r="BW29" i="2" s="1"/>
  <c r="BX28" i="2"/>
  <c r="BU26" i="2"/>
  <c r="BW26" i="2" s="1"/>
  <c r="BY26" i="2" s="1"/>
  <c r="BX24" i="2"/>
  <c r="BU24" i="2"/>
  <c r="BW24" i="2" s="1"/>
  <c r="BX21" i="2"/>
  <c r="BU17" i="2"/>
  <c r="BW17" i="2" s="1"/>
  <c r="BX17" i="2"/>
  <c r="CE10" i="2" s="1"/>
  <c r="BU15" i="2"/>
  <c r="BW15" i="2" s="1"/>
  <c r="BX14" i="2"/>
  <c r="BU11" i="2"/>
  <c r="BW11" i="2" s="1"/>
  <c r="BU10" i="2"/>
  <c r="BW10" i="2" s="1"/>
  <c r="BY10" i="2" s="1"/>
  <c r="BU9" i="2"/>
  <c r="BW9" i="2" s="1"/>
  <c r="CD6" i="2" s="1"/>
  <c r="BX9" i="2"/>
  <c r="BU8" i="2"/>
  <c r="BW8" i="2" s="1"/>
  <c r="BY8" i="2" s="1"/>
  <c r="BU6" i="2"/>
  <c r="BW6" i="2" s="1"/>
  <c r="BU7" i="2"/>
  <c r="BW7" i="2" s="1"/>
  <c r="BU3" i="2"/>
  <c r="BW3" i="2"/>
  <c r="BX3" i="2"/>
  <c r="BU8" i="1"/>
  <c r="BW8" i="1" s="1"/>
  <c r="BU7" i="1"/>
  <c r="BW7" i="1" s="1"/>
  <c r="CD5" i="1" s="1"/>
  <c r="BU5" i="1"/>
  <c r="BW5" i="1" s="1"/>
  <c r="BU22" i="1"/>
  <c r="BW22" i="1" s="1"/>
  <c r="BY22" i="1" s="1"/>
  <c r="BU10" i="1"/>
  <c r="BW10" i="1" s="1"/>
  <c r="BU28" i="1"/>
  <c r="BW28" i="1" s="1"/>
  <c r="BY28" i="1" s="1"/>
  <c r="BU9" i="1"/>
  <c r="BW9" i="1" s="1"/>
  <c r="BX33" i="1"/>
  <c r="BU31" i="1"/>
  <c r="BW31" i="1" s="1"/>
  <c r="BX34" i="1"/>
  <c r="BU33" i="1"/>
  <c r="BW33" i="1" s="1"/>
  <c r="BX32" i="1"/>
  <c r="CE17" i="1" s="1"/>
  <c r="BU32" i="1"/>
  <c r="BW32" i="1" s="1"/>
  <c r="BU34" i="1"/>
  <c r="BW34" i="1" s="1"/>
  <c r="BU29" i="1"/>
  <c r="BW29" i="1" s="1"/>
  <c r="BY29" i="1" s="1"/>
  <c r="BX30" i="1"/>
  <c r="CE16" i="1" s="1"/>
  <c r="BU30" i="1"/>
  <c r="BW30" i="1" s="1"/>
  <c r="BU26" i="1"/>
  <c r="BW26" i="1" s="1"/>
  <c r="BU25" i="1"/>
  <c r="BW25" i="1" s="1"/>
  <c r="CD14" i="1" s="1"/>
  <c r="BX25" i="1"/>
  <c r="BY25" i="1" s="1"/>
  <c r="BX26" i="1"/>
  <c r="BY26" i="1" s="1"/>
  <c r="BX24" i="1"/>
  <c r="CE13" i="1" s="1"/>
  <c r="BU24" i="1"/>
  <c r="BW24" i="1" s="1"/>
  <c r="BU23" i="1"/>
  <c r="BW23" i="1" s="1"/>
  <c r="BX21" i="1"/>
  <c r="BU21" i="1"/>
  <c r="BX22" i="1"/>
  <c r="BW21" i="1"/>
  <c r="BU19" i="1"/>
  <c r="BW19" i="1" s="1"/>
  <c r="BX20" i="1"/>
  <c r="BU20" i="1"/>
  <c r="BW20" i="1" s="1"/>
  <c r="BU18" i="1"/>
  <c r="BW18" i="1" s="1"/>
  <c r="BY18" i="1" s="1"/>
  <c r="BU17" i="1"/>
  <c r="BW17" i="1" s="1"/>
  <c r="CD10" i="1" s="1"/>
  <c r="BU15" i="1"/>
  <c r="BW15" i="1" s="1"/>
  <c r="BU16" i="1"/>
  <c r="BW16" i="1"/>
  <c r="BX16" i="1"/>
  <c r="BY16" i="1" s="1"/>
  <c r="BX15" i="1"/>
  <c r="BU13" i="1"/>
  <c r="BW13" i="1" s="1"/>
  <c r="BU14" i="1"/>
  <c r="BW14" i="1" s="1"/>
  <c r="BX14" i="1"/>
  <c r="BX13" i="1"/>
  <c r="CE8" i="1" s="1"/>
  <c r="BX12" i="1"/>
  <c r="CE7" i="1" s="1"/>
  <c r="BU11" i="1"/>
  <c r="BW11" i="1" s="1"/>
  <c r="BU12" i="1"/>
  <c r="BW12" i="1"/>
  <c r="BX10" i="1"/>
  <c r="BX8" i="1"/>
  <c r="BU6" i="1"/>
  <c r="BW6" i="1" s="1"/>
  <c r="BX5" i="1"/>
  <c r="BX6" i="1"/>
  <c r="BX4" i="1"/>
  <c r="CE3" i="1" s="1"/>
  <c r="BU4" i="1"/>
  <c r="BW4" i="1" s="1"/>
  <c r="BY4" i="1"/>
  <c r="BX27" i="1"/>
  <c r="CE15" i="1" s="1"/>
  <c r="BX17" i="1"/>
  <c r="CE10" i="1" s="1"/>
  <c r="BX7" i="1"/>
  <c r="CE5" i="1" s="1"/>
  <c r="BU3" i="1"/>
  <c r="BW3" i="1" s="1"/>
  <c r="F6" i="14" l="1"/>
  <c r="F7" i="14"/>
  <c r="H7" i="14"/>
  <c r="H6" i="14"/>
  <c r="D6" i="14"/>
  <c r="D7" i="14"/>
  <c r="G6" i="14"/>
  <c r="G7" i="14"/>
  <c r="N7" i="14"/>
  <c r="N6" i="14"/>
  <c r="P7" i="14"/>
  <c r="P6" i="14"/>
  <c r="Q7" i="14"/>
  <c r="Q6" i="14"/>
  <c r="I6" i="14"/>
  <c r="I7" i="14"/>
  <c r="M7" i="14"/>
  <c r="M6" i="14"/>
  <c r="O7" i="14"/>
  <c r="O6" i="14"/>
  <c r="K6" i="14"/>
  <c r="K7" i="14"/>
  <c r="S7" i="14"/>
  <c r="S6" i="14"/>
  <c r="CF16" i="11"/>
  <c r="E6" i="14"/>
  <c r="E7" i="14"/>
  <c r="L6" i="14"/>
  <c r="L7" i="14"/>
  <c r="R6" i="14"/>
  <c r="R7" i="14"/>
  <c r="CF12" i="11"/>
  <c r="CF13" i="11"/>
  <c r="J7" i="14"/>
  <c r="J6" i="14"/>
  <c r="C7" i="14"/>
  <c r="CF14" i="1"/>
  <c r="BY10" i="1"/>
  <c r="BY12" i="1"/>
  <c r="CE11" i="1"/>
  <c r="BY15" i="5"/>
  <c r="CF9" i="5" s="1"/>
  <c r="CD9" i="5"/>
  <c r="CD13" i="5"/>
  <c r="BY23" i="5"/>
  <c r="CF13" i="5" s="1"/>
  <c r="CD4" i="1"/>
  <c r="BY5" i="1"/>
  <c r="BY25" i="8"/>
  <c r="CF14" i="8" s="1"/>
  <c r="CD14" i="8"/>
  <c r="BY19" i="4"/>
  <c r="CF11" i="4" s="1"/>
  <c r="CD11" i="4"/>
  <c r="BY15" i="4"/>
  <c r="CF9" i="4" s="1"/>
  <c r="CD9" i="4"/>
  <c r="CD14" i="4"/>
  <c r="BY25" i="4"/>
  <c r="CF14" i="4" s="1"/>
  <c r="BY19" i="1"/>
  <c r="CD11" i="1"/>
  <c r="BY15" i="3"/>
  <c r="CF9" i="3" s="1"/>
  <c r="CD9" i="3"/>
  <c r="BY21" i="8"/>
  <c r="CF12" i="8" s="1"/>
  <c r="CE12" i="8"/>
  <c r="BY9" i="2"/>
  <c r="CF6" i="2" s="1"/>
  <c r="CE6" i="2"/>
  <c r="CD3" i="3"/>
  <c r="CE12" i="1"/>
  <c r="CD7" i="2"/>
  <c r="CD15" i="2"/>
  <c r="BY17" i="3"/>
  <c r="CF10" i="3" s="1"/>
  <c r="CD10" i="3"/>
  <c r="CE18" i="1"/>
  <c r="BY11" i="8"/>
  <c r="CD7" i="8"/>
  <c r="BY13" i="3"/>
  <c r="CF8" i="3" s="1"/>
  <c r="CE8" i="3"/>
  <c r="BY9" i="1"/>
  <c r="CF6" i="1" s="1"/>
  <c r="CD6" i="1"/>
  <c r="CE9" i="3"/>
  <c r="CD8" i="1"/>
  <c r="BY27" i="5"/>
  <c r="CF15" i="5" s="1"/>
  <c r="CD15" i="5"/>
  <c r="BY27" i="8"/>
  <c r="CD15" i="8"/>
  <c r="BY19" i="3"/>
  <c r="CF11" i="3" s="1"/>
  <c r="CD11" i="3"/>
  <c r="CE9" i="1"/>
  <c r="CD10" i="2"/>
  <c r="BY25" i="2"/>
  <c r="CF14" i="2" s="1"/>
  <c r="CD14" i="2"/>
  <c r="CD6" i="5"/>
  <c r="BY13" i="8"/>
  <c r="CF8" i="8" s="1"/>
  <c r="CE8" i="8"/>
  <c r="BY23" i="3"/>
  <c r="CD13" i="3"/>
  <c r="CF10" i="6"/>
  <c r="CF8" i="11"/>
  <c r="CF19" i="11" s="1"/>
  <c r="D11" i="13" s="1"/>
  <c r="CD12" i="4"/>
  <c r="CF19" i="10"/>
  <c r="BY25" i="5"/>
  <c r="CF14" i="5" s="1"/>
  <c r="CD14" i="5"/>
  <c r="BY11" i="1"/>
  <c r="CF7" i="1" s="1"/>
  <c r="CD7" i="1"/>
  <c r="CD18" i="1"/>
  <c r="BY31" i="4"/>
  <c r="CF17" i="4" s="1"/>
  <c r="CE17" i="4"/>
  <c r="BY23" i="4"/>
  <c r="CF13" i="4" s="1"/>
  <c r="CD13" i="4"/>
  <c r="CD5" i="5"/>
  <c r="CE18" i="3"/>
  <c r="BY31" i="1"/>
  <c r="CD17" i="1"/>
  <c r="BY6" i="3"/>
  <c r="CF6" i="6"/>
  <c r="BY23" i="1"/>
  <c r="CD13" i="1"/>
  <c r="BY29" i="8"/>
  <c r="CF16" i="8" s="1"/>
  <c r="CD16" i="8"/>
  <c r="BY15" i="2"/>
  <c r="CF9" i="2" s="1"/>
  <c r="CD9" i="2"/>
  <c r="BY19" i="8"/>
  <c r="CF11" i="8" s="1"/>
  <c r="CD11" i="8"/>
  <c r="BY33" i="4"/>
  <c r="CF18" i="4" s="1"/>
  <c r="CD18" i="4"/>
  <c r="BY17" i="5"/>
  <c r="CF10" i="5" s="1"/>
  <c r="CE10" i="5"/>
  <c r="BY15" i="8"/>
  <c r="CF9" i="8" s="1"/>
  <c r="CD9" i="8"/>
  <c r="CE3" i="3"/>
  <c r="CE12" i="2"/>
  <c r="CE18" i="2"/>
  <c r="BY5" i="4"/>
  <c r="CE4" i="4"/>
  <c r="CE3" i="8"/>
  <c r="BY31" i="8"/>
  <c r="CF17" i="8" s="1"/>
  <c r="BY5" i="3"/>
  <c r="CF4" i="3" s="1"/>
  <c r="CE4" i="3"/>
  <c r="BY33" i="3"/>
  <c r="CF18" i="3" s="1"/>
  <c r="CD18" i="3"/>
  <c r="CE13" i="4"/>
  <c r="CE14" i="1"/>
  <c r="BY25" i="3"/>
  <c r="CF14" i="3" s="1"/>
  <c r="CD14" i="3"/>
  <c r="BY34" i="2"/>
  <c r="BY29" i="4"/>
  <c r="CF16" i="4" s="1"/>
  <c r="CD16" i="4"/>
  <c r="BY13" i="5"/>
  <c r="CF8" i="5" s="1"/>
  <c r="CD8" i="5"/>
  <c r="CD15" i="3"/>
  <c r="CE11" i="4"/>
  <c r="BY33" i="8"/>
  <c r="CF18" i="8" s="1"/>
  <c r="CD18" i="8"/>
  <c r="CE12" i="4"/>
  <c r="BY5" i="5"/>
  <c r="CF4" i="5" s="1"/>
  <c r="CD4" i="5"/>
  <c r="CD19" i="5" s="1"/>
  <c r="BY7" i="4"/>
  <c r="CF5" i="4" s="1"/>
  <c r="CD5" i="4"/>
  <c r="CD10" i="8"/>
  <c r="CE6" i="3"/>
  <c r="BY9" i="3"/>
  <c r="CE6" i="1"/>
  <c r="CE8" i="4"/>
  <c r="BY11" i="5"/>
  <c r="CF7" i="5" s="1"/>
  <c r="CD7" i="5"/>
  <c r="BY11" i="3"/>
  <c r="CF7" i="3" s="1"/>
  <c r="CD7" i="3"/>
  <c r="BY3" i="1"/>
  <c r="CF3" i="1" s="1"/>
  <c r="CD3" i="1"/>
  <c r="BY23" i="8"/>
  <c r="CD13" i="8"/>
  <c r="CE7" i="3"/>
  <c r="BY29" i="2"/>
  <c r="CF16" i="2" s="1"/>
  <c r="CD16" i="2"/>
  <c r="BY27" i="4"/>
  <c r="CF15" i="4" s="1"/>
  <c r="CE15" i="4"/>
  <c r="CE19" i="4" s="1"/>
  <c r="CF19" i="9"/>
  <c r="CE3" i="2"/>
  <c r="CE19" i="2" s="1"/>
  <c r="CD19" i="11"/>
  <c r="B11" i="13" s="1"/>
  <c r="CD3" i="2"/>
  <c r="BY23" i="2"/>
  <c r="CD13" i="2"/>
  <c r="CE8" i="2"/>
  <c r="CE15" i="2"/>
  <c r="CD17" i="5"/>
  <c r="CE13" i="3"/>
  <c r="CE19" i="5"/>
  <c r="BY21" i="1"/>
  <c r="CF12" i="1" s="1"/>
  <c r="CD12" i="1"/>
  <c r="BY5" i="2"/>
  <c r="CD4" i="2"/>
  <c r="CD4" i="4"/>
  <c r="CD6" i="3"/>
  <c r="BY33" i="5"/>
  <c r="CF18" i="5" s="1"/>
  <c r="CD18" i="5"/>
  <c r="BY29" i="5"/>
  <c r="CF16" i="5" s="1"/>
  <c r="CD16" i="5"/>
  <c r="CF15" i="6"/>
  <c r="BY34" i="3"/>
  <c r="CF15" i="10"/>
  <c r="CD9" i="1"/>
  <c r="BY5" i="8"/>
  <c r="CF4" i="8" s="1"/>
  <c r="CD4" i="8"/>
  <c r="BY29" i="3"/>
  <c r="CD16" i="3"/>
  <c r="CF8" i="6"/>
  <c r="BY22" i="2"/>
  <c r="CD12" i="5"/>
  <c r="CE4" i="1"/>
  <c r="CD12" i="3"/>
  <c r="CD16" i="1"/>
  <c r="BY7" i="2"/>
  <c r="CF5" i="2" s="1"/>
  <c r="CD5" i="2"/>
  <c r="CD8" i="2"/>
  <c r="CD10" i="4"/>
  <c r="BY4" i="8"/>
  <c r="CE15" i="8"/>
  <c r="BY27" i="3"/>
  <c r="CF15" i="3" s="1"/>
  <c r="CE15" i="3"/>
  <c r="CF3" i="10"/>
  <c r="CF4" i="6"/>
  <c r="CF19" i="6" s="1"/>
  <c r="BY21" i="3"/>
  <c r="CF12" i="3" s="1"/>
  <c r="BY30" i="3"/>
  <c r="BY31" i="3"/>
  <c r="CF17" i="3" s="1"/>
  <c r="BY24" i="3"/>
  <c r="BY10" i="3"/>
  <c r="BY4" i="3"/>
  <c r="BY28" i="3"/>
  <c r="BY3" i="3"/>
  <c r="CF3" i="3" s="1"/>
  <c r="BY7" i="3"/>
  <c r="CF5" i="3" s="1"/>
  <c r="BY9" i="8"/>
  <c r="CF6" i="8" s="1"/>
  <c r="BY24" i="8"/>
  <c r="BY17" i="8"/>
  <c r="CF10" i="8" s="1"/>
  <c r="BY12" i="8"/>
  <c r="BY28" i="8"/>
  <c r="BY7" i="8"/>
  <c r="CF5" i="8" s="1"/>
  <c r="BW3" i="8"/>
  <c r="CD3" i="8" s="1"/>
  <c r="BY16" i="5"/>
  <c r="BY24" i="5"/>
  <c r="BY31" i="5"/>
  <c r="CF17" i="5" s="1"/>
  <c r="BY9" i="5"/>
  <c r="CF6" i="5" s="1"/>
  <c r="BY7" i="5"/>
  <c r="CF5" i="5" s="1"/>
  <c r="BY21" i="5"/>
  <c r="CF12" i="5" s="1"/>
  <c r="BY26" i="5"/>
  <c r="BY19" i="5"/>
  <c r="CF11" i="5" s="1"/>
  <c r="BY3" i="5"/>
  <c r="CF3" i="5" s="1"/>
  <c r="BW11" i="4"/>
  <c r="BY32" i="4"/>
  <c r="BY21" i="4"/>
  <c r="CF12" i="4" s="1"/>
  <c r="BY6" i="4"/>
  <c r="BY3" i="4"/>
  <c r="CF3" i="4" s="1"/>
  <c r="BY14" i="4"/>
  <c r="BY13" i="4"/>
  <c r="CF8" i="4" s="1"/>
  <c r="BY21" i="2"/>
  <c r="CF12" i="2" s="1"/>
  <c r="BY27" i="2"/>
  <c r="CF15" i="2" s="1"/>
  <c r="BY19" i="2"/>
  <c r="CF11" i="2" s="1"/>
  <c r="BY20" i="2"/>
  <c r="BY4" i="2"/>
  <c r="BY28" i="2"/>
  <c r="BY33" i="2"/>
  <c r="BY11" i="2"/>
  <c r="CF7" i="2" s="1"/>
  <c r="BY31" i="2"/>
  <c r="CF17" i="2" s="1"/>
  <c r="BY6" i="2"/>
  <c r="BY13" i="2"/>
  <c r="CF8" i="2" s="1"/>
  <c r="BY17" i="2"/>
  <c r="CF10" i="2" s="1"/>
  <c r="BY30" i="2"/>
  <c r="BY14" i="2"/>
  <c r="BY24" i="2"/>
  <c r="BY3" i="2"/>
  <c r="CF3" i="2" s="1"/>
  <c r="BY33" i="1"/>
  <c r="BY34" i="1"/>
  <c r="BY32" i="1"/>
  <c r="BY30" i="1"/>
  <c r="CF16" i="1" s="1"/>
  <c r="BY27" i="1"/>
  <c r="CF15" i="1" s="1"/>
  <c r="BY24" i="1"/>
  <c r="BY20" i="1"/>
  <c r="BY17" i="1"/>
  <c r="CF10" i="1" s="1"/>
  <c r="BY15" i="1"/>
  <c r="CF9" i="1" s="1"/>
  <c r="BY13" i="1"/>
  <c r="BY14" i="1"/>
  <c r="BY8" i="1"/>
  <c r="BY7" i="1"/>
  <c r="CF5" i="1" s="1"/>
  <c r="BY6" i="1"/>
  <c r="CE19" i="1" l="1"/>
  <c r="C2" i="13" s="1"/>
  <c r="CF18" i="1"/>
  <c r="CF13" i="3"/>
  <c r="CD19" i="2"/>
  <c r="CF4" i="4"/>
  <c r="CF19" i="4" s="1"/>
  <c r="CF4" i="2"/>
  <c r="CF19" i="2" s="1"/>
  <c r="CF13" i="8"/>
  <c r="CF7" i="8"/>
  <c r="BY11" i="4"/>
  <c r="CF7" i="4" s="1"/>
  <c r="CD7" i="4"/>
  <c r="CD19" i="4" s="1"/>
  <c r="CD19" i="1"/>
  <c r="B2" i="13" s="1"/>
  <c r="CF17" i="1"/>
  <c r="CF11" i="1"/>
  <c r="CE19" i="8"/>
  <c r="CF13" i="1"/>
  <c r="CF19" i="5"/>
  <c r="CE19" i="3"/>
  <c r="CD19" i="3"/>
  <c r="CF18" i="2"/>
  <c r="CF8" i="1"/>
  <c r="CF15" i="8"/>
  <c r="CF16" i="3"/>
  <c r="CF4" i="1"/>
  <c r="CF19" i="1" s="1"/>
  <c r="D2" i="13" s="1"/>
  <c r="CF13" i="2"/>
  <c r="CF6" i="3"/>
  <c r="CF19" i="3" s="1"/>
  <c r="CD19" i="8"/>
  <c r="BY3" i="8"/>
  <c r="CF3" i="8" s="1"/>
  <c r="CF19" i="8" s="1"/>
  <c r="D75" i="3" l="1"/>
  <c r="E75" i="3"/>
  <c r="A96" i="6" l="1"/>
  <c r="A97" i="6"/>
  <c r="A98" i="6"/>
  <c r="A99" i="6"/>
  <c r="A100" i="6"/>
  <c r="A101" i="6"/>
  <c r="A102" i="6"/>
  <c r="A103" i="6"/>
  <c r="A104" i="6"/>
  <c r="A105" i="6"/>
  <c r="A106" i="6"/>
  <c r="A107" i="6"/>
  <c r="A108" i="6"/>
  <c r="A109" i="6"/>
  <c r="A110" i="6"/>
  <c r="A95" i="6"/>
  <c r="B95" i="6"/>
  <c r="A76" i="3"/>
  <c r="A77" i="3"/>
  <c r="A78" i="3"/>
  <c r="A79" i="3"/>
  <c r="A80" i="3"/>
  <c r="A81" i="3"/>
  <c r="A82" i="3"/>
  <c r="A83" i="3"/>
  <c r="A84" i="3"/>
  <c r="A85" i="3"/>
  <c r="A86" i="3"/>
  <c r="A87" i="3"/>
  <c r="A88" i="3"/>
  <c r="A89" i="3"/>
  <c r="A90" i="3"/>
  <c r="A75" i="3"/>
  <c r="BS110" i="6" l="1"/>
  <c r="BQ110" i="6"/>
  <c r="BP110" i="6"/>
  <c r="BR110" i="6" s="1"/>
  <c r="BO110" i="6"/>
  <c r="BM110" i="6"/>
  <c r="BL110" i="6"/>
  <c r="BK110" i="6"/>
  <c r="BI110" i="6"/>
  <c r="BH110" i="6"/>
  <c r="BG110" i="6"/>
  <c r="BE110" i="6"/>
  <c r="BD110" i="6"/>
  <c r="BF110" i="6" s="1"/>
  <c r="BC110" i="6"/>
  <c r="BA110" i="6"/>
  <c r="AZ110" i="6"/>
  <c r="AY110" i="6"/>
  <c r="AW110" i="6"/>
  <c r="AV110" i="6"/>
  <c r="AU110" i="6"/>
  <c r="AS110" i="6"/>
  <c r="AR110" i="6"/>
  <c r="AQ110" i="6"/>
  <c r="AO110" i="6"/>
  <c r="AN110" i="6"/>
  <c r="AP110" i="6" s="1"/>
  <c r="AM110" i="6"/>
  <c r="AK110" i="6"/>
  <c r="AJ110" i="6"/>
  <c r="AI110" i="6"/>
  <c r="AG110" i="6"/>
  <c r="AF110" i="6"/>
  <c r="AE110" i="6"/>
  <c r="AC110" i="6"/>
  <c r="AB110" i="6"/>
  <c r="AA110" i="6"/>
  <c r="Y110" i="6"/>
  <c r="X110" i="6"/>
  <c r="W110" i="6"/>
  <c r="U110" i="6"/>
  <c r="T110" i="6"/>
  <c r="V110" i="6" s="1"/>
  <c r="S110" i="6"/>
  <c r="Q110" i="6"/>
  <c r="P110" i="6"/>
  <c r="R110" i="6" s="1"/>
  <c r="O110" i="6"/>
  <c r="M110" i="6"/>
  <c r="L110" i="6"/>
  <c r="K110" i="6"/>
  <c r="I110" i="6"/>
  <c r="H110" i="6"/>
  <c r="J110" i="6" s="1"/>
  <c r="G110" i="6"/>
  <c r="E110" i="6"/>
  <c r="D110" i="6"/>
  <c r="BS109" i="6"/>
  <c r="BQ109" i="6"/>
  <c r="BP109" i="6"/>
  <c r="BO109" i="6"/>
  <c r="BM109" i="6"/>
  <c r="BL109" i="6"/>
  <c r="BK109" i="6"/>
  <c r="BI109" i="6"/>
  <c r="BH109" i="6"/>
  <c r="BG109" i="6"/>
  <c r="BE109" i="6"/>
  <c r="BD109" i="6"/>
  <c r="BC109" i="6"/>
  <c r="BA109" i="6"/>
  <c r="AZ109" i="6"/>
  <c r="BB109" i="6" s="1"/>
  <c r="AY109" i="6"/>
  <c r="AW109" i="6"/>
  <c r="AV109" i="6"/>
  <c r="AU109" i="6"/>
  <c r="AS109" i="6"/>
  <c r="AR109" i="6"/>
  <c r="AT109" i="6" s="1"/>
  <c r="AQ109" i="6"/>
  <c r="AO109" i="6"/>
  <c r="AN109" i="6"/>
  <c r="AP109" i="6" s="1"/>
  <c r="AM109" i="6"/>
  <c r="AK109" i="6"/>
  <c r="AJ109" i="6"/>
  <c r="AI109" i="6"/>
  <c r="AG109" i="6"/>
  <c r="AF109" i="6"/>
  <c r="AE109" i="6"/>
  <c r="AC109" i="6"/>
  <c r="AB109" i="6"/>
  <c r="AD109" i="6" s="1"/>
  <c r="AA109" i="6"/>
  <c r="Y109" i="6"/>
  <c r="X109" i="6"/>
  <c r="W109" i="6"/>
  <c r="U109" i="6"/>
  <c r="T109" i="6"/>
  <c r="S109" i="6"/>
  <c r="Q109" i="6"/>
  <c r="P109" i="6"/>
  <c r="O109" i="6"/>
  <c r="M109" i="6"/>
  <c r="L109" i="6"/>
  <c r="K109" i="6"/>
  <c r="I109" i="6"/>
  <c r="H109" i="6"/>
  <c r="J109" i="6" s="1"/>
  <c r="G109" i="6"/>
  <c r="E109" i="6"/>
  <c r="D109" i="6"/>
  <c r="F109" i="6" s="1"/>
  <c r="BS108" i="6"/>
  <c r="BQ108" i="6"/>
  <c r="BP108" i="6"/>
  <c r="BR108" i="6" s="1"/>
  <c r="BO108" i="6"/>
  <c r="BM108" i="6"/>
  <c r="BL108" i="6"/>
  <c r="BN108" i="6" s="1"/>
  <c r="BK108" i="6"/>
  <c r="BI108" i="6"/>
  <c r="BH108" i="6"/>
  <c r="BJ108" i="6" s="1"/>
  <c r="BG108" i="6"/>
  <c r="BE108" i="6"/>
  <c r="BD108" i="6"/>
  <c r="BC108" i="6"/>
  <c r="BA108" i="6"/>
  <c r="AZ108" i="6"/>
  <c r="AY108" i="6"/>
  <c r="AW108" i="6"/>
  <c r="AV108" i="6"/>
  <c r="AU108" i="6"/>
  <c r="AS108" i="6"/>
  <c r="AR108" i="6"/>
  <c r="AT108" i="6" s="1"/>
  <c r="AQ108" i="6"/>
  <c r="AO108" i="6"/>
  <c r="AN108" i="6"/>
  <c r="AM108" i="6"/>
  <c r="AK108" i="6"/>
  <c r="AJ108" i="6"/>
  <c r="AI108" i="6"/>
  <c r="AG108" i="6"/>
  <c r="AF108" i="6"/>
  <c r="AE108" i="6"/>
  <c r="AC108" i="6"/>
  <c r="AB108" i="6"/>
  <c r="AA108" i="6"/>
  <c r="Y108" i="6"/>
  <c r="X108" i="6"/>
  <c r="W108" i="6"/>
  <c r="U108" i="6"/>
  <c r="T108" i="6"/>
  <c r="S108" i="6"/>
  <c r="Q108" i="6"/>
  <c r="P108" i="6"/>
  <c r="O108" i="6"/>
  <c r="M108" i="6"/>
  <c r="L108" i="6"/>
  <c r="K108" i="6"/>
  <c r="I108" i="6"/>
  <c r="H108" i="6"/>
  <c r="G108" i="6"/>
  <c r="E108" i="6"/>
  <c r="D108" i="6"/>
  <c r="BS107" i="6"/>
  <c r="BQ107" i="6"/>
  <c r="BP107" i="6"/>
  <c r="BR107" i="6" s="1"/>
  <c r="BO107" i="6"/>
  <c r="BM107" i="6"/>
  <c r="BL107" i="6"/>
  <c r="BK107" i="6"/>
  <c r="BI107" i="6"/>
  <c r="BH107" i="6"/>
  <c r="BG107" i="6"/>
  <c r="BE107" i="6"/>
  <c r="BD107" i="6"/>
  <c r="BC107" i="6"/>
  <c r="BA107" i="6"/>
  <c r="AZ107" i="6"/>
  <c r="BB107" i="6" s="1"/>
  <c r="AY107" i="6"/>
  <c r="AW107" i="6"/>
  <c r="AV107" i="6"/>
  <c r="AX107" i="6" s="1"/>
  <c r="AU107" i="6"/>
  <c r="AS107" i="6"/>
  <c r="AR107" i="6"/>
  <c r="AQ107" i="6"/>
  <c r="AO107" i="6"/>
  <c r="AN107" i="6"/>
  <c r="AM107" i="6"/>
  <c r="AK107" i="6"/>
  <c r="AJ107" i="6"/>
  <c r="AI107" i="6"/>
  <c r="AG107" i="6"/>
  <c r="AF107" i="6"/>
  <c r="AE107" i="6"/>
  <c r="AC107" i="6"/>
  <c r="AB107" i="6"/>
  <c r="AD107" i="6" s="1"/>
  <c r="AA107" i="6"/>
  <c r="Y107" i="6"/>
  <c r="X107" i="6"/>
  <c r="W107" i="6"/>
  <c r="U107" i="6"/>
  <c r="T107" i="6"/>
  <c r="V107" i="6" s="1"/>
  <c r="S107" i="6"/>
  <c r="Q107" i="6"/>
  <c r="P107" i="6"/>
  <c r="O107" i="6"/>
  <c r="M107" i="6"/>
  <c r="L107" i="6"/>
  <c r="N107" i="6" s="1"/>
  <c r="K107" i="6"/>
  <c r="I107" i="6"/>
  <c r="H107" i="6"/>
  <c r="G107" i="6"/>
  <c r="E107" i="6"/>
  <c r="D107" i="6"/>
  <c r="BS106" i="6"/>
  <c r="BQ106" i="6"/>
  <c r="BP106" i="6"/>
  <c r="BO106" i="6"/>
  <c r="BM106" i="6"/>
  <c r="BL106" i="6"/>
  <c r="BN106" i="6" s="1"/>
  <c r="BK106" i="6"/>
  <c r="BI106" i="6"/>
  <c r="BH106" i="6"/>
  <c r="BG106" i="6"/>
  <c r="BE106" i="6"/>
  <c r="BD106" i="6"/>
  <c r="BC106" i="6"/>
  <c r="BA106" i="6"/>
  <c r="AZ106" i="6"/>
  <c r="AY106" i="6"/>
  <c r="AW106" i="6"/>
  <c r="AV106" i="6"/>
  <c r="AU106" i="6"/>
  <c r="AS106" i="6"/>
  <c r="AR106" i="6"/>
  <c r="AT106" i="6" s="1"/>
  <c r="AQ106" i="6"/>
  <c r="AO106" i="6"/>
  <c r="AN106" i="6"/>
  <c r="AP106" i="6" s="1"/>
  <c r="AM106" i="6"/>
  <c r="AK106" i="6"/>
  <c r="AJ106" i="6"/>
  <c r="AL106" i="6" s="1"/>
  <c r="AI106" i="6"/>
  <c r="AG106" i="6"/>
  <c r="AF106" i="6"/>
  <c r="AE106" i="6"/>
  <c r="AC106" i="6"/>
  <c r="AB106" i="6"/>
  <c r="AA106" i="6"/>
  <c r="Y106" i="6"/>
  <c r="X106" i="6"/>
  <c r="W106" i="6"/>
  <c r="U106" i="6"/>
  <c r="T106" i="6"/>
  <c r="S106" i="6"/>
  <c r="Q106" i="6"/>
  <c r="P106" i="6"/>
  <c r="R106" i="6" s="1"/>
  <c r="O106" i="6"/>
  <c r="M106" i="6"/>
  <c r="L106" i="6"/>
  <c r="K106" i="6"/>
  <c r="I106" i="6"/>
  <c r="H106" i="6"/>
  <c r="G106" i="6"/>
  <c r="E106" i="6"/>
  <c r="D106" i="6"/>
  <c r="BS105" i="6"/>
  <c r="BQ105" i="6"/>
  <c r="BP105" i="6"/>
  <c r="BO105" i="6"/>
  <c r="BM105" i="6"/>
  <c r="BL105" i="6"/>
  <c r="BK105" i="6"/>
  <c r="BI105" i="6"/>
  <c r="BH105" i="6"/>
  <c r="BJ105" i="6" s="1"/>
  <c r="BG105" i="6"/>
  <c r="BE105" i="6"/>
  <c r="BD105" i="6"/>
  <c r="BC105" i="6"/>
  <c r="BA105" i="6"/>
  <c r="AZ105" i="6"/>
  <c r="AY105" i="6"/>
  <c r="AW105" i="6"/>
  <c r="AV105" i="6"/>
  <c r="AU105" i="6"/>
  <c r="AS105" i="6"/>
  <c r="AR105" i="6"/>
  <c r="AQ105" i="6"/>
  <c r="AO105" i="6"/>
  <c r="AN105" i="6"/>
  <c r="AP105" i="6" s="1"/>
  <c r="AM105" i="6"/>
  <c r="AK105" i="6"/>
  <c r="AJ105" i="6"/>
  <c r="AI105" i="6"/>
  <c r="AG105" i="6"/>
  <c r="AF105" i="6"/>
  <c r="AE105" i="6"/>
  <c r="AC105" i="6"/>
  <c r="AB105" i="6"/>
  <c r="AD105" i="6" s="1"/>
  <c r="AA105" i="6"/>
  <c r="Y105" i="6"/>
  <c r="X105" i="6"/>
  <c r="Z105" i="6" s="1"/>
  <c r="W105" i="6"/>
  <c r="U105" i="6"/>
  <c r="T105" i="6"/>
  <c r="S105" i="6"/>
  <c r="Q105" i="6"/>
  <c r="P105" i="6"/>
  <c r="O105" i="6"/>
  <c r="M105" i="6"/>
  <c r="L105" i="6"/>
  <c r="K105" i="6"/>
  <c r="I105" i="6"/>
  <c r="H105" i="6"/>
  <c r="J105" i="6" s="1"/>
  <c r="G105" i="6"/>
  <c r="E105" i="6"/>
  <c r="D105" i="6"/>
  <c r="F105" i="6" s="1"/>
  <c r="BS104" i="6"/>
  <c r="BQ104" i="6"/>
  <c r="BP104" i="6"/>
  <c r="BO104" i="6"/>
  <c r="BM104" i="6"/>
  <c r="BL104" i="6"/>
  <c r="BN104" i="6" s="1"/>
  <c r="BK104" i="6"/>
  <c r="BI104" i="6"/>
  <c r="BH104" i="6"/>
  <c r="BJ104" i="6" s="1"/>
  <c r="BG104" i="6"/>
  <c r="BE104" i="6"/>
  <c r="BD104" i="6"/>
  <c r="BC104" i="6"/>
  <c r="BA104" i="6"/>
  <c r="AZ104" i="6"/>
  <c r="AY104" i="6"/>
  <c r="AW104" i="6"/>
  <c r="AV104" i="6"/>
  <c r="AX104" i="6" s="1"/>
  <c r="AU104" i="6"/>
  <c r="AS104" i="6"/>
  <c r="AR104" i="6"/>
  <c r="AQ104" i="6"/>
  <c r="AO104" i="6"/>
  <c r="AN104" i="6"/>
  <c r="AP104" i="6" s="1"/>
  <c r="AM104" i="6"/>
  <c r="AK104" i="6"/>
  <c r="AJ104" i="6"/>
  <c r="AI104" i="6"/>
  <c r="AG104" i="6"/>
  <c r="AF104" i="6"/>
  <c r="AH104" i="6" s="1"/>
  <c r="AE104" i="6"/>
  <c r="AC104" i="6"/>
  <c r="AB104" i="6"/>
  <c r="AD104" i="6" s="1"/>
  <c r="AA104" i="6"/>
  <c r="Y104" i="6"/>
  <c r="X104" i="6"/>
  <c r="Z104" i="6" s="1"/>
  <c r="W104" i="6"/>
  <c r="U104" i="6"/>
  <c r="T104" i="6"/>
  <c r="S104" i="6"/>
  <c r="Q104" i="6"/>
  <c r="P104" i="6"/>
  <c r="O104" i="6"/>
  <c r="M104" i="6"/>
  <c r="L104" i="6"/>
  <c r="K104" i="6"/>
  <c r="I104" i="6"/>
  <c r="H104" i="6"/>
  <c r="G104" i="6"/>
  <c r="E104" i="6"/>
  <c r="D104" i="6"/>
  <c r="BS103" i="6"/>
  <c r="BQ103" i="6"/>
  <c r="BP103" i="6"/>
  <c r="BO103" i="6"/>
  <c r="BM103" i="6"/>
  <c r="BL103" i="6"/>
  <c r="BN103" i="6" s="1"/>
  <c r="BK103" i="6"/>
  <c r="BI103" i="6"/>
  <c r="BH103" i="6"/>
  <c r="BG103" i="6"/>
  <c r="BE103" i="6"/>
  <c r="BD103" i="6"/>
  <c r="BC103" i="6"/>
  <c r="BA103" i="6"/>
  <c r="AZ103" i="6"/>
  <c r="AY103" i="6"/>
  <c r="AW103" i="6"/>
  <c r="AV103" i="6"/>
  <c r="AX103" i="6" s="1"/>
  <c r="AU103" i="6"/>
  <c r="AS103" i="6"/>
  <c r="AR103" i="6"/>
  <c r="AT103" i="6" s="1"/>
  <c r="AQ103" i="6"/>
  <c r="AO103" i="6"/>
  <c r="AN103" i="6"/>
  <c r="AM103" i="6"/>
  <c r="AK103" i="6"/>
  <c r="AJ103" i="6"/>
  <c r="AL103" i="6" s="1"/>
  <c r="AI103" i="6"/>
  <c r="AG103" i="6"/>
  <c r="AF103" i="6"/>
  <c r="AE103" i="6"/>
  <c r="AC103" i="6"/>
  <c r="AB103" i="6"/>
  <c r="AA103" i="6"/>
  <c r="Y103" i="6"/>
  <c r="X103" i="6"/>
  <c r="W103" i="6"/>
  <c r="U103" i="6"/>
  <c r="T103" i="6"/>
  <c r="S103" i="6"/>
  <c r="Q103" i="6"/>
  <c r="P103" i="6"/>
  <c r="R103" i="6" s="1"/>
  <c r="O103" i="6"/>
  <c r="M103" i="6"/>
  <c r="L103" i="6"/>
  <c r="K103" i="6"/>
  <c r="I103" i="6"/>
  <c r="H103" i="6"/>
  <c r="J103" i="6" s="1"/>
  <c r="G103" i="6"/>
  <c r="E103" i="6"/>
  <c r="D103" i="6"/>
  <c r="F103" i="6" s="1"/>
  <c r="BS102" i="6"/>
  <c r="BQ102" i="6"/>
  <c r="BP102" i="6"/>
  <c r="BO102" i="6"/>
  <c r="BM102" i="6"/>
  <c r="BL102" i="6"/>
  <c r="BK102" i="6"/>
  <c r="BI102" i="6"/>
  <c r="BH102" i="6"/>
  <c r="BG102" i="6"/>
  <c r="BE102" i="6"/>
  <c r="BD102" i="6"/>
  <c r="BC102" i="6"/>
  <c r="BA102" i="6"/>
  <c r="AZ102" i="6"/>
  <c r="AY102" i="6"/>
  <c r="AW102" i="6"/>
  <c r="AV102" i="6"/>
  <c r="AX102" i="6" s="1"/>
  <c r="AU102" i="6"/>
  <c r="AS102" i="6"/>
  <c r="AR102" i="6"/>
  <c r="AQ102" i="6"/>
  <c r="AO102" i="6"/>
  <c r="AN102" i="6"/>
  <c r="AM102" i="6"/>
  <c r="AK102" i="6"/>
  <c r="AJ102" i="6"/>
  <c r="AL102" i="6" s="1"/>
  <c r="AI102" i="6"/>
  <c r="AG102" i="6"/>
  <c r="AF102" i="6"/>
  <c r="AH102" i="6" s="1"/>
  <c r="AE102" i="6"/>
  <c r="AC102" i="6"/>
  <c r="AB102" i="6"/>
  <c r="AA102" i="6"/>
  <c r="Y102" i="6"/>
  <c r="X102" i="6"/>
  <c r="W102" i="6"/>
  <c r="U102" i="6"/>
  <c r="T102" i="6"/>
  <c r="S102" i="6"/>
  <c r="Q102" i="6"/>
  <c r="P102" i="6"/>
  <c r="R102" i="6" s="1"/>
  <c r="O102" i="6"/>
  <c r="M102" i="6"/>
  <c r="L102" i="6"/>
  <c r="K102" i="6"/>
  <c r="I102" i="6"/>
  <c r="H102" i="6"/>
  <c r="G102" i="6"/>
  <c r="E102" i="6"/>
  <c r="D102" i="6"/>
  <c r="BS101" i="6"/>
  <c r="BQ101" i="6"/>
  <c r="BP101" i="6"/>
  <c r="BO101" i="6"/>
  <c r="BM101" i="6"/>
  <c r="BL101" i="6"/>
  <c r="BN101" i="6" s="1"/>
  <c r="BK101" i="6"/>
  <c r="BI101" i="6"/>
  <c r="BH101" i="6"/>
  <c r="BJ101" i="6" s="1"/>
  <c r="BG101" i="6"/>
  <c r="BE101" i="6"/>
  <c r="BD101" i="6"/>
  <c r="BC101" i="6"/>
  <c r="BA101" i="6"/>
  <c r="AZ101" i="6"/>
  <c r="BB101" i="6" s="1"/>
  <c r="AY101" i="6"/>
  <c r="AW101" i="6"/>
  <c r="AV101" i="6"/>
  <c r="AU101" i="6"/>
  <c r="AS101" i="6"/>
  <c r="AR101" i="6"/>
  <c r="AQ101" i="6"/>
  <c r="AO101" i="6"/>
  <c r="AN101" i="6"/>
  <c r="AP101" i="6" s="1"/>
  <c r="AM101" i="6"/>
  <c r="AK101" i="6"/>
  <c r="AJ101" i="6"/>
  <c r="AL101" i="6" s="1"/>
  <c r="AI101" i="6"/>
  <c r="AG101" i="6"/>
  <c r="AF101" i="6"/>
  <c r="AE101" i="6"/>
  <c r="AC101" i="6"/>
  <c r="AB101" i="6"/>
  <c r="AA101" i="6"/>
  <c r="Y101" i="6"/>
  <c r="X101" i="6"/>
  <c r="W101" i="6"/>
  <c r="U101" i="6"/>
  <c r="T101" i="6"/>
  <c r="V101" i="6" s="1"/>
  <c r="S101" i="6"/>
  <c r="Q101" i="6"/>
  <c r="P101" i="6"/>
  <c r="O101" i="6"/>
  <c r="M101" i="6"/>
  <c r="L101" i="6"/>
  <c r="N101" i="6" s="1"/>
  <c r="K101" i="6"/>
  <c r="I101" i="6"/>
  <c r="H101" i="6"/>
  <c r="G101" i="6"/>
  <c r="E101" i="6"/>
  <c r="D101" i="6"/>
  <c r="BS100" i="6"/>
  <c r="BQ100" i="6"/>
  <c r="BP100" i="6"/>
  <c r="BO100" i="6"/>
  <c r="BM100" i="6"/>
  <c r="BL100" i="6"/>
  <c r="BN100" i="6" s="1"/>
  <c r="BK100" i="6"/>
  <c r="BI100" i="6"/>
  <c r="BH100" i="6"/>
  <c r="BG100" i="6"/>
  <c r="BE100" i="6"/>
  <c r="BD100" i="6"/>
  <c r="BC100" i="6"/>
  <c r="BA100" i="6"/>
  <c r="AZ100" i="6"/>
  <c r="BB100" i="6" s="1"/>
  <c r="AY100" i="6"/>
  <c r="AW100" i="6"/>
  <c r="AV100" i="6"/>
  <c r="AX100" i="6" s="1"/>
  <c r="AU100" i="6"/>
  <c r="AS100" i="6"/>
  <c r="AR100" i="6"/>
  <c r="AQ100" i="6"/>
  <c r="AO100" i="6"/>
  <c r="AN100" i="6"/>
  <c r="AP100" i="6" s="1"/>
  <c r="AM100" i="6"/>
  <c r="AK100" i="6"/>
  <c r="AJ100" i="6"/>
  <c r="AI100" i="6"/>
  <c r="AG100" i="6"/>
  <c r="AF100" i="6"/>
  <c r="AE100" i="6"/>
  <c r="AC100" i="6"/>
  <c r="AB100" i="6"/>
  <c r="AD100" i="6" s="1"/>
  <c r="AA100" i="6"/>
  <c r="Y100" i="6"/>
  <c r="X100" i="6"/>
  <c r="Z100" i="6" s="1"/>
  <c r="W100" i="6"/>
  <c r="U100" i="6"/>
  <c r="T100" i="6"/>
  <c r="S100" i="6"/>
  <c r="Q100" i="6"/>
  <c r="P100" i="6"/>
  <c r="O100" i="6"/>
  <c r="M100" i="6"/>
  <c r="L100" i="6"/>
  <c r="K100" i="6"/>
  <c r="I100" i="6"/>
  <c r="H100" i="6"/>
  <c r="J100" i="6" s="1"/>
  <c r="G100" i="6"/>
  <c r="E100" i="6"/>
  <c r="D100" i="6"/>
  <c r="BS99" i="6"/>
  <c r="BQ99" i="6"/>
  <c r="BP99" i="6"/>
  <c r="BO99" i="6"/>
  <c r="BM99" i="6"/>
  <c r="BL99" i="6"/>
  <c r="BK99" i="6"/>
  <c r="BI99" i="6"/>
  <c r="BH99" i="6"/>
  <c r="BG99" i="6"/>
  <c r="BE99" i="6"/>
  <c r="BD99" i="6"/>
  <c r="BC99" i="6"/>
  <c r="BA99" i="6"/>
  <c r="AZ99" i="6"/>
  <c r="BB99" i="6" s="1"/>
  <c r="AY99" i="6"/>
  <c r="AW99" i="6"/>
  <c r="AV99" i="6"/>
  <c r="AU99" i="6"/>
  <c r="AS99" i="6"/>
  <c r="AR99" i="6"/>
  <c r="AQ99" i="6"/>
  <c r="AO99" i="6"/>
  <c r="AN99" i="6"/>
  <c r="AP99" i="6" s="1"/>
  <c r="AM99" i="6"/>
  <c r="AK99" i="6"/>
  <c r="AJ99" i="6"/>
  <c r="AL99" i="6" s="1"/>
  <c r="AI99" i="6"/>
  <c r="AG99" i="6"/>
  <c r="AF99" i="6"/>
  <c r="AE99" i="6"/>
  <c r="AC99" i="6"/>
  <c r="AB99" i="6"/>
  <c r="AD99" i="6" s="1"/>
  <c r="AA99" i="6"/>
  <c r="Y99" i="6"/>
  <c r="X99" i="6"/>
  <c r="W99" i="6"/>
  <c r="U99" i="6"/>
  <c r="T99" i="6"/>
  <c r="S99" i="6"/>
  <c r="Q99" i="6"/>
  <c r="P99" i="6"/>
  <c r="R99" i="6" s="1"/>
  <c r="O99" i="6"/>
  <c r="M99" i="6"/>
  <c r="L99" i="6"/>
  <c r="K99" i="6"/>
  <c r="I99" i="6"/>
  <c r="H99" i="6"/>
  <c r="G99" i="6"/>
  <c r="E99" i="6"/>
  <c r="D99" i="6"/>
  <c r="BS98" i="6"/>
  <c r="BQ98" i="6"/>
  <c r="BP98" i="6"/>
  <c r="BO98" i="6"/>
  <c r="BM98" i="6"/>
  <c r="BL98" i="6"/>
  <c r="BK98" i="6"/>
  <c r="BI98" i="6"/>
  <c r="BH98" i="6"/>
  <c r="BG98" i="6"/>
  <c r="BE98" i="6"/>
  <c r="BD98" i="6"/>
  <c r="BF98" i="6" s="1"/>
  <c r="BC98" i="6"/>
  <c r="BA98" i="6"/>
  <c r="AZ98" i="6"/>
  <c r="AY98" i="6"/>
  <c r="AW98" i="6"/>
  <c r="AV98" i="6"/>
  <c r="AX98" i="6" s="1"/>
  <c r="AU98" i="6"/>
  <c r="AS98" i="6"/>
  <c r="AR98" i="6"/>
  <c r="AQ98" i="6"/>
  <c r="AO98" i="6"/>
  <c r="AN98" i="6"/>
  <c r="AM98" i="6"/>
  <c r="AK98" i="6"/>
  <c r="AJ98" i="6"/>
  <c r="AL98" i="6" s="1"/>
  <c r="AI98" i="6"/>
  <c r="AG98" i="6"/>
  <c r="AF98" i="6"/>
  <c r="AE98" i="6"/>
  <c r="AC98" i="6"/>
  <c r="AB98" i="6"/>
  <c r="AD98" i="6" s="1"/>
  <c r="AA98" i="6"/>
  <c r="Y98" i="6"/>
  <c r="X98" i="6"/>
  <c r="W98" i="6"/>
  <c r="U98" i="6"/>
  <c r="T98" i="6"/>
  <c r="S98" i="6"/>
  <c r="Q98" i="6"/>
  <c r="P98" i="6"/>
  <c r="R98" i="6" s="1"/>
  <c r="O98" i="6"/>
  <c r="M98" i="6"/>
  <c r="L98" i="6"/>
  <c r="K98" i="6"/>
  <c r="I98" i="6"/>
  <c r="H98" i="6"/>
  <c r="G98" i="6"/>
  <c r="E98" i="6"/>
  <c r="D98" i="6"/>
  <c r="F98" i="6" s="1"/>
  <c r="BS97" i="6"/>
  <c r="BQ97" i="6"/>
  <c r="BP97" i="6"/>
  <c r="BR97" i="6" s="1"/>
  <c r="BO97" i="6"/>
  <c r="BM97" i="6"/>
  <c r="BL97" i="6"/>
  <c r="BK97" i="6"/>
  <c r="BI97" i="6"/>
  <c r="BH97" i="6"/>
  <c r="BG97" i="6"/>
  <c r="BE97" i="6"/>
  <c r="BD97" i="6"/>
  <c r="BC97" i="6"/>
  <c r="BA97" i="6"/>
  <c r="AZ97" i="6"/>
  <c r="AY97" i="6"/>
  <c r="AW97" i="6"/>
  <c r="AV97" i="6"/>
  <c r="AU97" i="6"/>
  <c r="AS97" i="6"/>
  <c r="AR97" i="6"/>
  <c r="AQ97" i="6"/>
  <c r="AO97" i="6"/>
  <c r="AN97" i="6"/>
  <c r="AM97" i="6"/>
  <c r="AK97" i="6"/>
  <c r="AJ97" i="6"/>
  <c r="AL97" i="6" s="1"/>
  <c r="AI97" i="6"/>
  <c r="AG97" i="6"/>
  <c r="AF97" i="6"/>
  <c r="AE97" i="6"/>
  <c r="AC97" i="6"/>
  <c r="AB97" i="6"/>
  <c r="AA97" i="6"/>
  <c r="Y97" i="6"/>
  <c r="X97" i="6"/>
  <c r="Z97" i="6" s="1"/>
  <c r="W97" i="6"/>
  <c r="U97" i="6"/>
  <c r="T97" i="6"/>
  <c r="S97" i="6"/>
  <c r="Q97" i="6"/>
  <c r="P97" i="6"/>
  <c r="R97" i="6" s="1"/>
  <c r="O97" i="6"/>
  <c r="M97" i="6"/>
  <c r="L97" i="6"/>
  <c r="N97" i="6" s="1"/>
  <c r="K97" i="6"/>
  <c r="I97" i="6"/>
  <c r="H97" i="6"/>
  <c r="G97" i="6"/>
  <c r="E97" i="6"/>
  <c r="D97" i="6"/>
  <c r="F97" i="6" s="1"/>
  <c r="BS96" i="6"/>
  <c r="BQ96" i="6"/>
  <c r="BP96" i="6"/>
  <c r="BO96" i="6"/>
  <c r="BM96" i="6"/>
  <c r="BL96" i="6"/>
  <c r="BK96" i="6"/>
  <c r="BI96" i="6"/>
  <c r="BH96" i="6"/>
  <c r="BJ96" i="6" s="1"/>
  <c r="BG96" i="6"/>
  <c r="BE96" i="6"/>
  <c r="BD96" i="6"/>
  <c r="BF96" i="6" s="1"/>
  <c r="BC96" i="6"/>
  <c r="BA96" i="6"/>
  <c r="AZ96" i="6"/>
  <c r="AY96" i="6"/>
  <c r="AW96" i="6"/>
  <c r="AV96" i="6"/>
  <c r="AU96" i="6"/>
  <c r="AS96" i="6"/>
  <c r="AR96" i="6"/>
  <c r="AQ96" i="6"/>
  <c r="AO96" i="6"/>
  <c r="AN96" i="6"/>
  <c r="AM96" i="6"/>
  <c r="AK96" i="6"/>
  <c r="AJ96" i="6"/>
  <c r="AI96" i="6"/>
  <c r="AG96" i="6"/>
  <c r="AF96" i="6"/>
  <c r="AH96" i="6" s="1"/>
  <c r="AE96" i="6"/>
  <c r="AC96" i="6"/>
  <c r="AB96" i="6"/>
  <c r="AA96" i="6"/>
  <c r="Y96" i="6"/>
  <c r="X96" i="6"/>
  <c r="Z96" i="6" s="1"/>
  <c r="W96" i="6"/>
  <c r="U96" i="6"/>
  <c r="T96" i="6"/>
  <c r="S96" i="6"/>
  <c r="Q96" i="6"/>
  <c r="P96" i="6"/>
  <c r="O96" i="6"/>
  <c r="M96" i="6"/>
  <c r="L96" i="6"/>
  <c r="N96" i="6" s="1"/>
  <c r="K96" i="6"/>
  <c r="I96" i="6"/>
  <c r="H96" i="6"/>
  <c r="G96" i="6"/>
  <c r="E96" i="6"/>
  <c r="D96" i="6"/>
  <c r="F96" i="6" s="1"/>
  <c r="BS95" i="6"/>
  <c r="BQ95" i="6"/>
  <c r="BP95" i="6"/>
  <c r="BR95" i="6" s="1"/>
  <c r="BO95" i="6"/>
  <c r="BM95" i="6"/>
  <c r="BL95" i="6"/>
  <c r="BK95" i="6"/>
  <c r="BI95" i="6"/>
  <c r="BH95" i="6"/>
  <c r="BG95" i="6"/>
  <c r="BE95" i="6"/>
  <c r="BD95" i="6"/>
  <c r="BC95" i="6"/>
  <c r="BA95" i="6"/>
  <c r="AZ95" i="6"/>
  <c r="AY95" i="6"/>
  <c r="AW95" i="6"/>
  <c r="AV95" i="6"/>
  <c r="AU95" i="6"/>
  <c r="AS95" i="6"/>
  <c r="AR95" i="6"/>
  <c r="AQ95" i="6"/>
  <c r="AO95" i="6"/>
  <c r="AN95" i="6"/>
  <c r="AM95" i="6"/>
  <c r="AK95" i="6"/>
  <c r="AJ95" i="6"/>
  <c r="AI95" i="6"/>
  <c r="AG95" i="6"/>
  <c r="AF95" i="6"/>
  <c r="AE95" i="6"/>
  <c r="AC95" i="6"/>
  <c r="AB95" i="6"/>
  <c r="AA95" i="6"/>
  <c r="Y95" i="6"/>
  <c r="X95" i="6"/>
  <c r="W95" i="6"/>
  <c r="U95" i="6"/>
  <c r="T95" i="6"/>
  <c r="V95" i="6" s="1"/>
  <c r="S95" i="6"/>
  <c r="Q95" i="6"/>
  <c r="P95" i="6"/>
  <c r="O95" i="6"/>
  <c r="M95" i="6"/>
  <c r="L95" i="6"/>
  <c r="K95" i="6"/>
  <c r="I95" i="6"/>
  <c r="H95" i="6"/>
  <c r="G95" i="6"/>
  <c r="E95" i="6"/>
  <c r="D95" i="6"/>
  <c r="BS90" i="3"/>
  <c r="BQ90" i="3"/>
  <c r="BP90" i="3"/>
  <c r="BR90" i="3" s="1"/>
  <c r="BO90" i="3"/>
  <c r="BM90" i="3"/>
  <c r="BL90" i="3"/>
  <c r="BK90" i="3"/>
  <c r="BI90" i="3"/>
  <c r="BH90" i="3"/>
  <c r="BJ90" i="3" s="1"/>
  <c r="BG90" i="3"/>
  <c r="BE90" i="3"/>
  <c r="BD90" i="3"/>
  <c r="BF90" i="3" s="1"/>
  <c r="BC90" i="3"/>
  <c r="BA90" i="3"/>
  <c r="AZ90" i="3"/>
  <c r="AY90" i="3"/>
  <c r="AW90" i="3"/>
  <c r="AV90" i="3"/>
  <c r="AX90" i="3" s="1"/>
  <c r="AU90" i="3"/>
  <c r="AS90" i="3"/>
  <c r="AR90" i="3"/>
  <c r="AQ90" i="3"/>
  <c r="AO90" i="3"/>
  <c r="AN90" i="3"/>
  <c r="AM90" i="3"/>
  <c r="AK90" i="3"/>
  <c r="AJ90" i="3"/>
  <c r="AL90" i="3" s="1"/>
  <c r="AI90" i="3"/>
  <c r="AG90" i="3"/>
  <c r="AF90" i="3"/>
  <c r="AH90" i="3" s="1"/>
  <c r="AE90" i="3"/>
  <c r="AC90" i="3"/>
  <c r="AB90" i="3"/>
  <c r="AA90" i="3"/>
  <c r="Y90" i="3"/>
  <c r="X90" i="3"/>
  <c r="W90" i="3"/>
  <c r="U90" i="3"/>
  <c r="T90" i="3"/>
  <c r="S90" i="3"/>
  <c r="Q90" i="3"/>
  <c r="P90" i="3"/>
  <c r="O90" i="3"/>
  <c r="M90" i="3"/>
  <c r="L90" i="3"/>
  <c r="K90" i="3"/>
  <c r="I90" i="3"/>
  <c r="H90" i="3"/>
  <c r="J90" i="3" s="1"/>
  <c r="G90" i="3"/>
  <c r="E90" i="3"/>
  <c r="D90" i="3"/>
  <c r="BS89" i="3"/>
  <c r="BQ89" i="3"/>
  <c r="BP89" i="3"/>
  <c r="BR89" i="3" s="1"/>
  <c r="BO89" i="3"/>
  <c r="BM89" i="3"/>
  <c r="BL89" i="3"/>
  <c r="BK89" i="3"/>
  <c r="BI89" i="3"/>
  <c r="BH89" i="3"/>
  <c r="BJ89" i="3" s="1"/>
  <c r="BG89" i="3"/>
  <c r="BE89" i="3"/>
  <c r="BD89" i="3"/>
  <c r="BF89" i="3" s="1"/>
  <c r="BC89" i="3"/>
  <c r="BA89" i="3"/>
  <c r="AZ89" i="3"/>
  <c r="BB89" i="3" s="1"/>
  <c r="AY89" i="3"/>
  <c r="AW89" i="3"/>
  <c r="AV89" i="3"/>
  <c r="AX89" i="3" s="1"/>
  <c r="AU89" i="3"/>
  <c r="AS89" i="3"/>
  <c r="AR89" i="3"/>
  <c r="AT89" i="3" s="1"/>
  <c r="AQ89" i="3"/>
  <c r="AO89" i="3"/>
  <c r="AN89" i="3"/>
  <c r="AM89" i="3"/>
  <c r="AK89" i="3"/>
  <c r="AJ89" i="3"/>
  <c r="AL89" i="3" s="1"/>
  <c r="AI89" i="3"/>
  <c r="AG89" i="3"/>
  <c r="AF89" i="3"/>
  <c r="AH89" i="3" s="1"/>
  <c r="AE89" i="3"/>
  <c r="AC89" i="3"/>
  <c r="AB89" i="3"/>
  <c r="AA89" i="3"/>
  <c r="Y89" i="3"/>
  <c r="X89" i="3"/>
  <c r="Z89" i="3" s="1"/>
  <c r="W89" i="3"/>
  <c r="U89" i="3"/>
  <c r="T89" i="3"/>
  <c r="S89" i="3"/>
  <c r="Q89" i="3"/>
  <c r="P89" i="3"/>
  <c r="O89" i="3"/>
  <c r="M89" i="3"/>
  <c r="L89" i="3"/>
  <c r="K89" i="3"/>
  <c r="I89" i="3"/>
  <c r="H89" i="3"/>
  <c r="G89" i="3"/>
  <c r="E89" i="3"/>
  <c r="D89" i="3"/>
  <c r="BS88" i="3"/>
  <c r="BQ88" i="3"/>
  <c r="BP88" i="3"/>
  <c r="BO88" i="3"/>
  <c r="BM88" i="3"/>
  <c r="BL88" i="3"/>
  <c r="BN88" i="3" s="1"/>
  <c r="BK88" i="3"/>
  <c r="BI88" i="3"/>
  <c r="BH88" i="3"/>
  <c r="BJ88" i="3" s="1"/>
  <c r="BG88" i="3"/>
  <c r="BE88" i="3"/>
  <c r="BD88" i="3"/>
  <c r="BF88" i="3" s="1"/>
  <c r="BC88" i="3"/>
  <c r="BA88" i="3"/>
  <c r="AZ88" i="3"/>
  <c r="AY88" i="3"/>
  <c r="AW88" i="3"/>
  <c r="AV88" i="3"/>
  <c r="AU88" i="3"/>
  <c r="AS88" i="3"/>
  <c r="AR88" i="3"/>
  <c r="AT88" i="3" s="1"/>
  <c r="AQ88" i="3"/>
  <c r="AO88" i="3"/>
  <c r="AN88" i="3"/>
  <c r="AP88" i="3" s="1"/>
  <c r="AM88" i="3"/>
  <c r="AK88" i="3"/>
  <c r="AJ88" i="3"/>
  <c r="AL88" i="3" s="1"/>
  <c r="AI88" i="3"/>
  <c r="AG88" i="3"/>
  <c r="AF88" i="3"/>
  <c r="AE88" i="3"/>
  <c r="AC88" i="3"/>
  <c r="AB88" i="3"/>
  <c r="AA88" i="3"/>
  <c r="Y88" i="3"/>
  <c r="X88" i="3"/>
  <c r="Z88" i="3" s="1"/>
  <c r="W88" i="3"/>
  <c r="U88" i="3"/>
  <c r="T88" i="3"/>
  <c r="V88" i="3" s="1"/>
  <c r="S88" i="3"/>
  <c r="Q88" i="3"/>
  <c r="P88" i="3"/>
  <c r="O88" i="3"/>
  <c r="M88" i="3"/>
  <c r="L88" i="3"/>
  <c r="K88" i="3"/>
  <c r="I88" i="3"/>
  <c r="H88" i="3"/>
  <c r="J88" i="3" s="1"/>
  <c r="G88" i="3"/>
  <c r="E88" i="3"/>
  <c r="D88" i="3"/>
  <c r="BS87" i="3"/>
  <c r="BQ87" i="3"/>
  <c r="BP87" i="3"/>
  <c r="BO87" i="3"/>
  <c r="BM87" i="3"/>
  <c r="BL87" i="3"/>
  <c r="BK87" i="3"/>
  <c r="BI87" i="3"/>
  <c r="BH87" i="3"/>
  <c r="BG87" i="3"/>
  <c r="BE87" i="3"/>
  <c r="BD87" i="3"/>
  <c r="BC87" i="3"/>
  <c r="BA87" i="3"/>
  <c r="AZ87" i="3"/>
  <c r="BB87" i="3" s="1"/>
  <c r="AY87" i="3"/>
  <c r="AW87" i="3"/>
  <c r="AV87" i="3"/>
  <c r="AX87" i="3" s="1"/>
  <c r="AU87" i="3"/>
  <c r="AS87" i="3"/>
  <c r="AR87" i="3"/>
  <c r="AT87" i="3" s="1"/>
  <c r="AQ87" i="3"/>
  <c r="AO87" i="3"/>
  <c r="AN87" i="3"/>
  <c r="AM87" i="3"/>
  <c r="AK87" i="3"/>
  <c r="AJ87" i="3"/>
  <c r="AL87" i="3" s="1"/>
  <c r="AI87" i="3"/>
  <c r="AG87" i="3"/>
  <c r="AF87" i="3"/>
  <c r="AH87" i="3" s="1"/>
  <c r="AE87" i="3"/>
  <c r="AC87" i="3"/>
  <c r="AB87" i="3"/>
  <c r="AD87" i="3" s="1"/>
  <c r="AA87" i="3"/>
  <c r="Y87" i="3"/>
  <c r="X87" i="3"/>
  <c r="Z87" i="3" s="1"/>
  <c r="W87" i="3"/>
  <c r="U87" i="3"/>
  <c r="T87" i="3"/>
  <c r="V87" i="3" s="1"/>
  <c r="S87" i="3"/>
  <c r="Q87" i="3"/>
  <c r="P87" i="3"/>
  <c r="O87" i="3"/>
  <c r="M87" i="3"/>
  <c r="L87" i="3"/>
  <c r="K87" i="3"/>
  <c r="I87" i="3"/>
  <c r="H87" i="3"/>
  <c r="J87" i="3" s="1"/>
  <c r="G87" i="3"/>
  <c r="E87" i="3"/>
  <c r="D87" i="3"/>
  <c r="BS86" i="3"/>
  <c r="BQ86" i="3"/>
  <c r="BP86" i="3"/>
  <c r="BR86" i="3" s="1"/>
  <c r="BO86" i="3"/>
  <c r="BM86" i="3"/>
  <c r="BL86" i="3"/>
  <c r="BN86" i="3" s="1"/>
  <c r="BK86" i="3"/>
  <c r="BI86" i="3"/>
  <c r="BH86" i="3"/>
  <c r="BG86" i="3"/>
  <c r="BE86" i="3"/>
  <c r="BD86" i="3"/>
  <c r="BC86" i="3"/>
  <c r="BA86" i="3"/>
  <c r="AZ86" i="3"/>
  <c r="AY86" i="3"/>
  <c r="AW86" i="3"/>
  <c r="AV86" i="3"/>
  <c r="AU86" i="3"/>
  <c r="AS86" i="3"/>
  <c r="AR86" i="3"/>
  <c r="AQ86" i="3"/>
  <c r="AO86" i="3"/>
  <c r="AN86" i="3"/>
  <c r="AM86" i="3"/>
  <c r="AK86" i="3"/>
  <c r="AJ86" i="3"/>
  <c r="AL86" i="3" s="1"/>
  <c r="AI86" i="3"/>
  <c r="AG86" i="3"/>
  <c r="AF86" i="3"/>
  <c r="AH86" i="3" s="1"/>
  <c r="AE86" i="3"/>
  <c r="AC86" i="3"/>
  <c r="AB86" i="3"/>
  <c r="AA86" i="3"/>
  <c r="Y86" i="3"/>
  <c r="X86" i="3"/>
  <c r="Z86" i="3" s="1"/>
  <c r="W86" i="3"/>
  <c r="U86" i="3"/>
  <c r="T86" i="3"/>
  <c r="S86" i="3"/>
  <c r="Q86" i="3"/>
  <c r="P86" i="3"/>
  <c r="R86" i="3" s="1"/>
  <c r="O86" i="3"/>
  <c r="M86" i="3"/>
  <c r="L86" i="3"/>
  <c r="N86" i="3" s="1"/>
  <c r="K86" i="3"/>
  <c r="I86" i="3"/>
  <c r="H86" i="3"/>
  <c r="G86" i="3"/>
  <c r="E86" i="3"/>
  <c r="D86" i="3"/>
  <c r="BS85" i="3"/>
  <c r="BQ85" i="3"/>
  <c r="BP85" i="3"/>
  <c r="BR85" i="3" s="1"/>
  <c r="BO85" i="3"/>
  <c r="BM85" i="3"/>
  <c r="BL85" i="3"/>
  <c r="BN85" i="3" s="1"/>
  <c r="BK85" i="3"/>
  <c r="BI85" i="3"/>
  <c r="BH85" i="3"/>
  <c r="BG85" i="3"/>
  <c r="BE85" i="3"/>
  <c r="BD85" i="3"/>
  <c r="BF85" i="3" s="1"/>
  <c r="BC85" i="3"/>
  <c r="BA85" i="3"/>
  <c r="AZ85" i="3"/>
  <c r="BB85" i="3" s="1"/>
  <c r="AY85" i="3"/>
  <c r="AW85" i="3"/>
  <c r="AV85" i="3"/>
  <c r="AU85" i="3"/>
  <c r="AS85" i="3"/>
  <c r="AR85" i="3"/>
  <c r="AQ85" i="3"/>
  <c r="AO85" i="3"/>
  <c r="AN85" i="3"/>
  <c r="AM85" i="3"/>
  <c r="AK85" i="3"/>
  <c r="AJ85" i="3"/>
  <c r="AI85" i="3"/>
  <c r="AG85" i="3"/>
  <c r="AF85" i="3"/>
  <c r="AE85" i="3"/>
  <c r="AC85" i="3"/>
  <c r="AB85" i="3"/>
  <c r="AD85" i="3" s="1"/>
  <c r="AA85" i="3"/>
  <c r="Y85" i="3"/>
  <c r="X85" i="3"/>
  <c r="Z85" i="3" s="1"/>
  <c r="W85" i="3"/>
  <c r="U85" i="3"/>
  <c r="T85" i="3"/>
  <c r="V85" i="3" s="1"/>
  <c r="S85" i="3"/>
  <c r="Q85" i="3"/>
  <c r="P85" i="3"/>
  <c r="R85" i="3" s="1"/>
  <c r="O85" i="3"/>
  <c r="M85" i="3"/>
  <c r="L85" i="3"/>
  <c r="N85" i="3" s="1"/>
  <c r="K85" i="3"/>
  <c r="I85" i="3"/>
  <c r="H85" i="3"/>
  <c r="G85" i="3"/>
  <c r="E85" i="3"/>
  <c r="D85" i="3"/>
  <c r="F85" i="3" s="1"/>
  <c r="BS84" i="3"/>
  <c r="BQ84" i="3"/>
  <c r="BP84" i="3"/>
  <c r="BR84" i="3" s="1"/>
  <c r="BO84" i="3"/>
  <c r="BM84" i="3"/>
  <c r="BL84" i="3"/>
  <c r="BK84" i="3"/>
  <c r="BI84" i="3"/>
  <c r="BH84" i="3"/>
  <c r="BG84" i="3"/>
  <c r="BE84" i="3"/>
  <c r="BD84" i="3"/>
  <c r="BF84" i="3" s="1"/>
  <c r="BC84" i="3"/>
  <c r="BA84" i="3"/>
  <c r="AZ84" i="3"/>
  <c r="BB84" i="3" s="1"/>
  <c r="AY84" i="3"/>
  <c r="AW84" i="3"/>
  <c r="AV84" i="3"/>
  <c r="AU84" i="3"/>
  <c r="AS84" i="3"/>
  <c r="AR84" i="3"/>
  <c r="AQ84" i="3"/>
  <c r="AO84" i="3"/>
  <c r="AN84" i="3"/>
  <c r="AP84" i="3" s="1"/>
  <c r="AM84" i="3"/>
  <c r="AK84" i="3"/>
  <c r="AJ84" i="3"/>
  <c r="AI84" i="3"/>
  <c r="AG84" i="3"/>
  <c r="AF84" i="3"/>
  <c r="AH84" i="3" s="1"/>
  <c r="AE84" i="3"/>
  <c r="AC84" i="3"/>
  <c r="AB84" i="3"/>
  <c r="AA84" i="3"/>
  <c r="Y84" i="3"/>
  <c r="X84" i="3"/>
  <c r="W84" i="3"/>
  <c r="U84" i="3"/>
  <c r="T84" i="3"/>
  <c r="S84" i="3"/>
  <c r="Q84" i="3"/>
  <c r="P84" i="3"/>
  <c r="O84" i="3"/>
  <c r="M84" i="3"/>
  <c r="L84" i="3"/>
  <c r="N84" i="3" s="1"/>
  <c r="K84" i="3"/>
  <c r="I84" i="3"/>
  <c r="H84" i="3"/>
  <c r="G84" i="3"/>
  <c r="E84" i="3"/>
  <c r="D84" i="3"/>
  <c r="BS83" i="3"/>
  <c r="BQ83" i="3"/>
  <c r="BP83" i="3"/>
  <c r="BR83" i="3" s="1"/>
  <c r="BO83" i="3"/>
  <c r="BM83" i="3"/>
  <c r="BL83" i="3"/>
  <c r="BN83" i="3" s="1"/>
  <c r="BK83" i="3"/>
  <c r="BI83" i="3"/>
  <c r="BH83" i="3"/>
  <c r="BJ83" i="3" s="1"/>
  <c r="BG83" i="3"/>
  <c r="BE83" i="3"/>
  <c r="BD83" i="3"/>
  <c r="BF83" i="3" s="1"/>
  <c r="BC83" i="3"/>
  <c r="BA83" i="3"/>
  <c r="AZ83" i="3"/>
  <c r="BB83" i="3" s="1"/>
  <c r="AY83" i="3"/>
  <c r="AW83" i="3"/>
  <c r="AV83" i="3"/>
  <c r="AU83" i="3"/>
  <c r="AS83" i="3"/>
  <c r="AR83" i="3"/>
  <c r="AT83" i="3" s="1"/>
  <c r="AQ83" i="3"/>
  <c r="AO83" i="3"/>
  <c r="AN83" i="3"/>
  <c r="AP83" i="3" s="1"/>
  <c r="AM83" i="3"/>
  <c r="AK83" i="3"/>
  <c r="AJ83" i="3"/>
  <c r="AI83" i="3"/>
  <c r="AG83" i="3"/>
  <c r="AF83" i="3"/>
  <c r="AH83" i="3" s="1"/>
  <c r="AE83" i="3"/>
  <c r="AC83" i="3"/>
  <c r="AB83" i="3"/>
  <c r="AD83" i="3" s="1"/>
  <c r="AA83" i="3"/>
  <c r="Y83" i="3"/>
  <c r="X83" i="3"/>
  <c r="W83" i="3"/>
  <c r="U83" i="3"/>
  <c r="T83" i="3"/>
  <c r="V83" i="3" s="1"/>
  <c r="S83" i="3"/>
  <c r="Q83" i="3"/>
  <c r="P83" i="3"/>
  <c r="O83" i="3"/>
  <c r="M83" i="3"/>
  <c r="L83" i="3"/>
  <c r="K83" i="3"/>
  <c r="I83" i="3"/>
  <c r="H83" i="3"/>
  <c r="G83" i="3"/>
  <c r="E83" i="3"/>
  <c r="D83" i="3"/>
  <c r="F83" i="3" s="1"/>
  <c r="BS82" i="3"/>
  <c r="BQ82" i="3"/>
  <c r="BP82" i="3"/>
  <c r="BR82" i="3" s="1"/>
  <c r="BO82" i="3"/>
  <c r="BM82" i="3"/>
  <c r="BL82" i="3"/>
  <c r="BK82" i="3"/>
  <c r="BI82" i="3"/>
  <c r="BH82" i="3"/>
  <c r="BG82" i="3"/>
  <c r="BE82" i="3"/>
  <c r="BD82" i="3"/>
  <c r="BC82" i="3"/>
  <c r="BA82" i="3"/>
  <c r="AZ82" i="3"/>
  <c r="BB82" i="3" s="1"/>
  <c r="AY82" i="3"/>
  <c r="AW82" i="3"/>
  <c r="AV82" i="3"/>
  <c r="AU82" i="3"/>
  <c r="AS82" i="3"/>
  <c r="AR82" i="3"/>
  <c r="AT82" i="3" s="1"/>
  <c r="AQ82" i="3"/>
  <c r="AO82" i="3"/>
  <c r="AN82" i="3"/>
  <c r="AP82" i="3" s="1"/>
  <c r="AM82" i="3"/>
  <c r="AK82" i="3"/>
  <c r="AJ82" i="3"/>
  <c r="AI82" i="3"/>
  <c r="AG82" i="3"/>
  <c r="AF82" i="3"/>
  <c r="AE82" i="3"/>
  <c r="AC82" i="3"/>
  <c r="AB82" i="3"/>
  <c r="AD82" i="3" s="1"/>
  <c r="AA82" i="3"/>
  <c r="Y82" i="3"/>
  <c r="X82" i="3"/>
  <c r="W82" i="3"/>
  <c r="U82" i="3"/>
  <c r="T82" i="3"/>
  <c r="V82" i="3" s="1"/>
  <c r="S82" i="3"/>
  <c r="Q82" i="3"/>
  <c r="P82" i="3"/>
  <c r="O82" i="3"/>
  <c r="M82" i="3"/>
  <c r="L82" i="3"/>
  <c r="K82" i="3"/>
  <c r="I82" i="3"/>
  <c r="H82" i="3"/>
  <c r="G82" i="3"/>
  <c r="E82" i="3"/>
  <c r="D82" i="3"/>
  <c r="BS81" i="3"/>
  <c r="BQ81" i="3"/>
  <c r="BP81" i="3"/>
  <c r="BO81" i="3"/>
  <c r="BM81" i="3"/>
  <c r="BL81" i="3"/>
  <c r="BK81" i="3"/>
  <c r="BI81" i="3"/>
  <c r="BH81" i="3"/>
  <c r="BJ81" i="3" s="1"/>
  <c r="BG81" i="3"/>
  <c r="BE81" i="3"/>
  <c r="BD81" i="3"/>
  <c r="BF81" i="3" s="1"/>
  <c r="BC81" i="3"/>
  <c r="BA81" i="3"/>
  <c r="AZ81" i="3"/>
  <c r="AY81" i="3"/>
  <c r="AW81" i="3"/>
  <c r="AV81" i="3"/>
  <c r="AX81" i="3" s="1"/>
  <c r="AU81" i="3"/>
  <c r="AS81" i="3"/>
  <c r="AR81" i="3"/>
  <c r="AQ81" i="3"/>
  <c r="AO81" i="3"/>
  <c r="AN81" i="3"/>
  <c r="AM81" i="3"/>
  <c r="AK81" i="3"/>
  <c r="AJ81" i="3"/>
  <c r="AI81" i="3"/>
  <c r="AG81" i="3"/>
  <c r="AF81" i="3"/>
  <c r="AH81" i="3" s="1"/>
  <c r="AE81" i="3"/>
  <c r="AC81" i="3"/>
  <c r="AB81" i="3"/>
  <c r="AD81" i="3" s="1"/>
  <c r="AA81" i="3"/>
  <c r="Y81" i="3"/>
  <c r="X81" i="3"/>
  <c r="W81" i="3"/>
  <c r="U81" i="3"/>
  <c r="T81" i="3"/>
  <c r="V81" i="3" s="1"/>
  <c r="S81" i="3"/>
  <c r="Q81" i="3"/>
  <c r="P81" i="3"/>
  <c r="O81" i="3"/>
  <c r="M81" i="3"/>
  <c r="L81" i="3"/>
  <c r="K81" i="3"/>
  <c r="I81" i="3"/>
  <c r="H81" i="3"/>
  <c r="J81" i="3" s="1"/>
  <c r="G81" i="3"/>
  <c r="E81" i="3"/>
  <c r="D81" i="3"/>
  <c r="F81" i="3" s="1"/>
  <c r="BS80" i="3"/>
  <c r="BQ80" i="3"/>
  <c r="BP80" i="3"/>
  <c r="BO80" i="3"/>
  <c r="BM80" i="3"/>
  <c r="BL80" i="3"/>
  <c r="BN80" i="3" s="1"/>
  <c r="BK80" i="3"/>
  <c r="BI80" i="3"/>
  <c r="BH80" i="3"/>
  <c r="BG80" i="3"/>
  <c r="BE80" i="3"/>
  <c r="BD80" i="3"/>
  <c r="BC80" i="3"/>
  <c r="BA80" i="3"/>
  <c r="AZ80" i="3"/>
  <c r="AY80" i="3"/>
  <c r="AW80" i="3"/>
  <c r="AV80" i="3"/>
  <c r="AX80" i="3" s="1"/>
  <c r="AU80" i="3"/>
  <c r="AS80" i="3"/>
  <c r="AR80" i="3"/>
  <c r="AQ80" i="3"/>
  <c r="AO80" i="3"/>
  <c r="AN80" i="3"/>
  <c r="AM80" i="3"/>
  <c r="AK80" i="3"/>
  <c r="AJ80" i="3"/>
  <c r="AL80" i="3" s="1"/>
  <c r="AI80" i="3"/>
  <c r="AG80" i="3"/>
  <c r="AF80" i="3"/>
  <c r="AE80" i="3"/>
  <c r="AC80" i="3"/>
  <c r="AB80" i="3"/>
  <c r="AD80" i="3" s="1"/>
  <c r="AA80" i="3"/>
  <c r="Y80" i="3"/>
  <c r="X80" i="3"/>
  <c r="Z80" i="3" s="1"/>
  <c r="W80" i="3"/>
  <c r="U80" i="3"/>
  <c r="T80" i="3"/>
  <c r="S80" i="3"/>
  <c r="Q80" i="3"/>
  <c r="P80" i="3"/>
  <c r="R80" i="3" s="1"/>
  <c r="O80" i="3"/>
  <c r="M80" i="3"/>
  <c r="L80" i="3"/>
  <c r="K80" i="3"/>
  <c r="I80" i="3"/>
  <c r="H80" i="3"/>
  <c r="J80" i="3" s="1"/>
  <c r="G80" i="3"/>
  <c r="E80" i="3"/>
  <c r="D80" i="3"/>
  <c r="BS79" i="3"/>
  <c r="BQ79" i="3"/>
  <c r="BP79" i="3"/>
  <c r="BO79" i="3"/>
  <c r="BM79" i="3"/>
  <c r="BL79" i="3"/>
  <c r="BN79" i="3" s="1"/>
  <c r="BK79" i="3"/>
  <c r="BI79" i="3"/>
  <c r="BH79" i="3"/>
  <c r="BJ79" i="3" s="1"/>
  <c r="BG79" i="3"/>
  <c r="BE79" i="3"/>
  <c r="BD79" i="3"/>
  <c r="BC79" i="3"/>
  <c r="BA79" i="3"/>
  <c r="AZ79" i="3"/>
  <c r="AY79" i="3"/>
  <c r="AW79" i="3"/>
  <c r="AV79" i="3"/>
  <c r="AU79" i="3"/>
  <c r="AS79" i="3"/>
  <c r="AR79" i="3"/>
  <c r="AQ79" i="3"/>
  <c r="AO79" i="3"/>
  <c r="AN79" i="3"/>
  <c r="AM79" i="3"/>
  <c r="AK79" i="3"/>
  <c r="AJ79" i="3"/>
  <c r="AL79" i="3" s="1"/>
  <c r="AI79" i="3"/>
  <c r="AG79" i="3"/>
  <c r="AF79" i="3"/>
  <c r="AH79" i="3" s="1"/>
  <c r="AE79" i="3"/>
  <c r="AC79" i="3"/>
  <c r="AB79" i="3"/>
  <c r="AA79" i="3"/>
  <c r="Y79" i="3"/>
  <c r="X79" i="3"/>
  <c r="Z79" i="3" s="1"/>
  <c r="W79" i="3"/>
  <c r="U79" i="3"/>
  <c r="T79" i="3"/>
  <c r="V79" i="3" s="1"/>
  <c r="S79" i="3"/>
  <c r="Q79" i="3"/>
  <c r="P79" i="3"/>
  <c r="R79" i="3" s="1"/>
  <c r="O79" i="3"/>
  <c r="M79" i="3"/>
  <c r="L79" i="3"/>
  <c r="N79" i="3" s="1"/>
  <c r="K79" i="3"/>
  <c r="I79" i="3"/>
  <c r="H79" i="3"/>
  <c r="J79" i="3" s="1"/>
  <c r="G79" i="3"/>
  <c r="E79" i="3"/>
  <c r="D79" i="3"/>
  <c r="BS78" i="3"/>
  <c r="BQ78" i="3"/>
  <c r="BP78" i="3"/>
  <c r="BO78" i="3"/>
  <c r="BM78" i="3"/>
  <c r="BL78" i="3"/>
  <c r="BN78" i="3" s="1"/>
  <c r="BK78" i="3"/>
  <c r="BI78" i="3"/>
  <c r="BH78" i="3"/>
  <c r="BJ78" i="3" s="1"/>
  <c r="BG78" i="3"/>
  <c r="BE78" i="3"/>
  <c r="BD78" i="3"/>
  <c r="BC78" i="3"/>
  <c r="BA78" i="3"/>
  <c r="AZ78" i="3"/>
  <c r="BB78" i="3" s="1"/>
  <c r="AY78" i="3"/>
  <c r="AW78" i="3"/>
  <c r="AV78" i="3"/>
  <c r="AX78" i="3" s="1"/>
  <c r="AU78" i="3"/>
  <c r="AS78" i="3"/>
  <c r="AR78" i="3"/>
  <c r="AQ78" i="3"/>
  <c r="AO78" i="3"/>
  <c r="AN78" i="3"/>
  <c r="AM78" i="3"/>
  <c r="AK78" i="3"/>
  <c r="AJ78" i="3"/>
  <c r="AI78" i="3"/>
  <c r="AG78" i="3"/>
  <c r="AF78" i="3"/>
  <c r="AE78" i="3"/>
  <c r="AC78" i="3"/>
  <c r="AB78" i="3"/>
  <c r="AA78" i="3"/>
  <c r="Y78" i="3"/>
  <c r="X78" i="3"/>
  <c r="Z78" i="3" s="1"/>
  <c r="W78" i="3"/>
  <c r="U78" i="3"/>
  <c r="T78" i="3"/>
  <c r="V78" i="3" s="1"/>
  <c r="S78" i="3"/>
  <c r="Q78" i="3"/>
  <c r="P78" i="3"/>
  <c r="O78" i="3"/>
  <c r="M78" i="3"/>
  <c r="L78" i="3"/>
  <c r="K78" i="3"/>
  <c r="I78" i="3"/>
  <c r="H78" i="3"/>
  <c r="G78" i="3"/>
  <c r="E78" i="3"/>
  <c r="D78" i="3"/>
  <c r="F78" i="3" s="1"/>
  <c r="BS77" i="3"/>
  <c r="BQ77" i="3"/>
  <c r="BP77" i="3"/>
  <c r="BR77" i="3" s="1"/>
  <c r="BO77" i="3"/>
  <c r="BM77" i="3"/>
  <c r="BL77" i="3"/>
  <c r="BN77" i="3" s="1"/>
  <c r="BK77" i="3"/>
  <c r="BI77" i="3"/>
  <c r="BH77" i="3"/>
  <c r="BG77" i="3"/>
  <c r="BE77" i="3"/>
  <c r="BD77" i="3"/>
  <c r="BC77" i="3"/>
  <c r="BA77" i="3"/>
  <c r="AZ77" i="3"/>
  <c r="AY77" i="3"/>
  <c r="AW77" i="3"/>
  <c r="AV77" i="3"/>
  <c r="AX77" i="3" s="1"/>
  <c r="AU77" i="3"/>
  <c r="AS77" i="3"/>
  <c r="AR77" i="3"/>
  <c r="AQ77" i="3"/>
  <c r="AO77" i="3"/>
  <c r="AN77" i="3"/>
  <c r="AM77" i="3"/>
  <c r="AK77" i="3"/>
  <c r="AJ77" i="3"/>
  <c r="AL77" i="3" s="1"/>
  <c r="AI77" i="3"/>
  <c r="AG77" i="3"/>
  <c r="AF77" i="3"/>
  <c r="AE77" i="3"/>
  <c r="AC77" i="3"/>
  <c r="AB77" i="3"/>
  <c r="AA77" i="3"/>
  <c r="Y77" i="3"/>
  <c r="X77" i="3"/>
  <c r="W77" i="3"/>
  <c r="U77" i="3"/>
  <c r="T77" i="3"/>
  <c r="S77" i="3"/>
  <c r="Q77" i="3"/>
  <c r="P77" i="3"/>
  <c r="O77" i="3"/>
  <c r="M77" i="3"/>
  <c r="L77" i="3"/>
  <c r="K77" i="3"/>
  <c r="I77" i="3"/>
  <c r="H77" i="3"/>
  <c r="G77" i="3"/>
  <c r="E77" i="3"/>
  <c r="D77" i="3"/>
  <c r="F77" i="3" s="1"/>
  <c r="BS76" i="3"/>
  <c r="BQ76" i="3"/>
  <c r="BP76" i="3"/>
  <c r="BR76" i="3" s="1"/>
  <c r="BO76" i="3"/>
  <c r="BM76" i="3"/>
  <c r="BL76" i="3"/>
  <c r="BN76" i="3" s="1"/>
  <c r="BK76" i="3"/>
  <c r="BI76" i="3"/>
  <c r="BH76" i="3"/>
  <c r="BG76" i="3"/>
  <c r="BE76" i="3"/>
  <c r="BD76" i="3"/>
  <c r="BF76" i="3" s="1"/>
  <c r="BC76" i="3"/>
  <c r="BA76" i="3"/>
  <c r="AZ76" i="3"/>
  <c r="BB76" i="3" s="1"/>
  <c r="AY76" i="3"/>
  <c r="AW76" i="3"/>
  <c r="AV76" i="3"/>
  <c r="AU76" i="3"/>
  <c r="AS76" i="3"/>
  <c r="AR76" i="3"/>
  <c r="AQ76" i="3"/>
  <c r="AO76" i="3"/>
  <c r="AN76" i="3"/>
  <c r="AM76" i="3"/>
  <c r="AK76" i="3"/>
  <c r="AJ76" i="3"/>
  <c r="AL76" i="3" s="1"/>
  <c r="AI76" i="3"/>
  <c r="AG76" i="3"/>
  <c r="AF76" i="3"/>
  <c r="AE76" i="3"/>
  <c r="AC76" i="3"/>
  <c r="AB76" i="3"/>
  <c r="AD76" i="3" s="1"/>
  <c r="AA76" i="3"/>
  <c r="Y76" i="3"/>
  <c r="X76" i="3"/>
  <c r="W76" i="3"/>
  <c r="V76" i="3"/>
  <c r="R76" i="3"/>
  <c r="O76" i="3"/>
  <c r="M76" i="3"/>
  <c r="L76" i="3"/>
  <c r="K76" i="3"/>
  <c r="I76" i="3"/>
  <c r="H76" i="3"/>
  <c r="G76" i="3"/>
  <c r="E76" i="3"/>
  <c r="D76" i="3"/>
  <c r="BS75" i="3"/>
  <c r="BQ75" i="3"/>
  <c r="BP75" i="3"/>
  <c r="BO75" i="3"/>
  <c r="BM75" i="3"/>
  <c r="BL75" i="3"/>
  <c r="BN75" i="3" s="1"/>
  <c r="BK75" i="3"/>
  <c r="BI75" i="3"/>
  <c r="BH75" i="3"/>
  <c r="BJ75" i="3" s="1"/>
  <c r="BG75" i="3"/>
  <c r="BE75" i="3"/>
  <c r="BD75" i="3"/>
  <c r="BC75" i="3"/>
  <c r="BA75" i="3"/>
  <c r="AZ75" i="3"/>
  <c r="BB75" i="3" s="1"/>
  <c r="AY75" i="3"/>
  <c r="AW75" i="3"/>
  <c r="AV75" i="3"/>
  <c r="AU75" i="3"/>
  <c r="AS75" i="3"/>
  <c r="AR75" i="3"/>
  <c r="AT75" i="3" s="1"/>
  <c r="AQ75" i="3"/>
  <c r="AO75" i="3"/>
  <c r="AN75" i="3"/>
  <c r="AP75" i="3" s="1"/>
  <c r="AM75" i="3"/>
  <c r="AK75" i="3"/>
  <c r="AJ75" i="3"/>
  <c r="AI75" i="3"/>
  <c r="AG75" i="3"/>
  <c r="AF75" i="3"/>
  <c r="AE75" i="3"/>
  <c r="AC75" i="3"/>
  <c r="AB75" i="3"/>
  <c r="AA75" i="3"/>
  <c r="Y75" i="3"/>
  <c r="X75" i="3"/>
  <c r="Z75" i="3" s="1"/>
  <c r="W75" i="3"/>
  <c r="U75" i="3"/>
  <c r="T75" i="3"/>
  <c r="V75" i="3" s="1"/>
  <c r="S75" i="3"/>
  <c r="Q75" i="3"/>
  <c r="P75" i="3"/>
  <c r="O75" i="3"/>
  <c r="M75" i="3"/>
  <c r="L75" i="3"/>
  <c r="K75" i="3"/>
  <c r="I75" i="3"/>
  <c r="H75" i="3"/>
  <c r="G75" i="3"/>
  <c r="B75" i="3"/>
  <c r="AL104" i="6" l="1"/>
  <c r="N82" i="3"/>
  <c r="Z83" i="3"/>
  <c r="AL84" i="3"/>
  <c r="AX85" i="3"/>
  <c r="F88" i="3"/>
  <c r="R89" i="3"/>
  <c r="AD90" i="3"/>
  <c r="BB96" i="6"/>
  <c r="BN97" i="6"/>
  <c r="BF103" i="6"/>
  <c r="N106" i="6"/>
  <c r="Z107" i="6"/>
  <c r="AL108" i="6"/>
  <c r="BJ110" i="6"/>
  <c r="AL96" i="6"/>
  <c r="AX97" i="6"/>
  <c r="BJ98" i="6"/>
  <c r="F100" i="6"/>
  <c r="R101" i="6"/>
  <c r="AD102" i="6"/>
  <c r="BB104" i="6"/>
  <c r="BN105" i="6"/>
  <c r="J107" i="6"/>
  <c r="AH109" i="6"/>
  <c r="BB95" i="6"/>
  <c r="V99" i="6"/>
  <c r="BR103" i="6"/>
  <c r="N105" i="6"/>
  <c r="AL107" i="6"/>
  <c r="AX108" i="6"/>
  <c r="BJ109" i="6"/>
  <c r="J95" i="6"/>
  <c r="V96" i="6"/>
  <c r="AH97" i="6"/>
  <c r="AT98" i="6"/>
  <c r="BF101" i="6"/>
  <c r="BB98" i="6"/>
  <c r="BN99" i="6"/>
  <c r="J101" i="6"/>
  <c r="BF105" i="6"/>
  <c r="AE111" i="6"/>
  <c r="AD95" i="6"/>
  <c r="BN98" i="6"/>
  <c r="Z99" i="6"/>
  <c r="AL100" i="6"/>
  <c r="BJ102" i="6"/>
  <c r="F104" i="6"/>
  <c r="BJ97" i="6"/>
  <c r="F99" i="6"/>
  <c r="R100" i="6"/>
  <c r="AD101" i="6"/>
  <c r="N102" i="6"/>
  <c r="Z103" i="6"/>
  <c r="BF108" i="6"/>
  <c r="BR109" i="6"/>
  <c r="AD96" i="6"/>
  <c r="BN95" i="6"/>
  <c r="J97" i="6"/>
  <c r="AH99" i="6"/>
  <c r="AP102" i="6"/>
  <c r="BJ106" i="6"/>
  <c r="AD110" i="6"/>
  <c r="BR98" i="6"/>
  <c r="Z101" i="6"/>
  <c r="R105" i="6"/>
  <c r="AP107" i="6"/>
  <c r="BB108" i="6"/>
  <c r="BN109" i="6"/>
  <c r="BR99" i="6"/>
  <c r="AT104" i="6"/>
  <c r="J98" i="6"/>
  <c r="AT99" i="6"/>
  <c r="BB102" i="6"/>
  <c r="BR106" i="6"/>
  <c r="BR101" i="6"/>
  <c r="Z109" i="6"/>
  <c r="N98" i="6"/>
  <c r="AX99" i="6"/>
  <c r="AH100" i="6"/>
  <c r="BJ100" i="6"/>
  <c r="BF102" i="6"/>
  <c r="AL105" i="6"/>
  <c r="V106" i="6"/>
  <c r="F107" i="6"/>
  <c r="BN110" i="6"/>
  <c r="BB110" i="6"/>
  <c r="BT96" i="6"/>
  <c r="J108" i="6"/>
  <c r="AH107" i="6"/>
  <c r="BJ95" i="6"/>
  <c r="K111" i="6"/>
  <c r="N100" i="6"/>
  <c r="BF104" i="6"/>
  <c r="BF99" i="6"/>
  <c r="BN102" i="6"/>
  <c r="AP95" i="6"/>
  <c r="V100" i="6"/>
  <c r="AD103" i="6"/>
  <c r="BV108" i="6"/>
  <c r="BV103" i="6"/>
  <c r="V108" i="6"/>
  <c r="BV105" i="6"/>
  <c r="AD106" i="6"/>
  <c r="R95" i="6"/>
  <c r="Z98" i="6"/>
  <c r="F101" i="6"/>
  <c r="BR102" i="6"/>
  <c r="V105" i="6"/>
  <c r="AH106" i="6"/>
  <c r="BF106" i="6"/>
  <c r="R107" i="6"/>
  <c r="AD108" i="6"/>
  <c r="N109" i="6"/>
  <c r="Z110" i="6"/>
  <c r="R77" i="3"/>
  <c r="AD78" i="3"/>
  <c r="AP79" i="3"/>
  <c r="BB80" i="3"/>
  <c r="BN81" i="3"/>
  <c r="AH85" i="3"/>
  <c r="AT86" i="3"/>
  <c r="BF87" i="3"/>
  <c r="BR88" i="3"/>
  <c r="N90" i="3"/>
  <c r="BJ82" i="3"/>
  <c r="F84" i="3"/>
  <c r="AD86" i="3"/>
  <c r="AP87" i="3"/>
  <c r="BN89" i="3"/>
  <c r="F76" i="3"/>
  <c r="V77" i="3"/>
  <c r="AT79" i="3"/>
  <c r="BF80" i="3"/>
  <c r="BR81" i="3"/>
  <c r="N83" i="3"/>
  <c r="Z84" i="3"/>
  <c r="AL85" i="3"/>
  <c r="AX86" i="3"/>
  <c r="BJ87" i="3"/>
  <c r="F89" i="3"/>
  <c r="R90" i="3"/>
  <c r="J76" i="3"/>
  <c r="Z77" i="3"/>
  <c r="AL78" i="3"/>
  <c r="AX79" i="3"/>
  <c r="BJ80" i="3"/>
  <c r="F82" i="3"/>
  <c r="R83" i="3"/>
  <c r="AP85" i="3"/>
  <c r="BB86" i="3"/>
  <c r="BN87" i="3"/>
  <c r="V90" i="3"/>
  <c r="N76" i="3"/>
  <c r="AD77" i="3"/>
  <c r="AP78" i="3"/>
  <c r="J82" i="3"/>
  <c r="AH76" i="3"/>
  <c r="AT77" i="3"/>
  <c r="BF78" i="3"/>
  <c r="BR79" i="3"/>
  <c r="N81" i="3"/>
  <c r="Z82" i="3"/>
  <c r="AL83" i="3"/>
  <c r="BJ85" i="3"/>
  <c r="F87" i="3"/>
  <c r="R88" i="3"/>
  <c r="AD89" i="3"/>
  <c r="AP90" i="3"/>
  <c r="AD75" i="3"/>
  <c r="AT76" i="3"/>
  <c r="BF77" i="3"/>
  <c r="N80" i="3"/>
  <c r="L91" i="3"/>
  <c r="BV77" i="3"/>
  <c r="R81" i="3"/>
  <c r="BJ86" i="3"/>
  <c r="J83" i="3"/>
  <c r="BT89" i="3"/>
  <c r="AH77" i="3"/>
  <c r="AT78" i="3"/>
  <c r="AP80" i="3"/>
  <c r="BB81" i="3"/>
  <c r="AX83" i="3"/>
  <c r="BJ84" i="3"/>
  <c r="N89" i="3"/>
  <c r="AX76" i="3"/>
  <c r="F79" i="3"/>
  <c r="BF79" i="3"/>
  <c r="BR80" i="3"/>
  <c r="BN82" i="3"/>
  <c r="F86" i="3"/>
  <c r="R87" i="3"/>
  <c r="AD88" i="3"/>
  <c r="AP89" i="3"/>
  <c r="BB90" i="3"/>
  <c r="V104" i="6"/>
  <c r="BB97" i="6"/>
  <c r="R96" i="6"/>
  <c r="BG111" i="6"/>
  <c r="AQ111" i="6"/>
  <c r="BT104" i="6"/>
  <c r="AP96" i="6"/>
  <c r="AT101" i="6"/>
  <c r="AT105" i="6"/>
  <c r="Z106" i="6"/>
  <c r="BT106" i="6"/>
  <c r="BF107" i="6"/>
  <c r="AX110" i="6"/>
  <c r="BF109" i="6"/>
  <c r="M111" i="6"/>
  <c r="BJ103" i="6"/>
  <c r="BJ111" i="6" s="1"/>
  <c r="BB106" i="6"/>
  <c r="R108" i="6"/>
  <c r="AP108" i="6"/>
  <c r="V109" i="6"/>
  <c r="BT108" i="6"/>
  <c r="U111" i="6"/>
  <c r="BV100" i="6"/>
  <c r="AT96" i="6"/>
  <c r="BR96" i="6"/>
  <c r="BJ99" i="6"/>
  <c r="AX101" i="6"/>
  <c r="F102" i="6"/>
  <c r="N103" i="6"/>
  <c r="R104" i="6"/>
  <c r="AX105" i="6"/>
  <c r="F106" i="6"/>
  <c r="BJ107" i="6"/>
  <c r="AD97" i="6"/>
  <c r="AH98" i="6"/>
  <c r="N99" i="6"/>
  <c r="AT100" i="6"/>
  <c r="BR100" i="6"/>
  <c r="J102" i="6"/>
  <c r="AP103" i="6"/>
  <c r="BR104" i="6"/>
  <c r="AX109" i="6"/>
  <c r="F110" i="6"/>
  <c r="AW111" i="6"/>
  <c r="J106" i="6"/>
  <c r="AH110" i="6"/>
  <c r="BV110" i="6"/>
  <c r="W111" i="6"/>
  <c r="AX95" i="6"/>
  <c r="BT98" i="6"/>
  <c r="BK111" i="6"/>
  <c r="AH101" i="6"/>
  <c r="AH105" i="6"/>
  <c r="S111" i="6"/>
  <c r="AT107" i="6"/>
  <c r="AL110" i="6"/>
  <c r="J96" i="6"/>
  <c r="AP97" i="6"/>
  <c r="BF100" i="6"/>
  <c r="V102" i="6"/>
  <c r="AT102" i="6"/>
  <c r="BB103" i="6"/>
  <c r="AH108" i="6"/>
  <c r="AL109" i="6"/>
  <c r="AG111" i="6"/>
  <c r="N110" i="6"/>
  <c r="AM111" i="6"/>
  <c r="BN96" i="6"/>
  <c r="V97" i="6"/>
  <c r="Z102" i="6"/>
  <c r="AH103" i="6"/>
  <c r="N104" i="6"/>
  <c r="BR105" i="6"/>
  <c r="N108" i="6"/>
  <c r="R109" i="6"/>
  <c r="AZ91" i="3"/>
  <c r="BV84" i="3"/>
  <c r="BB88" i="3"/>
  <c r="BV80" i="3"/>
  <c r="AR91" i="3"/>
  <c r="AT90" i="3"/>
  <c r="N77" i="3"/>
  <c r="AD79" i="3"/>
  <c r="V84" i="3"/>
  <c r="AX84" i="3"/>
  <c r="BF82" i="3"/>
  <c r="AP86" i="3"/>
  <c r="AH88" i="3"/>
  <c r="AG91" i="3"/>
  <c r="BG91" i="3"/>
  <c r="BT76" i="3"/>
  <c r="X91" i="3"/>
  <c r="Z90" i="3"/>
  <c r="BJ76" i="3"/>
  <c r="BC91" i="3"/>
  <c r="AT80" i="3"/>
  <c r="BV83" i="3"/>
  <c r="AD84" i="3"/>
  <c r="T91" i="3"/>
  <c r="N88" i="3"/>
  <c r="G91" i="3"/>
  <c r="AL82" i="3"/>
  <c r="BE91" i="3"/>
  <c r="F90" i="3"/>
  <c r="AO91" i="3"/>
  <c r="AH78" i="3"/>
  <c r="AI91" i="3"/>
  <c r="AQ91" i="3"/>
  <c r="BV90" i="3"/>
  <c r="J84" i="3"/>
  <c r="AK91" i="3"/>
  <c r="BB77" i="3"/>
  <c r="R82" i="3"/>
  <c r="AT85" i="3"/>
  <c r="BU85" i="3" s="1"/>
  <c r="O91" i="3"/>
  <c r="N87" i="3"/>
  <c r="N78" i="3"/>
  <c r="AL81" i="3"/>
  <c r="BM91" i="3"/>
  <c r="BT80" i="3"/>
  <c r="BN90" i="3"/>
  <c r="Z76" i="3"/>
  <c r="J77" i="3"/>
  <c r="R78" i="3"/>
  <c r="BR78" i="3"/>
  <c r="AH80" i="3"/>
  <c r="AP81" i="3"/>
  <c r="R84" i="3"/>
  <c r="J86" i="3"/>
  <c r="V89" i="3"/>
  <c r="BV89" i="3"/>
  <c r="BX89" i="3" s="1"/>
  <c r="J89" i="3"/>
  <c r="BV88" i="3"/>
  <c r="BR87" i="3"/>
  <c r="AY91" i="3"/>
  <c r="BV86" i="3"/>
  <c r="S91" i="3"/>
  <c r="BK91" i="3"/>
  <c r="AS91" i="3"/>
  <c r="J85" i="3"/>
  <c r="AU91" i="3"/>
  <c r="AX82" i="3"/>
  <c r="BT82" i="3"/>
  <c r="W91" i="3"/>
  <c r="U91" i="3"/>
  <c r="BV79" i="3"/>
  <c r="K91" i="3"/>
  <c r="BV76" i="3"/>
  <c r="N75" i="3"/>
  <c r="BV102" i="6"/>
  <c r="H111" i="6"/>
  <c r="BS111" i="6"/>
  <c r="BV96" i="6"/>
  <c r="F108" i="6"/>
  <c r="AR111" i="6"/>
  <c r="AT95" i="6"/>
  <c r="BO111" i="6"/>
  <c r="BV95" i="6"/>
  <c r="BT99" i="6"/>
  <c r="AS111" i="6"/>
  <c r="AX96" i="6"/>
  <c r="AY111" i="6"/>
  <c r="BF97" i="6"/>
  <c r="BV106" i="6"/>
  <c r="AP98" i="6"/>
  <c r="AO111" i="6"/>
  <c r="BC111" i="6"/>
  <c r="BB105" i="6"/>
  <c r="BB111" i="6" s="1"/>
  <c r="BT103" i="6"/>
  <c r="AF111" i="6"/>
  <c r="AH95" i="6"/>
  <c r="T111" i="6"/>
  <c r="AN111" i="6"/>
  <c r="BI111" i="6"/>
  <c r="BV97" i="6"/>
  <c r="BN107" i="6"/>
  <c r="BQ111" i="6"/>
  <c r="AT97" i="6"/>
  <c r="BT105" i="6"/>
  <c r="BH111" i="6"/>
  <c r="BM111" i="6"/>
  <c r="AT110" i="6"/>
  <c r="X111" i="6"/>
  <c r="BV99" i="6"/>
  <c r="BV109" i="6"/>
  <c r="Y111" i="6"/>
  <c r="AU111" i="6"/>
  <c r="D111" i="6"/>
  <c r="Z95" i="6"/>
  <c r="BV104" i="6"/>
  <c r="E111" i="6"/>
  <c r="AA111" i="6"/>
  <c r="BT95" i="6"/>
  <c r="AV111" i="6"/>
  <c r="F95" i="6"/>
  <c r="BT109" i="6"/>
  <c r="BT110" i="6"/>
  <c r="G111" i="6"/>
  <c r="AZ111" i="6"/>
  <c r="J99" i="6"/>
  <c r="BT100" i="6"/>
  <c r="BA111" i="6"/>
  <c r="J104" i="6"/>
  <c r="I111" i="6"/>
  <c r="Q111" i="6"/>
  <c r="BT107" i="6"/>
  <c r="AB111" i="6"/>
  <c r="BD111" i="6"/>
  <c r="BV101" i="6"/>
  <c r="AI111" i="6"/>
  <c r="AX106" i="6"/>
  <c r="AJ111" i="6"/>
  <c r="V98" i="6"/>
  <c r="O111" i="6"/>
  <c r="AK111" i="6"/>
  <c r="BT97" i="6"/>
  <c r="V103" i="6"/>
  <c r="BP111" i="6"/>
  <c r="P111" i="6"/>
  <c r="BT101" i="6"/>
  <c r="Z108" i="6"/>
  <c r="AC111" i="6"/>
  <c r="L111" i="6"/>
  <c r="BE111" i="6"/>
  <c r="BV107" i="6"/>
  <c r="N95" i="6"/>
  <c r="BT102" i="6"/>
  <c r="BL111" i="6"/>
  <c r="BV98" i="6"/>
  <c r="BF95" i="6"/>
  <c r="AL95" i="6"/>
  <c r="H91" i="3"/>
  <c r="AE91" i="3"/>
  <c r="V86" i="3"/>
  <c r="I91" i="3"/>
  <c r="AH75" i="3"/>
  <c r="AF91" i="3"/>
  <c r="BF75" i="3"/>
  <c r="BD91" i="3"/>
  <c r="AT81" i="3"/>
  <c r="J75" i="3"/>
  <c r="BV85" i="3"/>
  <c r="BT88" i="3"/>
  <c r="BT79" i="3"/>
  <c r="BB79" i="3"/>
  <c r="F80" i="3"/>
  <c r="Z81" i="3"/>
  <c r="BV81" i="3"/>
  <c r="AL75" i="3"/>
  <c r="AJ91" i="3"/>
  <c r="BT85" i="3"/>
  <c r="BT81" i="3"/>
  <c r="R75" i="3"/>
  <c r="P91" i="3"/>
  <c r="BH91" i="3"/>
  <c r="BO91" i="3"/>
  <c r="BI91" i="3"/>
  <c r="AM91" i="3"/>
  <c r="BJ77" i="3"/>
  <c r="AN91" i="3"/>
  <c r="D91" i="3"/>
  <c r="AA91" i="3"/>
  <c r="BT86" i="3"/>
  <c r="BT75" i="3"/>
  <c r="E91" i="3"/>
  <c r="AB91" i="3"/>
  <c r="BT84" i="3"/>
  <c r="BT83" i="3"/>
  <c r="BV75" i="3"/>
  <c r="BS91" i="3"/>
  <c r="AP77" i="3"/>
  <c r="BV78" i="3"/>
  <c r="AW91" i="3"/>
  <c r="BV87" i="3"/>
  <c r="AX75" i="3"/>
  <c r="F75" i="3"/>
  <c r="AC91" i="3"/>
  <c r="BA91" i="3"/>
  <c r="Y91" i="3"/>
  <c r="AT84" i="3"/>
  <c r="AX88" i="3"/>
  <c r="Q91" i="3"/>
  <c r="M91" i="3"/>
  <c r="BT77" i="3"/>
  <c r="BT90" i="3"/>
  <c r="BV82" i="3"/>
  <c r="BL91" i="3"/>
  <c r="BT78" i="3"/>
  <c r="BP91" i="3"/>
  <c r="AP76" i="3"/>
  <c r="BQ91" i="3"/>
  <c r="J78" i="3"/>
  <c r="V80" i="3"/>
  <c r="AH82" i="3"/>
  <c r="BN84" i="3"/>
  <c r="BF86" i="3"/>
  <c r="AV91" i="3"/>
  <c r="BR75" i="3"/>
  <c r="BT87" i="3"/>
  <c r="BX104" i="6" l="1"/>
  <c r="BX108" i="6"/>
  <c r="BU102" i="6"/>
  <c r="BU105" i="6"/>
  <c r="BU100" i="6"/>
  <c r="BW100" i="6" s="1"/>
  <c r="AD111" i="6"/>
  <c r="BU109" i="6"/>
  <c r="BW109" i="6" s="1"/>
  <c r="AL111" i="6"/>
  <c r="BX96" i="6"/>
  <c r="AP111" i="6"/>
  <c r="BR111" i="6"/>
  <c r="BX80" i="3"/>
  <c r="AD91" i="3"/>
  <c r="BU87" i="3"/>
  <c r="BW87" i="3" s="1"/>
  <c r="Z91" i="3"/>
  <c r="N91" i="3"/>
  <c r="BN91" i="3"/>
  <c r="BU78" i="3"/>
  <c r="BW78" i="3" s="1"/>
  <c r="BU83" i="3"/>
  <c r="BW83" i="3" s="1"/>
  <c r="BU89" i="3"/>
  <c r="BW89" i="3" s="1"/>
  <c r="BJ91" i="3"/>
  <c r="BU90" i="3"/>
  <c r="BX76" i="3"/>
  <c r="BX82" i="3"/>
  <c r="BU81" i="3"/>
  <c r="BW81" i="3" s="1"/>
  <c r="BU86" i="3"/>
  <c r="BW86" i="3" s="1"/>
  <c r="AL91" i="3"/>
  <c r="BU88" i="3"/>
  <c r="BW88" i="3" s="1"/>
  <c r="BU106" i="6"/>
  <c r="BW106" i="6" s="1"/>
  <c r="V91" i="3"/>
  <c r="BU101" i="6"/>
  <c r="BW101" i="6" s="1"/>
  <c r="BU96" i="6"/>
  <c r="BW96" i="6" s="1"/>
  <c r="BU103" i="6"/>
  <c r="BW103" i="6" s="1"/>
  <c r="BN111" i="6"/>
  <c r="R111" i="6"/>
  <c r="BU98" i="6"/>
  <c r="BW98" i="6" s="1"/>
  <c r="BX98" i="6"/>
  <c r="BX106" i="6"/>
  <c r="BU107" i="6"/>
  <c r="BW107" i="6" s="1"/>
  <c r="BU110" i="6"/>
  <c r="BW110" i="6" s="1"/>
  <c r="N111" i="6"/>
  <c r="Z111" i="6"/>
  <c r="AX111" i="6"/>
  <c r="BU97" i="6"/>
  <c r="BW97" i="6" s="1"/>
  <c r="BU108" i="6"/>
  <c r="BW108" i="6" s="1"/>
  <c r="AH111" i="6"/>
  <c r="BU104" i="6"/>
  <c r="BW104" i="6" s="1"/>
  <c r="BU80" i="3"/>
  <c r="BW80" i="3" s="1"/>
  <c r="BU84" i="3"/>
  <c r="BW84" i="3" s="1"/>
  <c r="BB91" i="3"/>
  <c r="BU76" i="3"/>
  <c r="BW76" i="3" s="1"/>
  <c r="BU77" i="3"/>
  <c r="BW77" i="3" s="1"/>
  <c r="J91" i="3"/>
  <c r="R91" i="3"/>
  <c r="AT91" i="3"/>
  <c r="BU82" i="3"/>
  <c r="BW82" i="3" s="1"/>
  <c r="BF111" i="6"/>
  <c r="F111" i="6"/>
  <c r="BX110" i="6"/>
  <c r="V111" i="6"/>
  <c r="BU95" i="6"/>
  <c r="BW95" i="6" s="1"/>
  <c r="BW102" i="6"/>
  <c r="BX102" i="6"/>
  <c r="BX99" i="6"/>
  <c r="BX109" i="6"/>
  <c r="BV111" i="6"/>
  <c r="BX101" i="6"/>
  <c r="BX100" i="6"/>
  <c r="J111" i="6"/>
  <c r="BX97" i="6"/>
  <c r="BX103" i="6"/>
  <c r="BX95" i="6"/>
  <c r="BT111" i="6"/>
  <c r="BX105" i="6"/>
  <c r="BW105" i="6"/>
  <c r="AT111" i="6"/>
  <c r="BX107" i="6"/>
  <c r="BU99" i="6"/>
  <c r="BW99" i="6" s="1"/>
  <c r="BX90" i="3"/>
  <c r="BW90" i="3"/>
  <c r="BX79" i="3"/>
  <c r="BX88" i="3"/>
  <c r="BX83" i="3"/>
  <c r="BU79" i="3"/>
  <c r="BW79" i="3" s="1"/>
  <c r="BT91" i="3"/>
  <c r="BX75" i="3"/>
  <c r="BX81" i="3"/>
  <c r="AP91" i="3"/>
  <c r="BX85" i="3"/>
  <c r="BW85" i="3"/>
  <c r="AH91" i="3"/>
  <c r="BR91" i="3"/>
  <c r="BU75" i="3"/>
  <c r="BW75" i="3" s="1"/>
  <c r="BF91" i="3"/>
  <c r="F91" i="3"/>
  <c r="AX91" i="3"/>
  <c r="BX78" i="3"/>
  <c r="BX87" i="3"/>
  <c r="BX77" i="3"/>
  <c r="BV91" i="3"/>
  <c r="BX84" i="3"/>
  <c r="BX86" i="3"/>
  <c r="BY98" i="6" l="1"/>
  <c r="BY109" i="6"/>
  <c r="BY102" i="6"/>
  <c r="BY108" i="6"/>
  <c r="BY96" i="6"/>
  <c r="BY104" i="6"/>
  <c r="BY100" i="6"/>
  <c r="BY82" i="3"/>
  <c r="BY80" i="3"/>
  <c r="BY89" i="3"/>
  <c r="BY84" i="3"/>
  <c r="BY81" i="3"/>
  <c r="BY76" i="3"/>
  <c r="BY106" i="6"/>
  <c r="BY101" i="6"/>
  <c r="BY87" i="3"/>
  <c r="BW111" i="6"/>
  <c r="BY107" i="6"/>
  <c r="BY99" i="6"/>
  <c r="BY105" i="6"/>
  <c r="BY103" i="6"/>
  <c r="BY97" i="6"/>
  <c r="BX111" i="6"/>
  <c r="BY95" i="6"/>
  <c r="BY110" i="6"/>
  <c r="BU111" i="6"/>
  <c r="BW91" i="3"/>
  <c r="BY77" i="3"/>
  <c r="BY83" i="3"/>
  <c r="BY88" i="3"/>
  <c r="BY79" i="3"/>
  <c r="BY75" i="3"/>
  <c r="BX91" i="3"/>
  <c r="BY78" i="3"/>
  <c r="BU91" i="3"/>
  <c r="BY90" i="3"/>
  <c r="BY85" i="3"/>
  <c r="BY86" i="3"/>
  <c r="BY111" i="6" l="1"/>
  <c r="BY9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AU3" authorId="0" shapeId="0" xr:uid="{B4401221-9F5C-41E2-B777-14BD2090ADE5}">
      <text>
        <r>
          <rPr>
            <b/>
            <sz val="10"/>
            <color indexed="81"/>
            <rFont val="Tahoma"/>
          </rPr>
          <t>A hmy:</t>
        </r>
        <r>
          <rPr>
            <sz val="10"/>
            <color indexed="81"/>
            <rFont val="Tahoma"/>
          </rPr>
          <t xml:space="preserve">
instance بود</t>
        </r>
      </text>
    </comment>
    <comment ref="S5" authorId="0" shapeId="0" xr:uid="{FABB3C26-E00B-4435-83EB-92ECA5F087D0}">
      <text>
        <r>
          <rPr>
            <b/>
            <sz val="10"/>
            <color indexed="81"/>
            <rFont val="Tahoma"/>
          </rPr>
          <t>A hmy:</t>
        </r>
        <r>
          <rPr>
            <sz val="10"/>
            <color indexed="81"/>
            <rFont val="Tahoma"/>
          </rPr>
          <t xml:space="preserve">
یکیش از نوع رابطه است در اصل
</t>
        </r>
      </text>
    </comment>
    <comment ref="S17" authorId="0" shapeId="0" xr:uid="{BBBC75F3-9D96-45C3-B114-39B2581C7964}">
      <text>
        <r>
          <rPr>
            <b/>
            <sz val="10"/>
            <color indexed="81"/>
            <rFont val="Tahoma"/>
          </rPr>
          <t>A hmy:</t>
        </r>
        <r>
          <rPr>
            <sz val="10"/>
            <color indexed="81"/>
            <rFont val="Tahoma"/>
          </rPr>
          <t xml:space="preserve">
رابظه</t>
        </r>
      </text>
    </comment>
    <comment ref="S19" authorId="0" shapeId="0" xr:uid="{211FA329-0C5C-48F9-9E73-41C980AA55E6}">
      <text>
        <r>
          <rPr>
            <b/>
            <sz val="10"/>
            <color indexed="81"/>
            <rFont val="Tahoma"/>
          </rPr>
          <t>A hmy:</t>
        </r>
        <r>
          <rPr>
            <sz val="10"/>
            <color indexed="81"/>
            <rFont val="Tahoma"/>
          </rPr>
          <t xml:space="preserve">
رابطه</t>
        </r>
      </text>
    </comment>
    <comment ref="S21" authorId="0" shapeId="0" xr:uid="{B82AB0A4-092B-4C72-99EF-14506AC94726}">
      <text>
        <r>
          <rPr>
            <b/>
            <sz val="10"/>
            <color indexed="81"/>
            <rFont val="Tahoma"/>
          </rPr>
          <t>A hmy:</t>
        </r>
        <r>
          <rPr>
            <sz val="10"/>
            <color indexed="81"/>
            <rFont val="Tahoma"/>
          </rPr>
          <t xml:space="preserve">
رابظه</t>
        </r>
      </text>
    </comment>
    <comment ref="S23" authorId="0" shapeId="0" xr:uid="{55B79080-8513-4B3A-BB1B-5247BF3CFF21}">
      <text>
        <r>
          <rPr>
            <b/>
            <sz val="10"/>
            <color indexed="81"/>
            <rFont val="Tahoma"/>
          </rPr>
          <t>A hmy:</t>
        </r>
        <r>
          <rPr>
            <sz val="10"/>
            <color indexed="81"/>
            <rFont val="Tahoma"/>
          </rPr>
          <t xml:space="preserve">
رابطه</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S5" authorId="0" shapeId="0" xr:uid="{C40B1842-488E-4A27-A7B1-C1082534DE9E}">
      <text>
        <r>
          <rPr>
            <b/>
            <sz val="10"/>
            <color indexed="81"/>
            <rFont val="Tahoma"/>
          </rPr>
          <t>A hmy:</t>
        </r>
        <r>
          <rPr>
            <sz val="10"/>
            <color indexed="81"/>
            <rFont val="Tahoma"/>
          </rPr>
          <t xml:space="preserve">
یکیش از نوع رابطه است در اصل
</t>
        </r>
      </text>
    </comment>
    <comment ref="AU9" authorId="0" shapeId="0" xr:uid="{C8989F56-3B6B-4E26-B7AE-ADDFE93CC51E}">
      <text>
        <r>
          <rPr>
            <b/>
            <sz val="10"/>
            <color indexed="81"/>
            <rFont val="Tahoma"/>
          </rPr>
          <t>A hmy:</t>
        </r>
        <r>
          <rPr>
            <sz val="10"/>
            <color indexed="81"/>
            <rFont val="Tahoma"/>
          </rPr>
          <t xml:space="preserve">
نوع رابهط رو نوشته بود creation</t>
        </r>
      </text>
    </comment>
    <comment ref="AU10" authorId="0" shapeId="0" xr:uid="{ED24D32A-F0C0-4EB9-A9C2-859C11DA48B6}">
      <text>
        <r>
          <rPr>
            <b/>
            <sz val="10"/>
            <color indexed="81"/>
            <rFont val="Tahoma"/>
          </rPr>
          <t>A hmy:</t>
        </r>
        <r>
          <rPr>
            <sz val="10"/>
            <color indexed="81"/>
            <rFont val="Tahoma"/>
          </rPr>
          <t xml:space="preserve">
instance</t>
        </r>
      </text>
    </comment>
    <comment ref="S17" authorId="0" shapeId="0" xr:uid="{337F0ACD-0C09-4A0A-A86E-3CF16A950BEB}">
      <text>
        <r>
          <rPr>
            <b/>
            <sz val="10"/>
            <color indexed="81"/>
            <rFont val="Tahoma"/>
          </rPr>
          <t>A hmy:</t>
        </r>
        <r>
          <rPr>
            <sz val="10"/>
            <color indexed="81"/>
            <rFont val="Tahoma"/>
          </rPr>
          <t xml:space="preserve">
رابظه</t>
        </r>
      </text>
    </comment>
    <comment ref="S19" authorId="0" shapeId="0" xr:uid="{B09FB85A-3DF3-4826-A938-BF29F0A124D0}">
      <text>
        <r>
          <rPr>
            <b/>
            <sz val="10"/>
            <color indexed="81"/>
            <rFont val="Tahoma"/>
          </rPr>
          <t>A hmy:</t>
        </r>
        <r>
          <rPr>
            <sz val="10"/>
            <color indexed="81"/>
            <rFont val="Tahoma"/>
          </rPr>
          <t xml:space="preserve">
رابطه</t>
        </r>
      </text>
    </comment>
    <comment ref="AU19" authorId="0" shapeId="0" xr:uid="{4ABC26B9-3B7D-407A-BEF9-91EDE507463B}">
      <text>
        <r>
          <rPr>
            <b/>
            <sz val="10"/>
            <color indexed="81"/>
            <rFont val="Tahoma"/>
          </rPr>
          <t>A hmy:</t>
        </r>
        <r>
          <rPr>
            <sz val="10"/>
            <color indexed="81"/>
            <rFont val="Tahoma"/>
          </rPr>
          <t xml:space="preserve">
instance
</t>
        </r>
      </text>
    </comment>
    <comment ref="AU20" authorId="0" shapeId="0" xr:uid="{EC3915CD-F638-48EA-9FC0-96BACD21F6A0}">
      <text>
        <r>
          <rPr>
            <b/>
            <sz val="10"/>
            <color indexed="81"/>
            <rFont val="Tahoma"/>
          </rPr>
          <t>A hmy:</t>
        </r>
        <r>
          <rPr>
            <sz val="10"/>
            <color indexed="81"/>
            <rFont val="Tahoma"/>
          </rPr>
          <t xml:space="preserve">
instance</t>
        </r>
      </text>
    </comment>
    <comment ref="S21" authorId="0" shapeId="0" xr:uid="{DEB379C1-E682-48FB-8038-958454CAD3A8}">
      <text>
        <r>
          <rPr>
            <b/>
            <sz val="10"/>
            <color indexed="81"/>
            <rFont val="Tahoma"/>
          </rPr>
          <t>A hmy:</t>
        </r>
        <r>
          <rPr>
            <sz val="10"/>
            <color indexed="81"/>
            <rFont val="Tahoma"/>
          </rPr>
          <t xml:space="preserve">
رابظه</t>
        </r>
      </text>
    </comment>
    <comment ref="S23" authorId="0" shapeId="0" xr:uid="{B77F57E1-1514-40F3-9832-64DF178BC90A}">
      <text>
        <r>
          <rPr>
            <b/>
            <sz val="10"/>
            <color indexed="81"/>
            <rFont val="Tahoma"/>
          </rPr>
          <t>A hmy:</t>
        </r>
        <r>
          <rPr>
            <sz val="10"/>
            <color indexed="81"/>
            <rFont val="Tahoma"/>
          </rPr>
          <t xml:space="preserve">
رابطه</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S5" authorId="0" shapeId="0" xr:uid="{A17663EC-40A4-4969-8CDF-4D23DBA2CA14}">
      <text>
        <r>
          <rPr>
            <b/>
            <sz val="10"/>
            <color indexed="81"/>
            <rFont val="Tahoma"/>
          </rPr>
          <t>A hmy:</t>
        </r>
        <r>
          <rPr>
            <sz val="10"/>
            <color indexed="81"/>
            <rFont val="Tahoma"/>
          </rPr>
          <t xml:space="preserve">
یکیش از نوع رابطه است در اصل
</t>
        </r>
      </text>
    </comment>
    <comment ref="AU9" authorId="0" shapeId="0" xr:uid="{93C76AD1-3681-47CE-A65D-DD6AEBDB3E43}">
      <text>
        <r>
          <rPr>
            <b/>
            <sz val="10"/>
            <color indexed="81"/>
            <rFont val="Tahoma"/>
          </rPr>
          <t>A hmy:</t>
        </r>
        <r>
          <rPr>
            <sz val="10"/>
            <color indexed="81"/>
            <rFont val="Tahoma"/>
          </rPr>
          <t xml:space="preserve">
instance</t>
        </r>
      </text>
    </comment>
    <comment ref="S17" authorId="0" shapeId="0" xr:uid="{ACC75B47-B0E6-4147-8390-7987B35D1D57}">
      <text>
        <r>
          <rPr>
            <b/>
            <sz val="10"/>
            <color indexed="81"/>
            <rFont val="Tahoma"/>
          </rPr>
          <t>A hmy:</t>
        </r>
        <r>
          <rPr>
            <sz val="10"/>
            <color indexed="81"/>
            <rFont val="Tahoma"/>
          </rPr>
          <t xml:space="preserve">
رابظه</t>
        </r>
      </text>
    </comment>
    <comment ref="S19" authorId="0" shapeId="0" xr:uid="{061001AA-C284-4918-A280-D8FEBD016A61}">
      <text>
        <r>
          <rPr>
            <b/>
            <sz val="10"/>
            <color indexed="81"/>
            <rFont val="Tahoma"/>
          </rPr>
          <t>A hmy:</t>
        </r>
        <r>
          <rPr>
            <sz val="10"/>
            <color indexed="81"/>
            <rFont val="Tahoma"/>
          </rPr>
          <t xml:space="preserve">
رابطه</t>
        </r>
      </text>
    </comment>
    <comment ref="S21" authorId="0" shapeId="0" xr:uid="{930D3EB1-AB52-4D49-8757-8833953CD7C4}">
      <text>
        <r>
          <rPr>
            <b/>
            <sz val="10"/>
            <color indexed="81"/>
            <rFont val="Tahoma"/>
          </rPr>
          <t>A hmy:</t>
        </r>
        <r>
          <rPr>
            <sz val="10"/>
            <color indexed="81"/>
            <rFont val="Tahoma"/>
          </rPr>
          <t xml:space="preserve">
رابظه</t>
        </r>
      </text>
    </comment>
    <comment ref="S23" authorId="0" shapeId="0" xr:uid="{D85BE056-F8C3-4670-964E-3D9D16548CAD}">
      <text>
        <r>
          <rPr>
            <b/>
            <sz val="10"/>
            <color indexed="81"/>
            <rFont val="Tahoma"/>
          </rPr>
          <t>A hmy:</t>
        </r>
        <r>
          <rPr>
            <sz val="10"/>
            <color indexed="81"/>
            <rFont val="Tahoma"/>
          </rPr>
          <t xml:space="preserve">
رابطه</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S5" authorId="0" shapeId="0" xr:uid="{7F504654-AFC3-4D7C-9158-057E918E623C}">
      <text>
        <r>
          <rPr>
            <b/>
            <sz val="10"/>
            <color indexed="81"/>
            <rFont val="Tahoma"/>
          </rPr>
          <t>A hmy:</t>
        </r>
        <r>
          <rPr>
            <sz val="10"/>
            <color indexed="81"/>
            <rFont val="Tahoma"/>
          </rPr>
          <t xml:space="preserve">
یکیش از نوع رابطه است در اصل
</t>
        </r>
      </text>
    </comment>
    <comment ref="AU9" authorId="0" shapeId="0" xr:uid="{396D489E-6385-4EAE-80C7-5C5B369D8943}">
      <text>
        <r>
          <rPr>
            <b/>
            <sz val="10"/>
            <color indexed="81"/>
            <rFont val="Tahoma"/>
          </rPr>
          <t>A hmy:</t>
        </r>
        <r>
          <rPr>
            <sz val="10"/>
            <color indexed="81"/>
            <rFont val="Tahoma"/>
          </rPr>
          <t xml:space="preserve">
instance</t>
        </r>
      </text>
    </comment>
    <comment ref="S17" authorId="0" shapeId="0" xr:uid="{1E05B4A8-B6EB-4EE9-8DF0-2883D37002C2}">
      <text>
        <r>
          <rPr>
            <b/>
            <sz val="10"/>
            <color indexed="81"/>
            <rFont val="Tahoma"/>
          </rPr>
          <t>A hmy:</t>
        </r>
        <r>
          <rPr>
            <sz val="10"/>
            <color indexed="81"/>
            <rFont val="Tahoma"/>
          </rPr>
          <t xml:space="preserve">
رابظه</t>
        </r>
      </text>
    </comment>
    <comment ref="S19" authorId="0" shapeId="0" xr:uid="{30DF4CFF-023C-47F2-BC7B-CD29B5B6B4C2}">
      <text>
        <r>
          <rPr>
            <b/>
            <sz val="10"/>
            <color indexed="81"/>
            <rFont val="Tahoma"/>
          </rPr>
          <t>A hmy:</t>
        </r>
        <r>
          <rPr>
            <sz val="10"/>
            <color indexed="81"/>
            <rFont val="Tahoma"/>
          </rPr>
          <t xml:space="preserve">
رابطه</t>
        </r>
      </text>
    </comment>
    <comment ref="S21" authorId="0" shapeId="0" xr:uid="{F9985AA2-51D4-4295-9D1B-EA699A89A8A2}">
      <text>
        <r>
          <rPr>
            <b/>
            <sz val="10"/>
            <color indexed="81"/>
            <rFont val="Tahoma"/>
          </rPr>
          <t>A hmy:</t>
        </r>
        <r>
          <rPr>
            <sz val="10"/>
            <color indexed="81"/>
            <rFont val="Tahoma"/>
          </rPr>
          <t xml:space="preserve">
رابظه</t>
        </r>
      </text>
    </comment>
    <comment ref="S23" authorId="0" shapeId="0" xr:uid="{B003EF10-91A2-4CCC-AFBA-0236CB3AD005}">
      <text>
        <r>
          <rPr>
            <b/>
            <sz val="10"/>
            <color indexed="81"/>
            <rFont val="Tahoma"/>
          </rPr>
          <t>A hmy:</t>
        </r>
        <r>
          <rPr>
            <sz val="10"/>
            <color indexed="81"/>
            <rFont val="Tahoma"/>
          </rPr>
          <t xml:space="preserve">
رابطه</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S5" authorId="0" shapeId="0" xr:uid="{67105499-A93E-454A-87DD-93A2F3D47221}">
      <text>
        <r>
          <rPr>
            <b/>
            <sz val="10"/>
            <color indexed="81"/>
            <rFont val="Tahoma"/>
          </rPr>
          <t>A hmy:</t>
        </r>
        <r>
          <rPr>
            <sz val="10"/>
            <color indexed="81"/>
            <rFont val="Tahoma"/>
          </rPr>
          <t xml:space="preserve">
یکیش از نوع رابطه است در اصل
</t>
        </r>
      </text>
    </comment>
    <comment ref="AU9" authorId="0" shapeId="0" xr:uid="{EC5BB9E7-FCBB-4CA6-9875-6E3681DF9BF7}">
      <text>
        <r>
          <rPr>
            <b/>
            <sz val="10"/>
            <color indexed="81"/>
            <rFont val="Tahoma"/>
          </rPr>
          <t>A hmy:</t>
        </r>
        <r>
          <rPr>
            <sz val="10"/>
            <color indexed="81"/>
            <rFont val="Tahoma"/>
          </rPr>
          <t xml:space="preserve">
instance</t>
        </r>
      </text>
    </comment>
    <comment ref="S17" authorId="0" shapeId="0" xr:uid="{82A1D5B0-AA1B-4363-9935-1D27D9D5467F}">
      <text>
        <r>
          <rPr>
            <b/>
            <sz val="10"/>
            <color indexed="81"/>
            <rFont val="Tahoma"/>
          </rPr>
          <t>A hmy:</t>
        </r>
        <r>
          <rPr>
            <sz val="10"/>
            <color indexed="81"/>
            <rFont val="Tahoma"/>
          </rPr>
          <t xml:space="preserve">
رابظه</t>
        </r>
      </text>
    </comment>
    <comment ref="S19" authorId="0" shapeId="0" xr:uid="{152E74EC-0184-4259-B8DA-DA2B81D8B721}">
      <text>
        <r>
          <rPr>
            <b/>
            <sz val="10"/>
            <color indexed="81"/>
            <rFont val="Tahoma"/>
          </rPr>
          <t>A hmy:</t>
        </r>
        <r>
          <rPr>
            <sz val="10"/>
            <color indexed="81"/>
            <rFont val="Tahoma"/>
          </rPr>
          <t xml:space="preserve">
رابطه</t>
        </r>
      </text>
    </comment>
    <comment ref="S21" authorId="0" shapeId="0" xr:uid="{E78DE1DC-5EE0-4621-9EFA-D20108C8B55F}">
      <text>
        <r>
          <rPr>
            <b/>
            <sz val="10"/>
            <color indexed="81"/>
            <rFont val="Tahoma"/>
          </rPr>
          <t>A hmy:</t>
        </r>
        <r>
          <rPr>
            <sz val="10"/>
            <color indexed="81"/>
            <rFont val="Tahoma"/>
          </rPr>
          <t xml:space="preserve">
رابظه</t>
        </r>
      </text>
    </comment>
    <comment ref="S23" authorId="0" shapeId="0" xr:uid="{EED9C988-BED2-485E-8F3D-F8349CF6B713}">
      <text>
        <r>
          <rPr>
            <b/>
            <sz val="10"/>
            <color indexed="81"/>
            <rFont val="Tahoma"/>
          </rPr>
          <t>A hmy:</t>
        </r>
        <r>
          <rPr>
            <sz val="10"/>
            <color indexed="81"/>
            <rFont val="Tahoma"/>
          </rPr>
          <t xml:space="preserve">
رابطه</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S5" authorId="0" shapeId="0" xr:uid="{591B1E1D-3314-422D-B715-9D91C8B320AF}">
      <text>
        <r>
          <rPr>
            <b/>
            <sz val="10"/>
            <color indexed="81"/>
            <rFont val="Tahoma"/>
          </rPr>
          <t>A hmy:</t>
        </r>
        <r>
          <rPr>
            <sz val="10"/>
            <color indexed="81"/>
            <rFont val="Tahoma"/>
          </rPr>
          <t xml:space="preserve">
یکیش از نوع رابطه است در اصل
</t>
        </r>
      </text>
    </comment>
    <comment ref="AU10" authorId="0" shapeId="0" xr:uid="{CE048955-6ECA-433F-98CA-230C3929CCA2}">
      <text>
        <r>
          <rPr>
            <b/>
            <sz val="10"/>
            <color indexed="81"/>
            <rFont val="Tahoma"/>
          </rPr>
          <t>A hmy:</t>
        </r>
        <r>
          <rPr>
            <sz val="10"/>
            <color indexed="81"/>
            <rFont val="Tahoma"/>
          </rPr>
          <t xml:space="preserve">
متود ها و همه رو به عنوان رابطه نوشته بود</t>
        </r>
      </text>
    </comment>
    <comment ref="S17" authorId="0" shapeId="0" xr:uid="{090F6434-5315-4A0C-88FC-564A03629978}">
      <text>
        <r>
          <rPr>
            <b/>
            <sz val="10"/>
            <color indexed="81"/>
            <rFont val="Tahoma"/>
          </rPr>
          <t>A hmy:</t>
        </r>
        <r>
          <rPr>
            <sz val="10"/>
            <color indexed="81"/>
            <rFont val="Tahoma"/>
          </rPr>
          <t xml:space="preserve">
رابظه</t>
        </r>
      </text>
    </comment>
    <comment ref="S19" authorId="0" shapeId="0" xr:uid="{EF9F5DE0-E181-4E95-85C6-206C895585E9}">
      <text>
        <r>
          <rPr>
            <b/>
            <sz val="10"/>
            <color indexed="81"/>
            <rFont val="Tahoma"/>
          </rPr>
          <t>A hmy:</t>
        </r>
        <r>
          <rPr>
            <sz val="10"/>
            <color indexed="81"/>
            <rFont val="Tahoma"/>
          </rPr>
          <t xml:space="preserve">
رابطه</t>
        </r>
      </text>
    </comment>
    <comment ref="S21" authorId="0" shapeId="0" xr:uid="{95FD04BD-8D17-4638-9776-0D41276EF1B6}">
      <text>
        <r>
          <rPr>
            <b/>
            <sz val="10"/>
            <color indexed="81"/>
            <rFont val="Tahoma"/>
          </rPr>
          <t>A hmy:</t>
        </r>
        <r>
          <rPr>
            <sz val="10"/>
            <color indexed="81"/>
            <rFont val="Tahoma"/>
          </rPr>
          <t xml:space="preserve">
رابظه</t>
        </r>
      </text>
    </comment>
    <comment ref="S23" authorId="0" shapeId="0" xr:uid="{DB61C32C-C6FE-4182-ACD6-DAC4294C69C6}">
      <text>
        <r>
          <rPr>
            <b/>
            <sz val="10"/>
            <color indexed="81"/>
            <rFont val="Tahoma"/>
          </rPr>
          <t>A hmy:</t>
        </r>
        <r>
          <rPr>
            <sz val="10"/>
            <color indexed="81"/>
            <rFont val="Tahoma"/>
          </rPr>
          <t xml:space="preserve">
رابطه</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S5" authorId="0" shapeId="0" xr:uid="{212CBDE8-6709-4604-90E0-3657C43781A6}">
      <text>
        <r>
          <rPr>
            <b/>
            <sz val="10"/>
            <color indexed="81"/>
            <rFont val="Tahoma"/>
          </rPr>
          <t>A hmy:</t>
        </r>
        <r>
          <rPr>
            <sz val="10"/>
            <color indexed="81"/>
            <rFont val="Tahoma"/>
          </rPr>
          <t xml:space="preserve">
یکیش از نوع رابطه است در اصل
</t>
        </r>
      </text>
    </comment>
    <comment ref="S17" authorId="0" shapeId="0" xr:uid="{1E77CF42-0857-465C-910D-826321DDAB0A}">
      <text>
        <r>
          <rPr>
            <b/>
            <sz val="10"/>
            <color indexed="81"/>
            <rFont val="Tahoma"/>
          </rPr>
          <t>A hmy:</t>
        </r>
        <r>
          <rPr>
            <sz val="10"/>
            <color indexed="81"/>
            <rFont val="Tahoma"/>
          </rPr>
          <t xml:space="preserve">
رابظه</t>
        </r>
      </text>
    </comment>
    <comment ref="S19" authorId="0" shapeId="0" xr:uid="{B5C01A1E-F888-45D6-BD7C-1B85AAAB6AEC}">
      <text>
        <r>
          <rPr>
            <b/>
            <sz val="10"/>
            <color indexed="81"/>
            <rFont val="Tahoma"/>
          </rPr>
          <t>A hmy:</t>
        </r>
        <r>
          <rPr>
            <sz val="10"/>
            <color indexed="81"/>
            <rFont val="Tahoma"/>
          </rPr>
          <t xml:space="preserve">
رابطه</t>
        </r>
      </text>
    </comment>
    <comment ref="S21" authorId="0" shapeId="0" xr:uid="{1042F2AF-AAB4-4A26-8994-2919E8568522}">
      <text>
        <r>
          <rPr>
            <b/>
            <sz val="10"/>
            <color indexed="81"/>
            <rFont val="Tahoma"/>
          </rPr>
          <t>A hmy:</t>
        </r>
        <r>
          <rPr>
            <sz val="10"/>
            <color indexed="81"/>
            <rFont val="Tahoma"/>
          </rPr>
          <t xml:space="preserve">
رابظه</t>
        </r>
      </text>
    </comment>
    <comment ref="S23" authorId="0" shapeId="0" xr:uid="{9B3238AA-DA4D-4381-BFDF-CFBBBE84A267}">
      <text>
        <r>
          <rPr>
            <b/>
            <sz val="10"/>
            <color indexed="81"/>
            <rFont val="Tahoma"/>
          </rPr>
          <t>A hmy:</t>
        </r>
        <r>
          <rPr>
            <sz val="10"/>
            <color indexed="81"/>
            <rFont val="Tahoma"/>
          </rPr>
          <t xml:space="preserve">
رابطه</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S5" authorId="0" shapeId="0" xr:uid="{8F15759C-A3D6-4D43-AD78-A4D9EA26A5AF}">
      <text>
        <r>
          <rPr>
            <b/>
            <sz val="10"/>
            <color indexed="81"/>
            <rFont val="Tahoma"/>
          </rPr>
          <t>A hmy:</t>
        </r>
        <r>
          <rPr>
            <sz val="10"/>
            <color indexed="81"/>
            <rFont val="Tahoma"/>
          </rPr>
          <t xml:space="preserve">
یکیش از نوع رابطه است در اصل
</t>
        </r>
      </text>
    </comment>
    <comment ref="S17" authorId="0" shapeId="0" xr:uid="{728BF394-AB4B-4EFE-AD4A-BB4476A7ADD1}">
      <text>
        <r>
          <rPr>
            <b/>
            <sz val="10"/>
            <color indexed="81"/>
            <rFont val="Tahoma"/>
          </rPr>
          <t>A hmy:</t>
        </r>
        <r>
          <rPr>
            <sz val="10"/>
            <color indexed="81"/>
            <rFont val="Tahoma"/>
          </rPr>
          <t xml:space="preserve">
رابظه</t>
        </r>
      </text>
    </comment>
    <comment ref="S19" authorId="0" shapeId="0" xr:uid="{B8F3E3E3-DEF4-49F0-B94C-240DE28D22D5}">
      <text>
        <r>
          <rPr>
            <b/>
            <sz val="10"/>
            <color indexed="81"/>
            <rFont val="Tahoma"/>
          </rPr>
          <t>A hmy:</t>
        </r>
        <r>
          <rPr>
            <sz val="10"/>
            <color indexed="81"/>
            <rFont val="Tahoma"/>
          </rPr>
          <t xml:space="preserve">
رابطه</t>
        </r>
      </text>
    </comment>
    <comment ref="S21" authorId="0" shapeId="0" xr:uid="{0550C76E-5DC5-4D71-9446-F29A6D6E3E06}">
      <text>
        <r>
          <rPr>
            <b/>
            <sz val="10"/>
            <color indexed="81"/>
            <rFont val="Tahoma"/>
          </rPr>
          <t>A hmy:</t>
        </r>
        <r>
          <rPr>
            <sz val="10"/>
            <color indexed="81"/>
            <rFont val="Tahoma"/>
          </rPr>
          <t xml:space="preserve">
رابظه</t>
        </r>
      </text>
    </comment>
    <comment ref="S23" authorId="0" shapeId="0" xr:uid="{78BF3EA8-E9B2-42E8-8EE5-D495DAF7BBD2}">
      <text>
        <r>
          <rPr>
            <b/>
            <sz val="10"/>
            <color indexed="81"/>
            <rFont val="Tahoma"/>
          </rPr>
          <t>A hmy:</t>
        </r>
        <r>
          <rPr>
            <sz val="10"/>
            <color indexed="81"/>
            <rFont val="Tahoma"/>
          </rPr>
          <t xml:space="preserve">
رابطه</t>
        </r>
      </text>
    </comment>
    <comment ref="I33" authorId="0" shapeId="0" xr:uid="{232A611F-B23D-4D0F-B609-BC6B0B740BFD}">
      <text>
        <r>
          <rPr>
            <b/>
            <sz val="10"/>
            <color indexed="81"/>
            <rFont val="Tahoma"/>
          </rPr>
          <t>A hmy:</t>
        </r>
        <r>
          <rPr>
            <sz val="10"/>
            <color indexed="81"/>
            <rFont val="Tahoma"/>
          </rPr>
          <t xml:space="preserve">
با ارفاف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T5" authorId="0" shapeId="0" xr:uid="{498D7E19-C636-4EA1-B7EB-51EEB3B19F01}">
      <text>
        <r>
          <rPr>
            <b/>
            <sz val="10"/>
            <color indexed="81"/>
            <rFont val="Tahoma"/>
          </rPr>
          <t>A hmy:</t>
        </r>
        <r>
          <rPr>
            <sz val="10"/>
            <color indexed="81"/>
            <rFont val="Tahoma"/>
          </rPr>
          <t xml:space="preserve">
یکیش از نوع رابطه است در اصل
</t>
        </r>
      </text>
    </comment>
    <comment ref="T17" authorId="0" shapeId="0" xr:uid="{B78A912C-C447-4C10-9448-F54F4951CBD6}">
      <text>
        <r>
          <rPr>
            <b/>
            <sz val="10"/>
            <color indexed="81"/>
            <rFont val="Tahoma"/>
          </rPr>
          <t>A hmy:</t>
        </r>
        <r>
          <rPr>
            <sz val="10"/>
            <color indexed="81"/>
            <rFont val="Tahoma"/>
          </rPr>
          <t xml:space="preserve">
رابظه</t>
        </r>
      </text>
    </comment>
    <comment ref="T19" authorId="0" shapeId="0" xr:uid="{E556F7AF-2A7A-43B0-BE1E-F4B8213F85C0}">
      <text>
        <r>
          <rPr>
            <b/>
            <sz val="10"/>
            <color indexed="81"/>
            <rFont val="Tahoma"/>
          </rPr>
          <t>A hmy:</t>
        </r>
        <r>
          <rPr>
            <sz val="10"/>
            <color indexed="81"/>
            <rFont val="Tahoma"/>
          </rPr>
          <t xml:space="preserve">
رابطه</t>
        </r>
      </text>
    </comment>
    <comment ref="T21" authorId="0" shapeId="0" xr:uid="{CCBCA248-492C-4DC7-A1A6-97FBF390A76B}">
      <text>
        <r>
          <rPr>
            <b/>
            <sz val="10"/>
            <color indexed="81"/>
            <rFont val="Tahoma"/>
          </rPr>
          <t>A hmy:</t>
        </r>
        <r>
          <rPr>
            <sz val="10"/>
            <color indexed="81"/>
            <rFont val="Tahoma"/>
          </rPr>
          <t xml:space="preserve">
رابظه</t>
        </r>
      </text>
    </comment>
    <comment ref="T23" authorId="0" shapeId="0" xr:uid="{21F36E3A-1496-4624-A466-102101A9543A}">
      <text>
        <r>
          <rPr>
            <b/>
            <sz val="10"/>
            <color indexed="81"/>
            <rFont val="Tahoma"/>
          </rPr>
          <t>A hmy:</t>
        </r>
        <r>
          <rPr>
            <sz val="10"/>
            <color indexed="81"/>
            <rFont val="Tahoma"/>
          </rPr>
          <t xml:space="preserve">
رابطه</t>
        </r>
      </text>
    </comment>
    <comment ref="J33" authorId="0" shapeId="0" xr:uid="{AC4B4AE9-F787-4ECF-94C8-3201C489DD2A}">
      <text>
        <r>
          <rPr>
            <b/>
            <sz val="10"/>
            <color indexed="81"/>
            <rFont val="Tahoma"/>
          </rPr>
          <t>A hmy:</t>
        </r>
        <r>
          <rPr>
            <sz val="10"/>
            <color indexed="81"/>
            <rFont val="Tahoma"/>
          </rPr>
          <t xml:space="preserve">
با ارفاف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T5" authorId="0" shapeId="0" xr:uid="{1928B4DA-00F9-4413-9954-E3CABCCE061C}">
      <text>
        <r>
          <rPr>
            <b/>
            <sz val="10"/>
            <color indexed="81"/>
            <rFont val="Tahoma"/>
          </rPr>
          <t>A hmy:</t>
        </r>
        <r>
          <rPr>
            <sz val="10"/>
            <color indexed="81"/>
            <rFont val="Tahoma"/>
          </rPr>
          <t xml:space="preserve">
یکیش از نوع رابطه است در اصل
</t>
        </r>
      </text>
    </comment>
    <comment ref="AV9" authorId="0" shapeId="0" xr:uid="{0BB22A7E-97EE-4B41-8884-A3E4BBC514B0}">
      <text>
        <r>
          <rPr>
            <b/>
            <sz val="10"/>
            <color indexed="81"/>
            <rFont val="Tahoma"/>
          </rPr>
          <t>A hmy:</t>
        </r>
        <r>
          <rPr>
            <sz val="10"/>
            <color indexed="81"/>
            <rFont val="Tahoma"/>
          </rPr>
          <t xml:space="preserve">
اتریبیوت و برای رابظه نوشته بود</t>
        </r>
      </text>
    </comment>
    <comment ref="AV10" authorId="0" shapeId="0" xr:uid="{9C131265-79A3-4971-A4FE-102000C00E5E}">
      <text>
        <r>
          <rPr>
            <b/>
            <sz val="10"/>
            <color indexed="81"/>
            <rFont val="Tahoma"/>
          </rPr>
          <t>A hmy:</t>
        </r>
        <r>
          <rPr>
            <sz val="10"/>
            <color indexed="81"/>
            <rFont val="Tahoma"/>
          </rPr>
          <t xml:space="preserve">
instance</t>
        </r>
      </text>
    </comment>
    <comment ref="T17" authorId="0" shapeId="0" xr:uid="{AB9ACAEC-F1B4-43E4-BFC6-1C5E20595EA5}">
      <text>
        <r>
          <rPr>
            <b/>
            <sz val="10"/>
            <color indexed="81"/>
            <rFont val="Tahoma"/>
          </rPr>
          <t>A hmy:</t>
        </r>
        <r>
          <rPr>
            <sz val="10"/>
            <color indexed="81"/>
            <rFont val="Tahoma"/>
          </rPr>
          <t xml:space="preserve">
رابظه</t>
        </r>
      </text>
    </comment>
    <comment ref="T19" authorId="0" shapeId="0" xr:uid="{95408D3D-7D83-4BD6-AF0F-E62B507346D7}">
      <text>
        <r>
          <rPr>
            <b/>
            <sz val="10"/>
            <color indexed="81"/>
            <rFont val="Tahoma"/>
          </rPr>
          <t>A hmy:</t>
        </r>
        <r>
          <rPr>
            <sz val="10"/>
            <color indexed="81"/>
            <rFont val="Tahoma"/>
          </rPr>
          <t xml:space="preserve">
رابطه</t>
        </r>
      </text>
    </comment>
    <comment ref="AV19" authorId="0" shapeId="0" xr:uid="{66EFCD34-4198-40A5-9511-217C9CD05CB6}">
      <text>
        <r>
          <rPr>
            <b/>
            <sz val="10"/>
            <color indexed="81"/>
            <rFont val="Tahoma"/>
          </rPr>
          <t>A hmy:</t>
        </r>
        <r>
          <rPr>
            <sz val="10"/>
            <color indexed="81"/>
            <rFont val="Tahoma"/>
          </rPr>
          <t xml:space="preserve">
instance</t>
        </r>
      </text>
    </comment>
    <comment ref="T21" authorId="0" shapeId="0" xr:uid="{7B5EC87F-1DB7-4FDA-98D3-E1D3BCBE553B}">
      <text>
        <r>
          <rPr>
            <b/>
            <sz val="10"/>
            <color indexed="81"/>
            <rFont val="Tahoma"/>
          </rPr>
          <t>A hmy:</t>
        </r>
        <r>
          <rPr>
            <sz val="10"/>
            <color indexed="81"/>
            <rFont val="Tahoma"/>
          </rPr>
          <t xml:space="preserve">
رابظه</t>
        </r>
      </text>
    </comment>
    <comment ref="T23" authorId="0" shapeId="0" xr:uid="{5F69330B-46DE-440D-BBD9-A26FF83AC45B}">
      <text>
        <r>
          <rPr>
            <b/>
            <sz val="10"/>
            <color indexed="81"/>
            <rFont val="Tahoma"/>
          </rPr>
          <t>A hmy:</t>
        </r>
        <r>
          <rPr>
            <sz val="10"/>
            <color indexed="81"/>
            <rFont val="Tahoma"/>
          </rPr>
          <t xml:space="preserve">
رابطه</t>
        </r>
      </text>
    </comment>
    <comment ref="D27" authorId="0" shapeId="0" xr:uid="{1FE36879-C4BD-468A-8B07-473585EF38C3}">
      <text>
        <r>
          <rPr>
            <b/>
            <sz val="10"/>
            <color indexed="81"/>
            <rFont val="Tahoma"/>
          </rPr>
          <t>A hmy:</t>
        </r>
        <r>
          <rPr>
            <sz val="10"/>
            <color indexed="81"/>
            <rFont val="Tahoma"/>
          </rPr>
          <t xml:space="preserve">
___</t>
        </r>
      </text>
    </comment>
    <comment ref="D30" authorId="0" shapeId="0" xr:uid="{7AB7A177-751F-4D38-B523-5048EDB62F85}">
      <text>
        <r>
          <rPr>
            <b/>
            <sz val="10"/>
            <color indexed="81"/>
            <rFont val="Tahoma"/>
          </rPr>
          <t>A hmy:</t>
        </r>
        <r>
          <rPr>
            <sz val="10"/>
            <color indexed="81"/>
            <rFont val="Tahoma"/>
          </rPr>
          <t xml:space="preserve">
____
</t>
        </r>
      </text>
    </comment>
    <comment ref="J33" authorId="0" shapeId="0" xr:uid="{E0A3E754-CAD5-4AD4-AB8A-9FF39E2454B8}">
      <text>
        <r>
          <rPr>
            <b/>
            <sz val="10"/>
            <color indexed="81"/>
            <rFont val="Tahoma"/>
          </rPr>
          <t>A hmy:</t>
        </r>
        <r>
          <rPr>
            <sz val="10"/>
            <color indexed="81"/>
            <rFont val="Tahoma"/>
          </rPr>
          <t xml:space="preserve">
با ارفاف
</t>
        </r>
      </text>
    </comment>
  </commentList>
</comments>
</file>

<file path=xl/sharedStrings.xml><?xml version="1.0" encoding="utf-8"?>
<sst xmlns="http://schemas.openxmlformats.org/spreadsheetml/2006/main" count="2079" uniqueCount="142">
  <si>
    <t xml:space="preserve">Language </t>
  </si>
  <si>
    <t>prompt</t>
  </si>
  <si>
    <t>Program Name</t>
  </si>
  <si>
    <t>C1 - Classes and Interfaces</t>
  </si>
  <si>
    <t>C1a_Constructor</t>
  </si>
  <si>
    <t>C1b_Constructor_Parameters</t>
  </si>
  <si>
    <t>C2 - Attributes and Types</t>
  </si>
  <si>
    <t>C2a-Visibility attributes</t>
  </si>
  <si>
    <t>C3 - Methods</t>
  </si>
  <si>
    <t>C3a-Parameters</t>
  </si>
  <si>
    <t>C3b-Visibility methods_Constructors</t>
  </si>
  <si>
    <t>C4 - Inheritance Relationship</t>
  </si>
  <si>
    <t>C5 - Realization Relationship</t>
  </si>
  <si>
    <t>C6 - Association Relationship</t>
  </si>
  <si>
    <t>C7 - Aggregation/Composition Relationship</t>
  </si>
  <si>
    <t>C8 - Abstract Classes and Methods</t>
  </si>
  <si>
    <t>C9 - Static Classes and Methods</t>
  </si>
  <si>
    <t>C10 - Association Multiplicity</t>
  </si>
  <si>
    <t>C11 - Association Role Names</t>
  </si>
  <si>
    <t>C12 - Dependency Relationship</t>
  </si>
  <si>
    <t>TP</t>
  </si>
  <si>
    <t>FN</t>
  </si>
  <si>
    <t>FP</t>
  </si>
  <si>
    <t>Recall</t>
  </si>
  <si>
    <t>F1</t>
  </si>
  <si>
    <t>GT</t>
  </si>
  <si>
    <t>ex1_1</t>
  </si>
  <si>
    <t>ex2_1</t>
  </si>
  <si>
    <t>ex3_1</t>
  </si>
  <si>
    <t>ex4_1</t>
  </si>
  <si>
    <t>ex5_1</t>
  </si>
  <si>
    <t>ex6_1</t>
  </si>
  <si>
    <t>ex7_1</t>
  </si>
  <si>
    <t>ex8_1</t>
  </si>
  <si>
    <t>ex9_1</t>
  </si>
  <si>
    <t>ex10_1</t>
  </si>
  <si>
    <t>ex11_1</t>
  </si>
  <si>
    <t>ex12_1</t>
  </si>
  <si>
    <t>ex13_1</t>
  </si>
  <si>
    <t>ex14_1</t>
  </si>
  <si>
    <t>Avarage</t>
  </si>
  <si>
    <t>بدون در نظر گرفتن ساختار سلسله مراتبی</t>
  </si>
  <si>
    <t>ex15_1</t>
  </si>
  <si>
    <t>ex16_1</t>
  </si>
  <si>
    <t>"""Below is an instruction that describes a task, paired with an input that provides further context. Write a response, which is in JSON format that appropriately solves the following Task: 
### Instruction:
Generate a concise UML class diagram for the provided Python code. The output should:
1. Define each class and interface only once, including its attributes, methods, and relationships.
2. Include all relationships (Inheritance, Realization, Dependency, Association, Composition, Aggregation) without duplication.
3. Avoid redundant or repeated operations, classes, or relationships.
### Input:
{code_content}
### Response:
"""</t>
  </si>
  <si>
    <t>ex4_2</t>
  </si>
  <si>
    <t>"""&lt;|User|&gt; Generate a concise UML class diagram from the following python source code.
Requirements:
1. Define each class and interface only once.
2. Include all attributes (with types) and methods.
3. Include all relationships: Inheritance, Realization, Dependency, Association, Composition, Aggregation.
4. Do not duplicate any class, method, attribute, or relationship.
5. Do not invent any element that does not exist in the given code.
6. Return ONLY a valid JSON object. Do not write any explanation, markdown, or extra text.
python code:
{code_content}
&lt;|Assistant|&gt;"""</t>
  </si>
  <si>
    <t>"""&lt;|User|&gt;You are a precise reverse-engineering expert who only extracts what is explicitly present in the source code.
Generate a concise UML class diagram from the following python source code.
Requirements:
1. Define each class and interface only once.
2. Include all attributes (with types) and methods.
3. Include all relationships: Inheritance, Realization, Dependency, Association, Composition, Aggregation.
4. Do not duplicate any class, method, attribute, or relationship.
5. Do not invent any element that does not exist in the given code.
6. Return ONLY a valid JSON object. Do not write any explanation, markdown, or extra text.
python code:
{code_content}
&lt;|Assistant|&gt;"""</t>
  </si>
  <si>
    <t>python</t>
  </si>
  <si>
    <t>"""&lt;|User|&gt; Generate a precise UML class diagram from the following Python source code.
Requirements:
1. Define each class and interface only once.
2. Include all attributes (with types) and methods.
3. Include all relationships: Inheritance, Realization, Dependency, Association, Composition, Aggregation.
4. Do not duplicate any class, method, attribute, or relationship.
5. Do not invent any element that does not exist in the given code.
6. Return ONLY a valid JSON object. Do not write any explanation, markdown, or extra text.
Return ONLY a valid JSON object with exactly this structure:
{
  "classes": [
    {
      "classOrInterface": "Class or Interface",
      "name": "",
      "visibility": "",
      "isStatic": false,
      "isAbstract": false,
      "constructors": [
        {
          "visibility": "",
          "parameters": []
        }
      ],
      "variables": [
        {
          "name": "",
          "type": "",
          "visibility": "",
          "isStatic": false
        }
      ],
      "methods": [
        {
          "name": "",
          "visibility": "",
          "isStatic": false,
          "isAbstract": false,
          "returnType": "",
          "parameters": []
        }
      ]
    }
  ],
  "relationships": [
    {
      "relationship": "",
      "source": "",
      "target": "",
      "multiplicity1": "",
      "role1": "",
      "multiplicity2": "",
      "role2": ""
    }
  ]
}
Python code:
{code_content}
&lt;|Assistant|&gt;"""</t>
  </si>
  <si>
    <t>"""&lt;|User|&gt;Generate a concise UML class diagram from the following Python source code.
Requirements:
1. Define each class and interface only once.
2. Include all attributes (with types) and methods.
3. Include all relationships: Inheritance, Realization, Dependency, Association, Composition, Aggregation.
4. Do not duplicate any class, method, attribute, or relationship.
5. Do not invent any element that does not exist in the given code.
6. Return ONLY a valid JSON object. No explanation, no markdown, no extra text.
Before producing the final JSON, internally check this list:
- Every class and interface is included with correct type (Class / Interface)
- For classes, attributes, and methods: report visibility, abstract, and static only when explicitly written in the code
- Attributes and methods are grouped under the class they belong to
- Constructors are included only if explicitly written (no default constructors)
- Inheritance: child → parent when the class is defined as class Child(Parent):
- Realization: class → interface when the class inherits from an abstract base class
- Other relationships (Association, Aggregation, Composition, Dependency) are detected from field types and usage only when explicitly supported by the source code.
- Multiplicities and roles are added only if explicitly written
- Verify that every relationship has the correct direction (Source → Target) as explicitly supported by the source code.
- Verify that the output contains no additional elements.
Python code:
{code_content}
&lt;|Assistant|&gt;"""</t>
  </si>
  <si>
    <t>"""&lt;|User|&gt;Generate a concise UML class diagram from the following Python source code.
Follow these steps in order to build your answer:
Step 1: Identify every class and interface in the code, and determine its type (Class or Interface). Include visibility, abstract, and static ONLY if explicitly written in the code.
Step 2: For each class/interface, extract its attributes (with types). Include visibility, abstract, and static ONLY if explicitly written in the code.
Step 3: For each class/interface, extract its methods. Same rule: report modifiers only if explicit.
Step 4: Identify constructors ONLY if explicitly written (do not assume default constructors).
Step 5: Identify Inheritance relationships (child → parent) wherever the class is defined as class Child(Parent):.
Step 6: Identify Realization relationships (class → interface) wherever the class is defined as class Child(Parent): and the parent qualifies as an interface.
Step 7: Identify Association, Aggregation, Composition, and Dependency relationships based on field types and usage — only when explicitly supported by the code. Determine the correct direction (Source → Target) for each.
Step 8: Add multiplicities and roles ONLY if explicitly written in the code.
Step 9: Review your result — remove any class, method, attribute, or relationship that does not actually exist in the code.
Step 10: Review your result — remove any duplicate entries.
After completing all steps above, output the final result.
Requirements for the output:
- Return ONLY a valid JSON object.
- No explanation, no markdown, no extra text, no mention of the steps.
Python code:
{code_content}
&lt;|Assistant|&gt;"""</t>
  </si>
  <si>
    <t>"""&lt;|User|&gt;Generate a concise UML class diagram from the following Python source code.
Requirements:
1. Define each class and interface only once.
2. Include all attributes (with types) and methods.
3. Include all relationships: Inheritance, Realization, Dependency, Association, Composition, Aggregation.
4. Do not duplicate any class, method, attribute, or relationship.
5. Do not invent any element that does not exist in the given code.
6. Return ONLY a valid JSON object. Do not write any explanation, markdown, or extra text.
Before returning the diagram, compare the generated diagram JSON with the source code and fix any missing, invented, or incorrectly stated details needed for a UML class diagram, based only on what is explicitly written in the code.
Python code:
{code_content}
&lt;|Assistant|&gt;"""</t>
  </si>
  <si>
    <t>"""&lt;|User|&gt;Analyze the following Python source code to prepare a UML class diagram.
Requirements:
1. Define each class and interface only once.
2. Include all attributes (with types) and methods.
3. Include all relationships: Inheritance, Realization, Dependency, Association, Composition, Aggregation.
4. Do not duplicate any class, method, attribute, or relationship.
5. Do not invent any element that does not exist in the given code.
Python code:
{code_content}   Think step by step and write only your step-by-step reasoning.
&lt;|Assistant|&gt;"""</t>
  </si>
  <si>
    <t>prompt1</t>
  </si>
  <si>
    <t>prompt2</t>
  </si>
  <si>
    <t>"""&lt;|User|&gt;Here is your step-by-step reasoning about the Python source code:
{step1_response}
Now, based on the above reasoning, generate the final UML class diagram.
Requirements:
1. Define each class and interface only once.
2. Include all attributes (with types) and methods.
3. Include all relationships: Inheritance, Realization, Dependency, Association, Composition, Aggregation.
4. Do not duplicate any class, method, attribute, or relationship.
5. Do not invent any element that does not exist in the given code or in the reasoning above.
6. Return ONLY a valid JSON object. No explanation, no markdown, no extra text.
&lt;|Assistant|&gt;"""</t>
  </si>
  <si>
    <t>AVG</t>
  </si>
  <si>
    <t xml:space="preserve"> </t>
  </si>
  <si>
    <t>"""&lt;|User|&gt;Generate a concise UML class diagram from the following python source code.
CRITICAL GENERAL RULE:
Never guess or assume anything. Only report a value if it is explicitly written in the code. 
If a detail is not written in the code, leave it as default or empty — never invent it.
Requirements:
1. Define each class and interface only once.
2. Include all attributes (with types) and methods.
3. Include all relationships: Inheritance, Realization, Dependency, Association, Composition, Aggregation.
4. Do not duplicate any class, method, attribute, or relationship.
5. Do not invent any element that does not exist in the given code.
6. Return ONLY a valid JSON object. Do not write any explanation, markdown, or extra text.
python code:
{code_content}
&lt;|Assistant|&gt;"""</t>
  </si>
  <si>
    <t>ex1_2</t>
  </si>
  <si>
    <t>ex2_2</t>
  </si>
  <si>
    <t>ex3_2</t>
  </si>
  <si>
    <t>ex5_2</t>
  </si>
  <si>
    <t>ex6_2</t>
  </si>
  <si>
    <t>ex7_2</t>
  </si>
  <si>
    <t>ex8_2</t>
  </si>
  <si>
    <t>ex9_2</t>
  </si>
  <si>
    <t>ex10_2</t>
  </si>
  <si>
    <t>ex11_2</t>
  </si>
  <si>
    <t>ex12_2</t>
  </si>
  <si>
    <t>ex13_2</t>
  </si>
  <si>
    <t>ex14_2</t>
  </si>
  <si>
    <t>ex15_2</t>
  </si>
  <si>
    <t>ex16_2</t>
  </si>
  <si>
    <t>ex1</t>
  </si>
  <si>
    <t>ex2</t>
  </si>
  <si>
    <t>ex3</t>
  </si>
  <si>
    <t>ex4</t>
  </si>
  <si>
    <t>ex5</t>
  </si>
  <si>
    <t>ex6</t>
  </si>
  <si>
    <t>ex7</t>
  </si>
  <si>
    <t>ex8</t>
  </si>
  <si>
    <t>ex9</t>
  </si>
  <si>
    <t>ex10</t>
  </si>
  <si>
    <t>ex11</t>
  </si>
  <si>
    <t>ex12</t>
  </si>
  <si>
    <t>ex13</t>
  </si>
  <si>
    <t>ex14</t>
  </si>
  <si>
    <t>ex15</t>
  </si>
  <si>
    <t>ex16</t>
  </si>
  <si>
    <t>Prompt name</t>
  </si>
  <si>
    <t>Recall AVG</t>
  </si>
  <si>
    <t>F1 AVG</t>
  </si>
  <si>
    <t>Self-review-postfix</t>
  </si>
  <si>
    <t>C2_Constructor</t>
  </si>
  <si>
    <t>C2a_Constructor_Parameters</t>
  </si>
  <si>
    <t>C3 - Attributes and Types</t>
  </si>
  <si>
    <t>C3a-Visibility attributes</t>
  </si>
  <si>
    <t>C4 - Methods</t>
  </si>
  <si>
    <t>C4a-Parameters</t>
  </si>
  <si>
    <t>C4b-Visibility methods_Constructors</t>
  </si>
  <si>
    <t>C5 - Inheritance Relationship</t>
  </si>
  <si>
    <t>C6 - Realization Relationship</t>
  </si>
  <si>
    <t>C7 - Association Relationship</t>
  </si>
  <si>
    <t>C8 - Aggregation/Composition Relationship</t>
  </si>
  <si>
    <t>C9- Direction</t>
  </si>
  <si>
    <t>C10 - Abstract Classes and Methods</t>
  </si>
  <si>
    <t>C11 - Static Classes and Methods</t>
  </si>
  <si>
    <t>C12 - Association Multiplicity</t>
  </si>
  <si>
    <t>C13 - Dependency Relationship</t>
  </si>
  <si>
    <t>SUM</t>
  </si>
  <si>
    <t>C1</t>
  </si>
  <si>
    <t>C2</t>
  </si>
  <si>
    <t>C2a</t>
  </si>
  <si>
    <t>C3</t>
  </si>
  <si>
    <t>C3a</t>
  </si>
  <si>
    <t>C4</t>
  </si>
  <si>
    <t>C4a</t>
  </si>
  <si>
    <t>C4b</t>
  </si>
  <si>
    <t>C5</t>
  </si>
  <si>
    <t>C6</t>
  </si>
  <si>
    <t>C7</t>
  </si>
  <si>
    <t>C8</t>
  </si>
  <si>
    <t>C9</t>
  </si>
  <si>
    <t>C10</t>
  </si>
  <si>
    <t>C11</t>
  </si>
  <si>
    <t>C12</t>
  </si>
  <si>
    <t>C13</t>
  </si>
  <si>
    <t>Min</t>
  </si>
  <si>
    <t>Max</t>
  </si>
  <si>
    <t>Alpaca</t>
  </si>
  <si>
    <t>Baseline</t>
  </si>
  <si>
    <t>Persona</t>
  </si>
  <si>
    <t>Strict-no-guessing</t>
  </si>
  <si>
    <t>Schema-guided</t>
  </si>
  <si>
    <t>Checklist</t>
  </si>
  <si>
    <t>Step-by-step</t>
  </si>
  <si>
    <t>COT</t>
  </si>
  <si>
    <t>RCI</t>
  </si>
  <si>
    <t>Precision AVG</t>
  </si>
  <si>
    <t>Precision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</si>
</sst>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4"/>
      <color theme="1"/>
      <name val="Aptos Narrow"/>
      <family val="2"/>
      <scheme val="minor"/>
    </font>
    <font>
      <sz val="10"/>
      <color indexed="81"/>
      <name val="Tahoma"/>
    </font>
    <font>
      <b/>
      <sz val="10"/>
      <color indexed="81"/>
      <name val="Tahoma"/>
    </font>
    <font>
      <sz val="8"/>
      <name val="Aptos Narrow"/>
      <family val="2"/>
      <scheme val="minor"/>
    </font>
    <font>
      <sz val="13"/>
      <color theme="1"/>
      <name val="Times New Roman"/>
      <family val="1"/>
    </font>
    <font>
      <sz val="12"/>
      <color theme="1"/>
      <name val="Times New Roman"/>
      <family val="1"/>
    </font>
  </fonts>
  <fills count="19">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theme="8" tint="-0.249977111117893"/>
        <bgColor indexed="64"/>
      </patternFill>
    </fill>
  </fills>
  <borders count="59">
    <border>
      <left/>
      <right/>
      <top/>
      <bottom/>
      <diagonal/>
    </border>
    <border>
      <left/>
      <right style="thin">
        <color indexed="64"/>
      </right>
      <top style="thick">
        <color indexed="64"/>
      </top>
      <bottom/>
      <diagonal/>
    </border>
    <border>
      <left/>
      <right/>
      <top style="thick">
        <color indexed="64"/>
      </top>
      <bottom/>
      <diagonal/>
    </border>
    <border>
      <left style="thin">
        <color indexed="64"/>
      </left>
      <right style="thick">
        <color indexed="64"/>
      </right>
      <top style="thick">
        <color indexed="64"/>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style="thin">
        <color indexed="64"/>
      </right>
      <top style="thick">
        <color indexed="64"/>
      </top>
      <bottom/>
      <diagonal/>
    </border>
    <border>
      <left/>
      <right style="thin">
        <color indexed="64"/>
      </right>
      <top/>
      <bottom style="thin">
        <color indexed="64"/>
      </bottom>
      <diagonal/>
    </border>
    <border>
      <left style="thin">
        <color indexed="64"/>
      </left>
      <right style="thick">
        <color indexed="64"/>
      </right>
      <top/>
      <bottom/>
      <diagonal/>
    </border>
    <border>
      <left/>
      <right style="thin">
        <color indexed="64"/>
      </right>
      <top style="thick">
        <color indexed="64"/>
      </top>
      <bottom style="thick">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ck">
        <color indexed="64"/>
      </right>
      <top/>
      <bottom style="thick">
        <color indexed="64"/>
      </bottom>
      <diagonal/>
    </border>
    <border>
      <left/>
      <right style="thick">
        <color indexed="64"/>
      </right>
      <top/>
      <bottom style="thick">
        <color indexed="64"/>
      </bottom>
      <diagonal/>
    </border>
    <border>
      <left style="thick">
        <color indexed="64"/>
      </left>
      <right style="thick">
        <color indexed="64"/>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diagonal/>
    </border>
    <border>
      <left/>
      <right style="thick">
        <color indexed="64"/>
      </right>
      <top style="medium">
        <color indexed="64"/>
      </top>
      <bottom/>
      <diagonal/>
    </border>
    <border>
      <left style="thick">
        <color indexed="64"/>
      </left>
      <right style="thick">
        <color indexed="64"/>
      </right>
      <top style="medium">
        <color indexed="64"/>
      </top>
      <bottom/>
      <diagonal/>
    </border>
    <border>
      <left/>
      <right style="medium">
        <color indexed="64"/>
      </right>
      <top style="medium">
        <color indexed="64"/>
      </top>
      <bottom/>
      <diagonal/>
    </border>
    <border>
      <left/>
      <right style="medium">
        <color indexed="64"/>
      </right>
      <top/>
      <bottom style="thick">
        <color indexed="64"/>
      </bottom>
      <diagonal/>
    </border>
    <border>
      <left style="thick">
        <color indexed="64"/>
      </left>
      <right style="thick">
        <color indexed="64"/>
      </right>
      <top/>
      <bottom style="thin">
        <color indexed="64"/>
      </bottom>
      <diagonal/>
    </border>
    <border>
      <left/>
      <right style="medium">
        <color indexed="64"/>
      </right>
      <top style="thick">
        <color indexed="64"/>
      </top>
      <bottom style="thin">
        <color indexed="64"/>
      </bottom>
      <diagonal/>
    </border>
    <border>
      <left/>
      <right style="medium">
        <color indexed="64"/>
      </right>
      <top style="thin">
        <color indexed="64"/>
      </top>
      <bottom style="thin">
        <color indexed="64"/>
      </bottom>
      <diagonal/>
    </border>
    <border>
      <left style="thick">
        <color indexed="64"/>
      </left>
      <right style="thick">
        <color indexed="64"/>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ck">
        <color indexed="64"/>
      </left>
      <right style="thick">
        <color indexed="64"/>
      </right>
      <top style="thin">
        <color indexed="64"/>
      </top>
      <bottom/>
      <diagonal/>
    </border>
    <border>
      <left/>
      <right style="thick">
        <color indexed="64"/>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thick">
        <color indexed="64"/>
      </right>
      <top/>
      <bottom style="medium">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hair">
        <color indexed="64"/>
      </top>
      <bottom/>
      <diagonal/>
    </border>
    <border>
      <left style="thin">
        <color indexed="64"/>
      </left>
      <right/>
      <top style="thick">
        <color indexed="64"/>
      </top>
      <bottom/>
      <diagonal/>
    </border>
    <border>
      <left style="thin">
        <color indexed="64"/>
      </left>
      <right/>
      <top style="thick">
        <color indexed="64"/>
      </top>
      <bottom style="thick">
        <color indexed="64"/>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style="thick">
        <color indexed="64"/>
      </left>
      <right style="thin">
        <color indexed="64"/>
      </right>
      <top style="thick">
        <color indexed="64"/>
      </top>
      <bottom style="thin">
        <color indexed="64"/>
      </bottom>
      <diagonal/>
    </border>
  </borders>
  <cellStyleXfs count="1">
    <xf numFmtId="0" fontId="0" fillId="0" borderId="0"/>
  </cellStyleXfs>
  <cellXfs count="184">
    <xf numFmtId="0" fontId="0" fillId="0" borderId="0" xfId="0"/>
    <xf numFmtId="0" fontId="0" fillId="2" borderId="1" xfId="0" applyFill="1" applyBorder="1" applyAlignment="1">
      <alignment horizontal="center" vertical="center"/>
    </xf>
    <xf numFmtId="0" fontId="0" fillId="2" borderId="3" xfId="0" applyFill="1" applyBorder="1" applyAlignment="1">
      <alignment horizontal="center" vertical="center"/>
    </xf>
    <xf numFmtId="0" fontId="0" fillId="2" borderId="5" xfId="0" applyFill="1" applyBorder="1" applyAlignment="1">
      <alignment horizontal="center" vertical="center"/>
    </xf>
    <xf numFmtId="0" fontId="0" fillId="2" borderId="9"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3" borderId="15" xfId="0"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0" fillId="3" borderId="17" xfId="0" applyFill="1" applyBorder="1" applyAlignment="1">
      <alignment horizontal="center" vertical="center"/>
    </xf>
    <xf numFmtId="0" fontId="0" fillId="4" borderId="20" xfId="0" applyFill="1" applyBorder="1" applyAlignment="1">
      <alignment horizontal="center" vertical="center"/>
    </xf>
    <xf numFmtId="0" fontId="0" fillId="4" borderId="21" xfId="0" applyFill="1" applyBorder="1" applyAlignment="1">
      <alignment horizontal="center" vertical="center"/>
    </xf>
    <xf numFmtId="0" fontId="0" fillId="4" borderId="14" xfId="0" applyFill="1" applyBorder="1" applyAlignment="1">
      <alignment horizontal="center" vertical="center"/>
    </xf>
    <xf numFmtId="0" fontId="0" fillId="5" borderId="20" xfId="0" applyFill="1" applyBorder="1" applyAlignment="1">
      <alignment horizontal="center" vertical="center"/>
    </xf>
    <xf numFmtId="0" fontId="0" fillId="5" borderId="21" xfId="0" applyFill="1" applyBorder="1" applyAlignment="1">
      <alignment horizontal="center" vertical="center"/>
    </xf>
    <xf numFmtId="0" fontId="0" fillId="5" borderId="14" xfId="0" applyFill="1" applyBorder="1" applyAlignment="1">
      <alignment horizontal="center" vertical="center"/>
    </xf>
    <xf numFmtId="0" fontId="0" fillId="6" borderId="20" xfId="0" applyFill="1" applyBorder="1" applyAlignment="1">
      <alignment horizontal="center" vertical="center"/>
    </xf>
    <xf numFmtId="0" fontId="0" fillId="6" borderId="21" xfId="0" applyFill="1" applyBorder="1" applyAlignment="1">
      <alignment horizontal="center" vertical="center"/>
    </xf>
    <xf numFmtId="0" fontId="0" fillId="6" borderId="14" xfId="0" applyFill="1" applyBorder="1" applyAlignment="1">
      <alignment horizontal="center" vertical="center"/>
    </xf>
    <xf numFmtId="0" fontId="0" fillId="7" borderId="20" xfId="0" applyFill="1" applyBorder="1" applyAlignment="1">
      <alignment horizontal="center" vertical="center"/>
    </xf>
    <xf numFmtId="0" fontId="0" fillId="7" borderId="21" xfId="0" applyFill="1" applyBorder="1" applyAlignment="1">
      <alignment horizontal="center" vertical="center"/>
    </xf>
    <xf numFmtId="0" fontId="0" fillId="7" borderId="14" xfId="0" applyFill="1" applyBorder="1" applyAlignment="1">
      <alignment horizontal="center" vertical="center"/>
    </xf>
    <xf numFmtId="0" fontId="0" fillId="8" borderId="20" xfId="0" applyFill="1" applyBorder="1" applyAlignment="1">
      <alignment horizontal="center" vertical="center"/>
    </xf>
    <xf numFmtId="0" fontId="0" fillId="8" borderId="21" xfId="0" applyFill="1" applyBorder="1" applyAlignment="1">
      <alignment horizontal="center" vertical="center"/>
    </xf>
    <xf numFmtId="0" fontId="0" fillId="8" borderId="14" xfId="0" applyFill="1" applyBorder="1" applyAlignment="1">
      <alignment horizontal="center" vertical="center"/>
    </xf>
    <xf numFmtId="0" fontId="0" fillId="9" borderId="20" xfId="0" applyFill="1" applyBorder="1" applyAlignment="1">
      <alignment horizontal="center" vertical="center"/>
    </xf>
    <xf numFmtId="0" fontId="0" fillId="9" borderId="21" xfId="0" applyFill="1" applyBorder="1" applyAlignment="1">
      <alignment horizontal="center" vertical="center"/>
    </xf>
    <xf numFmtId="0" fontId="0" fillId="9" borderId="14" xfId="0" applyFill="1" applyBorder="1" applyAlignment="1">
      <alignment horizontal="center" vertical="center"/>
    </xf>
    <xf numFmtId="0" fontId="0" fillId="10" borderId="20" xfId="0" applyFill="1" applyBorder="1" applyAlignment="1">
      <alignment horizontal="center" vertical="center"/>
    </xf>
    <xf numFmtId="0" fontId="0" fillId="10" borderId="21" xfId="0" applyFill="1" applyBorder="1" applyAlignment="1">
      <alignment horizontal="center" vertical="center"/>
    </xf>
    <xf numFmtId="0" fontId="0" fillId="10" borderId="14" xfId="0" applyFill="1" applyBorder="1" applyAlignment="1">
      <alignment horizontal="center" vertical="center"/>
    </xf>
    <xf numFmtId="0" fontId="0" fillId="11" borderId="20" xfId="0" applyFill="1" applyBorder="1" applyAlignment="1">
      <alignment horizontal="center" vertical="center"/>
    </xf>
    <xf numFmtId="0" fontId="0" fillId="11" borderId="21" xfId="0" applyFill="1" applyBorder="1" applyAlignment="1">
      <alignment horizontal="center" vertical="center"/>
    </xf>
    <xf numFmtId="0" fontId="0" fillId="11" borderId="14" xfId="0" applyFill="1" applyBorder="1" applyAlignment="1">
      <alignment horizontal="center" vertical="center"/>
    </xf>
    <xf numFmtId="0" fontId="0" fillId="12" borderId="20" xfId="0" applyFill="1" applyBorder="1" applyAlignment="1">
      <alignment horizontal="center" vertical="center"/>
    </xf>
    <xf numFmtId="0" fontId="0" fillId="12" borderId="21" xfId="0" applyFill="1" applyBorder="1" applyAlignment="1">
      <alignment horizontal="center" vertical="center"/>
    </xf>
    <xf numFmtId="0" fontId="0" fillId="12" borderId="14" xfId="0" applyFill="1" applyBorder="1" applyAlignment="1">
      <alignment horizontal="center" vertical="center"/>
    </xf>
    <xf numFmtId="0" fontId="0" fillId="13" borderId="20" xfId="0" applyFill="1" applyBorder="1" applyAlignment="1">
      <alignment horizontal="center" vertical="center"/>
    </xf>
    <xf numFmtId="0" fontId="0" fillId="13" borderId="21" xfId="0" applyFill="1" applyBorder="1" applyAlignment="1">
      <alignment horizontal="center" vertical="center"/>
    </xf>
    <xf numFmtId="0" fontId="0" fillId="13" borderId="14" xfId="0" applyFill="1" applyBorder="1" applyAlignment="1">
      <alignment horizontal="center" vertical="center"/>
    </xf>
    <xf numFmtId="0" fontId="0" fillId="14" borderId="20" xfId="0" applyFill="1" applyBorder="1" applyAlignment="1">
      <alignment horizontal="center" vertical="center"/>
    </xf>
    <xf numFmtId="0" fontId="0" fillId="14" borderId="21" xfId="0" applyFill="1" applyBorder="1" applyAlignment="1">
      <alignment horizontal="center" vertical="center"/>
    </xf>
    <xf numFmtId="0" fontId="0" fillId="14" borderId="14" xfId="0" applyFill="1" applyBorder="1" applyAlignment="1">
      <alignment horizontal="center" vertical="center"/>
    </xf>
    <xf numFmtId="0" fontId="0" fillId="15" borderId="20" xfId="0" applyFill="1" applyBorder="1" applyAlignment="1">
      <alignment horizontal="center" vertical="center"/>
    </xf>
    <xf numFmtId="0" fontId="0" fillId="15" borderId="21" xfId="0" applyFill="1" applyBorder="1" applyAlignment="1">
      <alignment horizontal="center" vertical="center"/>
    </xf>
    <xf numFmtId="0" fontId="0" fillId="15" borderId="14" xfId="0" applyFill="1" applyBorder="1" applyAlignment="1">
      <alignment horizontal="center" vertical="center"/>
    </xf>
    <xf numFmtId="0" fontId="0" fillId="15" borderId="13" xfId="0" applyFill="1" applyBorder="1" applyAlignment="1">
      <alignment horizontal="center" vertical="center"/>
    </xf>
    <xf numFmtId="0" fontId="0" fillId="2" borderId="19" xfId="0" applyFill="1" applyBorder="1" applyAlignment="1">
      <alignment horizontal="center" vertical="center"/>
    </xf>
    <xf numFmtId="0" fontId="0" fillId="3" borderId="13" xfId="0" applyFill="1" applyBorder="1" applyAlignment="1">
      <alignment horizontal="center" vertical="center"/>
    </xf>
    <xf numFmtId="0" fontId="0" fillId="4" borderId="13" xfId="0" applyFill="1" applyBorder="1" applyAlignment="1">
      <alignment horizontal="center" vertical="center"/>
    </xf>
    <xf numFmtId="0" fontId="0" fillId="5" borderId="13" xfId="0" applyFill="1" applyBorder="1" applyAlignment="1">
      <alignment horizontal="center" vertical="center"/>
    </xf>
    <xf numFmtId="0" fontId="0" fillId="6" borderId="13" xfId="0" applyFill="1" applyBorder="1" applyAlignment="1">
      <alignment horizontal="center" vertical="center"/>
    </xf>
    <xf numFmtId="0" fontId="0" fillId="7" borderId="13" xfId="0" applyFill="1" applyBorder="1" applyAlignment="1">
      <alignment horizontal="center" vertical="center"/>
    </xf>
    <xf numFmtId="0" fontId="0" fillId="8" borderId="13" xfId="0" applyFill="1" applyBorder="1" applyAlignment="1">
      <alignment horizontal="center" vertical="center"/>
    </xf>
    <xf numFmtId="0" fontId="0" fillId="9" borderId="13" xfId="0" applyFill="1" applyBorder="1" applyAlignment="1">
      <alignment horizontal="center" vertical="center"/>
    </xf>
    <xf numFmtId="0" fontId="0" fillId="10" borderId="13" xfId="0" applyFill="1" applyBorder="1" applyAlignment="1">
      <alignment horizontal="center" vertical="center"/>
    </xf>
    <xf numFmtId="0" fontId="0" fillId="11" borderId="13" xfId="0" applyFill="1" applyBorder="1" applyAlignment="1">
      <alignment horizontal="center" vertical="center"/>
    </xf>
    <xf numFmtId="0" fontId="0" fillId="12" borderId="13" xfId="0" applyFill="1" applyBorder="1" applyAlignment="1">
      <alignment horizontal="center" vertical="center"/>
    </xf>
    <xf numFmtId="0" fontId="0" fillId="13" borderId="13" xfId="0" applyFill="1" applyBorder="1" applyAlignment="1">
      <alignment horizontal="center" vertical="center"/>
    </xf>
    <xf numFmtId="0" fontId="0" fillId="14" borderId="13" xfId="0" applyFill="1" applyBorder="1" applyAlignment="1">
      <alignment horizontal="center" vertical="center"/>
    </xf>
    <xf numFmtId="0" fontId="0" fillId="16" borderId="13" xfId="0" applyFill="1" applyBorder="1" applyAlignment="1">
      <alignment horizontal="center" vertical="center"/>
    </xf>
    <xf numFmtId="0" fontId="0" fillId="3" borderId="24" xfId="0" applyFill="1" applyBorder="1" applyAlignment="1">
      <alignment horizontal="center" vertical="center"/>
    </xf>
    <xf numFmtId="0" fontId="0" fillId="3" borderId="25" xfId="0" applyFill="1" applyBorder="1" applyAlignment="1">
      <alignment horizontal="center" vertical="center"/>
    </xf>
    <xf numFmtId="0" fontId="0" fillId="4" borderId="26" xfId="0" applyFill="1" applyBorder="1" applyAlignment="1">
      <alignment horizontal="center" vertical="center"/>
    </xf>
    <xf numFmtId="0" fontId="0" fillId="4" borderId="27" xfId="0" applyFill="1" applyBorder="1" applyAlignment="1">
      <alignment horizontal="center" vertical="center"/>
    </xf>
    <xf numFmtId="0" fontId="0" fillId="5" borderId="26" xfId="0" applyFill="1" applyBorder="1" applyAlignment="1">
      <alignment horizontal="center" vertical="center"/>
    </xf>
    <xf numFmtId="0" fontId="0" fillId="5" borderId="27" xfId="0" applyFill="1" applyBorder="1" applyAlignment="1">
      <alignment horizontal="center" vertical="center"/>
    </xf>
    <xf numFmtId="0" fontId="0" fillId="6" borderId="26" xfId="0" applyFill="1" applyBorder="1" applyAlignment="1">
      <alignment horizontal="center" vertical="center"/>
    </xf>
    <xf numFmtId="0" fontId="0" fillId="6" borderId="27" xfId="0" applyFill="1" applyBorder="1" applyAlignment="1">
      <alignment horizontal="center" vertical="center"/>
    </xf>
    <xf numFmtId="0" fontId="0" fillId="7" borderId="26" xfId="0" applyFill="1" applyBorder="1" applyAlignment="1">
      <alignment horizontal="center" vertical="center"/>
    </xf>
    <xf numFmtId="0" fontId="0" fillId="7" borderId="27" xfId="0" applyFill="1" applyBorder="1" applyAlignment="1">
      <alignment horizontal="center" vertical="center"/>
    </xf>
    <xf numFmtId="0" fontId="0" fillId="8" borderId="26" xfId="0" applyFill="1" applyBorder="1" applyAlignment="1">
      <alignment horizontal="center" vertical="center"/>
    </xf>
    <xf numFmtId="0" fontId="0" fillId="8" borderId="27" xfId="0" applyFill="1" applyBorder="1" applyAlignment="1">
      <alignment horizontal="center" vertical="center"/>
    </xf>
    <xf numFmtId="0" fontId="0" fillId="9" borderId="26" xfId="0" applyFill="1" applyBorder="1" applyAlignment="1">
      <alignment horizontal="center" vertical="center"/>
    </xf>
    <xf numFmtId="0" fontId="0" fillId="9" borderId="27" xfId="0" applyFill="1" applyBorder="1" applyAlignment="1">
      <alignment horizontal="center" vertical="center"/>
    </xf>
    <xf numFmtId="0" fontId="0" fillId="10" borderId="26" xfId="0" applyFill="1" applyBorder="1" applyAlignment="1">
      <alignment horizontal="center" vertical="center"/>
    </xf>
    <xf numFmtId="0" fontId="0" fillId="10" borderId="27" xfId="0" applyFill="1" applyBorder="1" applyAlignment="1">
      <alignment horizontal="center" vertical="center"/>
    </xf>
    <xf numFmtId="0" fontId="0" fillId="11" borderId="26" xfId="0" applyFill="1" applyBorder="1" applyAlignment="1">
      <alignment horizontal="center" vertical="center"/>
    </xf>
    <xf numFmtId="0" fontId="0" fillId="11" borderId="27" xfId="0" applyFill="1" applyBorder="1" applyAlignment="1">
      <alignment horizontal="center" vertical="center"/>
    </xf>
    <xf numFmtId="0" fontId="0" fillId="12" borderId="26" xfId="0" applyFill="1" applyBorder="1" applyAlignment="1">
      <alignment horizontal="center" vertical="center"/>
    </xf>
    <xf numFmtId="0" fontId="0" fillId="12" borderId="27" xfId="0" applyFill="1" applyBorder="1" applyAlignment="1">
      <alignment horizontal="center" vertical="center"/>
    </xf>
    <xf numFmtId="0" fontId="0" fillId="13" borderId="26" xfId="0" applyFill="1" applyBorder="1" applyAlignment="1">
      <alignment horizontal="center" vertical="center"/>
    </xf>
    <xf numFmtId="0" fontId="0" fillId="13" borderId="27" xfId="0" applyFill="1" applyBorder="1" applyAlignment="1">
      <alignment horizontal="center" vertical="center"/>
    </xf>
    <xf numFmtId="0" fontId="0" fillId="14" borderId="26" xfId="0" applyFill="1" applyBorder="1" applyAlignment="1">
      <alignment horizontal="center" vertical="center"/>
    </xf>
    <xf numFmtId="0" fontId="0" fillId="14" borderId="27" xfId="0" applyFill="1" applyBorder="1" applyAlignment="1">
      <alignment horizontal="center" vertical="center"/>
    </xf>
    <xf numFmtId="0" fontId="0" fillId="15" borderId="26" xfId="0" applyFill="1" applyBorder="1" applyAlignment="1">
      <alignment horizontal="center" vertical="center"/>
    </xf>
    <xf numFmtId="0" fontId="0" fillId="15" borderId="27" xfId="0" applyFill="1" applyBorder="1" applyAlignment="1">
      <alignment horizontal="center" vertical="center"/>
    </xf>
    <xf numFmtId="0" fontId="0" fillId="3" borderId="33" xfId="0" applyFill="1" applyBorder="1" applyAlignment="1">
      <alignment horizontal="center" vertical="center"/>
    </xf>
    <xf numFmtId="0" fontId="0" fillId="3" borderId="34" xfId="0" applyFill="1" applyBorder="1" applyAlignment="1">
      <alignment horizontal="center" vertical="center"/>
    </xf>
    <xf numFmtId="0" fontId="0" fillId="4" borderId="35" xfId="0" applyFill="1" applyBorder="1" applyAlignment="1">
      <alignment horizontal="center" vertical="center"/>
    </xf>
    <xf numFmtId="0" fontId="0" fillId="5" borderId="35" xfId="0" applyFill="1" applyBorder="1" applyAlignment="1">
      <alignment horizontal="center" vertical="center"/>
    </xf>
    <xf numFmtId="0" fontId="0" fillId="6" borderId="35" xfId="0" applyFill="1" applyBorder="1" applyAlignment="1">
      <alignment horizontal="center" vertical="center"/>
    </xf>
    <xf numFmtId="0" fontId="0" fillId="7" borderId="35" xfId="0" applyFill="1" applyBorder="1" applyAlignment="1">
      <alignment horizontal="center" vertical="center"/>
    </xf>
    <xf numFmtId="0" fontId="0" fillId="8" borderId="35" xfId="0" applyFill="1" applyBorder="1" applyAlignment="1">
      <alignment horizontal="center" vertical="center"/>
    </xf>
    <xf numFmtId="0" fontId="0" fillId="9" borderId="35" xfId="0" applyFill="1" applyBorder="1" applyAlignment="1">
      <alignment horizontal="center" vertical="center"/>
    </xf>
    <xf numFmtId="0" fontId="0" fillId="10" borderId="35" xfId="0" applyFill="1" applyBorder="1" applyAlignment="1">
      <alignment horizontal="center" vertical="center"/>
    </xf>
    <xf numFmtId="0" fontId="0" fillId="11" borderId="35" xfId="0" applyFill="1" applyBorder="1" applyAlignment="1">
      <alignment horizontal="center" vertical="center"/>
    </xf>
    <xf numFmtId="0" fontId="0" fillId="12" borderId="35" xfId="0" applyFill="1" applyBorder="1" applyAlignment="1">
      <alignment horizontal="center" vertical="center"/>
    </xf>
    <xf numFmtId="0" fontId="0" fillId="13" borderId="35" xfId="0" applyFill="1" applyBorder="1" applyAlignment="1">
      <alignment horizontal="center" vertical="center"/>
    </xf>
    <xf numFmtId="0" fontId="0" fillId="14" borderId="35" xfId="0" applyFill="1" applyBorder="1" applyAlignment="1">
      <alignment horizontal="center" vertical="center"/>
    </xf>
    <xf numFmtId="0" fontId="0" fillId="15" borderId="35" xfId="0" applyFill="1" applyBorder="1" applyAlignment="1">
      <alignment horizontal="center" vertical="center"/>
    </xf>
    <xf numFmtId="0" fontId="0" fillId="2" borderId="36" xfId="0" applyFill="1" applyBorder="1" applyAlignment="1">
      <alignment horizontal="center" vertical="center"/>
    </xf>
    <xf numFmtId="0" fontId="0" fillId="2" borderId="37" xfId="0" applyFill="1" applyBorder="1" applyAlignment="1">
      <alignment horizontal="center" vertical="center"/>
    </xf>
    <xf numFmtId="0" fontId="0" fillId="16" borderId="28" xfId="0" applyFill="1" applyBorder="1" applyAlignment="1">
      <alignment horizontal="center" vertical="center"/>
    </xf>
    <xf numFmtId="0" fontId="0" fillId="16" borderId="39" xfId="0" applyFill="1" applyBorder="1" applyAlignment="1">
      <alignment horizontal="center" vertical="center"/>
    </xf>
    <xf numFmtId="0" fontId="0" fillId="16" borderId="40" xfId="0" applyFill="1" applyBorder="1" applyAlignment="1">
      <alignment horizontal="center" vertical="center"/>
    </xf>
    <xf numFmtId="0" fontId="0" fillId="16" borderId="41" xfId="0" applyFill="1" applyBorder="1" applyAlignment="1">
      <alignment horizontal="center" vertical="center"/>
    </xf>
    <xf numFmtId="0" fontId="0" fillId="17" borderId="14" xfId="0" applyFill="1" applyBorder="1" applyAlignment="1">
      <alignment horizontal="center" vertical="center"/>
    </xf>
    <xf numFmtId="0" fontId="0" fillId="18" borderId="14" xfId="0" applyFill="1" applyBorder="1" applyAlignment="1">
      <alignment horizontal="center" vertical="center"/>
    </xf>
    <xf numFmtId="0" fontId="0" fillId="16" borderId="42" xfId="0" applyFill="1" applyBorder="1" applyAlignment="1">
      <alignment horizontal="center" vertical="center"/>
    </xf>
    <xf numFmtId="0" fontId="0" fillId="2" borderId="43" xfId="0" applyFill="1" applyBorder="1" applyAlignment="1">
      <alignment horizontal="center" vertical="center"/>
    </xf>
    <xf numFmtId="0" fontId="0" fillId="17" borderId="20" xfId="0" applyFill="1" applyBorder="1" applyAlignment="1">
      <alignment horizontal="center" vertical="center"/>
    </xf>
    <xf numFmtId="0" fontId="0" fillId="18" borderId="20" xfId="0" applyFill="1" applyBorder="1" applyAlignment="1">
      <alignment horizontal="center" vertical="center"/>
    </xf>
    <xf numFmtId="0" fontId="0" fillId="17" borderId="21" xfId="0" applyFill="1" applyBorder="1" applyAlignment="1">
      <alignment horizontal="center" vertical="center"/>
    </xf>
    <xf numFmtId="0" fontId="0" fillId="18" borderId="21" xfId="0" applyFill="1" applyBorder="1" applyAlignment="1">
      <alignment horizontal="center" vertical="center"/>
    </xf>
    <xf numFmtId="0" fontId="0" fillId="2" borderId="38" xfId="0" applyFill="1" applyBorder="1" applyAlignment="1">
      <alignment horizontal="center" vertical="center"/>
    </xf>
    <xf numFmtId="0" fontId="0" fillId="17" borderId="26" xfId="0" applyFill="1" applyBorder="1" applyAlignment="1">
      <alignment horizontal="center" vertical="center"/>
    </xf>
    <xf numFmtId="0" fontId="0" fillId="17" borderId="27" xfId="0" applyFill="1" applyBorder="1" applyAlignment="1">
      <alignment horizontal="center" vertical="center"/>
    </xf>
    <xf numFmtId="0" fontId="0" fillId="18" borderId="26" xfId="0" applyFill="1" applyBorder="1" applyAlignment="1">
      <alignment horizontal="center" vertical="center"/>
    </xf>
    <xf numFmtId="0" fontId="0" fillId="18" borderId="27" xfId="0" applyFill="1" applyBorder="1" applyAlignment="1">
      <alignment horizontal="center" vertical="center"/>
    </xf>
    <xf numFmtId="0" fontId="0" fillId="2" borderId="4" xfId="0" applyFill="1" applyBorder="1" applyAlignment="1">
      <alignment horizontal="center" vertical="center"/>
    </xf>
    <xf numFmtId="0" fontId="0" fillId="2" borderId="6" xfId="0" applyFill="1" applyBorder="1" applyAlignment="1">
      <alignment horizontal="center" vertical="center"/>
    </xf>
    <xf numFmtId="0" fontId="0" fillId="3" borderId="44" xfId="0" applyFill="1" applyBorder="1" applyAlignment="1">
      <alignment horizontal="center" vertical="center"/>
    </xf>
    <xf numFmtId="0" fontId="0" fillId="3" borderId="18" xfId="0" applyFill="1" applyBorder="1" applyAlignment="1">
      <alignment horizontal="center" vertical="center"/>
    </xf>
    <xf numFmtId="0" fontId="0" fillId="0" borderId="49" xfId="0" applyBorder="1"/>
    <xf numFmtId="0" fontId="0" fillId="16" borderId="20" xfId="0" applyFill="1" applyBorder="1" applyAlignment="1">
      <alignment horizontal="center" vertical="center"/>
    </xf>
    <xf numFmtId="0" fontId="0" fillId="16" borderId="21" xfId="0" applyFill="1" applyBorder="1" applyAlignment="1">
      <alignment horizontal="center" vertical="center"/>
    </xf>
    <xf numFmtId="0" fontId="0" fillId="16" borderId="14" xfId="0" applyFill="1" applyBorder="1" applyAlignment="1">
      <alignment horizontal="center" vertical="center"/>
    </xf>
    <xf numFmtId="0" fontId="0" fillId="18" borderId="47" xfId="0" applyFill="1" applyBorder="1" applyAlignment="1">
      <alignment horizontal="center" vertical="center"/>
    </xf>
    <xf numFmtId="0" fontId="0" fillId="18" borderId="48" xfId="0" applyFill="1" applyBorder="1" applyAlignment="1">
      <alignment horizontal="center" vertical="center"/>
    </xf>
    <xf numFmtId="0" fontId="0" fillId="18" borderId="46" xfId="0" applyFill="1" applyBorder="1" applyAlignment="1">
      <alignment horizontal="center" vertical="center"/>
    </xf>
    <xf numFmtId="0" fontId="0" fillId="18" borderId="45" xfId="0" applyFill="1" applyBorder="1" applyAlignment="1">
      <alignment horizontal="center" vertical="center"/>
    </xf>
    <xf numFmtId="0" fontId="0" fillId="0" borderId="0" xfId="0" applyAlignment="1">
      <alignment horizontal="center" vertical="center"/>
    </xf>
    <xf numFmtId="0" fontId="0" fillId="2" borderId="20" xfId="0" applyFill="1" applyBorder="1" applyAlignment="1">
      <alignment horizontal="center" vertical="center"/>
    </xf>
    <xf numFmtId="0" fontId="0" fillId="0" borderId="13" xfId="0" applyBorder="1"/>
    <xf numFmtId="0" fontId="5" fillId="0" borderId="13" xfId="0" applyFont="1" applyBorder="1" applyAlignment="1">
      <alignment horizontal="center" vertical="center" wrapText="1" readingOrder="2"/>
    </xf>
    <xf numFmtId="0" fontId="0" fillId="0" borderId="16" xfId="0" applyBorder="1" applyAlignment="1">
      <alignment vertical="center"/>
    </xf>
    <xf numFmtId="0" fontId="0" fillId="0" borderId="16" xfId="0" applyBorder="1"/>
    <xf numFmtId="0" fontId="0" fillId="0" borderId="15" xfId="0" applyBorder="1"/>
    <xf numFmtId="0" fontId="0" fillId="0" borderId="46" xfId="0" applyBorder="1" applyAlignment="1">
      <alignment vertical="center"/>
    </xf>
    <xf numFmtId="0" fontId="0" fillId="0" borderId="46" xfId="0" applyBorder="1"/>
    <xf numFmtId="0" fontId="0" fillId="0" borderId="47" xfId="0" applyBorder="1"/>
    <xf numFmtId="0" fontId="0" fillId="2" borderId="56" xfId="0" applyFill="1" applyBorder="1" applyAlignment="1">
      <alignment horizontal="center" vertical="center"/>
    </xf>
    <xf numFmtId="0" fontId="0" fillId="2" borderId="57" xfId="0" applyFill="1" applyBorder="1" applyAlignment="1">
      <alignment horizontal="center" vertical="center"/>
    </xf>
    <xf numFmtId="0" fontId="0" fillId="2" borderId="27" xfId="0" applyFill="1" applyBorder="1" applyAlignment="1">
      <alignment horizontal="center" vertical="center"/>
    </xf>
    <xf numFmtId="0" fontId="0" fillId="0" borderId="0" xfId="0" applyAlignment="1">
      <alignment horizontal="center" vertical="center"/>
    </xf>
    <xf numFmtId="0" fontId="0" fillId="2" borderId="13"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9" xfId="0" applyFill="1" applyBorder="1" applyAlignment="1">
      <alignment horizontal="center" vertical="center"/>
    </xf>
    <xf numFmtId="0" fontId="0" fillId="2" borderId="54" xfId="0" applyFill="1" applyBorder="1" applyAlignment="1">
      <alignment horizontal="center" vertical="center"/>
    </xf>
    <xf numFmtId="0" fontId="0" fillId="2" borderId="3" xfId="0" applyFill="1" applyBorder="1" applyAlignment="1">
      <alignment horizontal="center" vertical="center"/>
    </xf>
    <xf numFmtId="0" fontId="0" fillId="2" borderId="55" xfId="0" applyFill="1" applyBorder="1" applyAlignment="1">
      <alignment horizontal="center" vertical="center"/>
    </xf>
    <xf numFmtId="0" fontId="0" fillId="2" borderId="1" xfId="0" applyFill="1" applyBorder="1" applyAlignment="1">
      <alignment horizontal="center" vertical="center"/>
    </xf>
    <xf numFmtId="0" fontId="0" fillId="2" borderId="52" xfId="0" applyFill="1" applyBorder="1" applyAlignment="1">
      <alignment horizontal="center" vertical="center"/>
    </xf>
    <xf numFmtId="0" fontId="0" fillId="2" borderId="53" xfId="0" applyFill="1" applyBorder="1" applyAlignment="1">
      <alignment horizontal="center" vertical="center"/>
    </xf>
    <xf numFmtId="0" fontId="0" fillId="2" borderId="50" xfId="0" applyFill="1" applyBorder="1" applyAlignment="1">
      <alignment horizontal="center" vertical="center"/>
    </xf>
    <xf numFmtId="0" fontId="0" fillId="2" borderId="51"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10" xfId="0" applyFill="1" applyBorder="1" applyAlignment="1">
      <alignment horizontal="center" vertical="center"/>
    </xf>
    <xf numFmtId="0" fontId="0" fillId="2" borderId="2" xfId="0" applyFill="1" applyBorder="1" applyAlignment="1">
      <alignment horizontal="center" vertical="center"/>
    </xf>
    <xf numFmtId="0" fontId="0" fillId="2" borderId="0" xfId="0" applyFill="1" applyAlignment="1">
      <alignment horizontal="center" vertical="center"/>
    </xf>
    <xf numFmtId="0" fontId="0" fillId="2" borderId="11"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31" xfId="0" applyFill="1" applyBorder="1" applyAlignment="1">
      <alignment horizontal="center" vertical="center"/>
    </xf>
    <xf numFmtId="0" fontId="0" fillId="2" borderId="32" xfId="0" applyFill="1" applyBorder="1" applyAlignment="1">
      <alignment horizontal="center" vertical="center"/>
    </xf>
    <xf numFmtId="0" fontId="0" fillId="2" borderId="18" xfId="0" applyFill="1" applyBorder="1" applyAlignment="1">
      <alignment horizontal="center" vertical="center" wrapText="1"/>
    </xf>
    <xf numFmtId="0" fontId="0" fillId="2" borderId="29" xfId="0" applyFill="1" applyBorder="1" applyAlignment="1">
      <alignment horizontal="center" vertical="center"/>
    </xf>
    <xf numFmtId="0" fontId="0" fillId="2" borderId="23" xfId="0" applyFill="1" applyBorder="1" applyAlignment="1">
      <alignment horizontal="center" vertical="center"/>
    </xf>
    <xf numFmtId="0" fontId="0" fillId="2" borderId="30" xfId="0" applyFill="1" applyBorder="1" applyAlignment="1">
      <alignment horizontal="center" vertical="center"/>
    </xf>
    <xf numFmtId="0" fontId="0" fillId="2" borderId="22" xfId="0" applyFill="1" applyBorder="1" applyAlignment="1">
      <alignment horizontal="center" vertical="center"/>
    </xf>
    <xf numFmtId="0" fontId="1" fillId="0" borderId="0" xfId="0" applyFont="1" applyAlignment="1">
      <alignment horizontal="center"/>
    </xf>
    <xf numFmtId="0" fontId="0" fillId="0" borderId="0" xfId="0" applyAlignment="1">
      <alignment horizontal="center"/>
    </xf>
    <xf numFmtId="0" fontId="0" fillId="2" borderId="13" xfId="0" applyFill="1" applyBorder="1" applyAlignment="1">
      <alignment horizontal="center" vertical="center"/>
    </xf>
    <xf numFmtId="0" fontId="0" fillId="2" borderId="18" xfId="0" applyFill="1" applyBorder="1" applyAlignment="1">
      <alignment horizontal="center" vertical="center"/>
    </xf>
    <xf numFmtId="0" fontId="6" fillId="0" borderId="58" xfId="0" applyFont="1" applyBorder="1" applyAlignment="1">
      <alignment horizontal="center" vertical="center" wrapText="1" readingOrder="2"/>
    </xf>
    <xf numFmtId="0" fontId="6" fillId="0" borderId="45" xfId="0" applyFont="1" applyBorder="1" applyAlignment="1">
      <alignment horizontal="center" vertical="center" wrapText="1" readingOrder="2"/>
    </xf>
    <xf numFmtId="0" fontId="6" fillId="0" borderId="52" xfId="0" applyFont="1" applyBorder="1" applyAlignment="1">
      <alignment horizontal="center" vertical="center" wrapText="1" readingOrder="2"/>
    </xf>
    <xf numFmtId="0" fontId="6" fillId="0" borderId="53" xfId="0" applyFont="1" applyBorder="1" applyAlignment="1">
      <alignment horizontal="center" vertical="center" wrapText="1" readingOrder="2"/>
    </xf>
    <xf numFmtId="0" fontId="6" fillId="0" borderId="52" xfId="0" applyFont="1" applyBorder="1" applyAlignment="1">
      <alignment horizontal="center" vertical="center"/>
    </xf>
    <xf numFmtId="0" fontId="6" fillId="0" borderId="5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Summery!$A$2</c:f>
              <c:strCache>
                <c:ptCount val="1"/>
                <c:pt idx="0">
                  <c:v>Alpaca</c:v>
                </c:pt>
              </c:strCache>
            </c:strRef>
          </c:tx>
          <c:spPr>
            <a:solidFill>
              <a:schemeClr val="accent1"/>
            </a:solidFill>
            <a:ln>
              <a:noFill/>
            </a:ln>
            <a:effectLst/>
          </c:spPr>
          <c:invertIfNegative val="0"/>
          <c:cat>
            <c:strRef>
              <c:f>Summery!$B$1:$D$1</c:f>
              <c:strCache>
                <c:ptCount val="3"/>
                <c:pt idx="0">
                  <c:v>Recall AVG</c:v>
                </c:pt>
                <c:pt idx="1">
                  <c:v>Precision AVG</c:v>
                </c:pt>
                <c:pt idx="2">
                  <c:v>F1 AVG</c:v>
                </c:pt>
              </c:strCache>
            </c:strRef>
          </c:cat>
          <c:val>
            <c:numRef>
              <c:f>Summery!$B$2:$D$2</c:f>
              <c:numCache>
                <c:formatCode>General</c:formatCode>
                <c:ptCount val="3"/>
                <c:pt idx="0">
                  <c:v>0.79766331248408451</c:v>
                </c:pt>
                <c:pt idx="1">
                  <c:v>0.84880213266583415</c:v>
                </c:pt>
                <c:pt idx="2">
                  <c:v>0.81691115693600291</c:v>
                </c:pt>
              </c:numCache>
            </c:numRef>
          </c:val>
          <c:extLst>
            <c:ext xmlns:c16="http://schemas.microsoft.com/office/drawing/2014/chart" uri="{C3380CC4-5D6E-409C-BE32-E72D297353CC}">
              <c16:uniqueId val="{00000000-A340-4070-9441-87C8FB9299F5}"/>
            </c:ext>
          </c:extLst>
        </c:ser>
        <c:ser>
          <c:idx val="1"/>
          <c:order val="1"/>
          <c:tx>
            <c:strRef>
              <c:f>Summery!$A$3</c:f>
              <c:strCache>
                <c:ptCount val="1"/>
                <c:pt idx="0">
                  <c:v>Baseline</c:v>
                </c:pt>
              </c:strCache>
            </c:strRef>
          </c:tx>
          <c:spPr>
            <a:solidFill>
              <a:schemeClr val="accent2"/>
            </a:solidFill>
            <a:ln>
              <a:noFill/>
            </a:ln>
            <a:effectLst/>
          </c:spPr>
          <c:invertIfNegative val="0"/>
          <c:cat>
            <c:strRef>
              <c:f>Summery!$B$1:$D$1</c:f>
              <c:strCache>
                <c:ptCount val="3"/>
                <c:pt idx="0">
                  <c:v>Recall AVG</c:v>
                </c:pt>
                <c:pt idx="1">
                  <c:v>Precision AVG</c:v>
                </c:pt>
                <c:pt idx="2">
                  <c:v>F1 AVG</c:v>
                </c:pt>
              </c:strCache>
            </c:strRef>
          </c:cat>
          <c:val>
            <c:numRef>
              <c:f>Summery!$B$3:$D$3</c:f>
              <c:numCache>
                <c:formatCode>General</c:formatCode>
                <c:ptCount val="3"/>
                <c:pt idx="0">
                  <c:v>0.84936991623572511</c:v>
                </c:pt>
                <c:pt idx="1">
                  <c:v>0.87480874616976589</c:v>
                </c:pt>
                <c:pt idx="2">
                  <c:v>0.85571807562710711</c:v>
                </c:pt>
              </c:numCache>
            </c:numRef>
          </c:val>
          <c:extLst>
            <c:ext xmlns:c16="http://schemas.microsoft.com/office/drawing/2014/chart" uri="{C3380CC4-5D6E-409C-BE32-E72D297353CC}">
              <c16:uniqueId val="{00000001-A340-4070-9441-87C8FB9299F5}"/>
            </c:ext>
          </c:extLst>
        </c:ser>
        <c:ser>
          <c:idx val="2"/>
          <c:order val="2"/>
          <c:tx>
            <c:strRef>
              <c:f>Summery!$A$4</c:f>
              <c:strCache>
                <c:ptCount val="1"/>
                <c:pt idx="0">
                  <c:v>Persona</c:v>
                </c:pt>
              </c:strCache>
            </c:strRef>
          </c:tx>
          <c:spPr>
            <a:solidFill>
              <a:schemeClr val="accent3"/>
            </a:solidFill>
            <a:ln>
              <a:noFill/>
            </a:ln>
            <a:effectLst/>
          </c:spPr>
          <c:invertIfNegative val="0"/>
          <c:cat>
            <c:strRef>
              <c:f>Summery!$B$1:$D$1</c:f>
              <c:strCache>
                <c:ptCount val="3"/>
                <c:pt idx="0">
                  <c:v>Recall AVG</c:v>
                </c:pt>
                <c:pt idx="1">
                  <c:v>Precision AVG</c:v>
                </c:pt>
                <c:pt idx="2">
                  <c:v>F1 AVG</c:v>
                </c:pt>
              </c:strCache>
            </c:strRef>
          </c:cat>
          <c:val>
            <c:numRef>
              <c:f>Summery!$B$4:$D$4</c:f>
              <c:numCache>
                <c:formatCode>General</c:formatCode>
                <c:ptCount val="3"/>
                <c:pt idx="0">
                  <c:v>0.82581026510254452</c:v>
                </c:pt>
                <c:pt idx="1">
                  <c:v>0.8703959212388489</c:v>
                </c:pt>
                <c:pt idx="2">
                  <c:v>0.8378600880851772</c:v>
                </c:pt>
              </c:numCache>
            </c:numRef>
          </c:val>
          <c:extLst>
            <c:ext xmlns:c16="http://schemas.microsoft.com/office/drawing/2014/chart" uri="{C3380CC4-5D6E-409C-BE32-E72D297353CC}">
              <c16:uniqueId val="{00000002-A340-4070-9441-87C8FB9299F5}"/>
            </c:ext>
          </c:extLst>
        </c:ser>
        <c:ser>
          <c:idx val="3"/>
          <c:order val="3"/>
          <c:tx>
            <c:strRef>
              <c:f>Summery!$A$5</c:f>
              <c:strCache>
                <c:ptCount val="1"/>
                <c:pt idx="0">
                  <c:v>Strict-no-guessing</c:v>
                </c:pt>
              </c:strCache>
            </c:strRef>
          </c:tx>
          <c:spPr>
            <a:solidFill>
              <a:schemeClr val="accent4"/>
            </a:solidFill>
            <a:ln>
              <a:noFill/>
            </a:ln>
            <a:effectLst/>
          </c:spPr>
          <c:invertIfNegative val="0"/>
          <c:cat>
            <c:strRef>
              <c:f>Summery!$B$1:$D$1</c:f>
              <c:strCache>
                <c:ptCount val="3"/>
                <c:pt idx="0">
                  <c:v>Recall AVG</c:v>
                </c:pt>
                <c:pt idx="1">
                  <c:v>Precision AVG</c:v>
                </c:pt>
                <c:pt idx="2">
                  <c:v>F1 AVG</c:v>
                </c:pt>
              </c:strCache>
            </c:strRef>
          </c:cat>
          <c:val>
            <c:numRef>
              <c:f>Summery!$B$5:$D$5</c:f>
              <c:numCache>
                <c:formatCode>General</c:formatCode>
                <c:ptCount val="3"/>
                <c:pt idx="0">
                  <c:v>0.81720470858798056</c:v>
                </c:pt>
                <c:pt idx="1">
                  <c:v>0.86580743817585937</c:v>
                </c:pt>
                <c:pt idx="2">
                  <c:v>0.82959304509305232</c:v>
                </c:pt>
              </c:numCache>
            </c:numRef>
          </c:val>
          <c:extLst>
            <c:ext xmlns:c16="http://schemas.microsoft.com/office/drawing/2014/chart" uri="{C3380CC4-5D6E-409C-BE32-E72D297353CC}">
              <c16:uniqueId val="{00000000-3CBE-4883-89A9-322F28629BCB}"/>
            </c:ext>
          </c:extLst>
        </c:ser>
        <c:ser>
          <c:idx val="4"/>
          <c:order val="4"/>
          <c:tx>
            <c:strRef>
              <c:f>Summery!$A$6</c:f>
              <c:strCache>
                <c:ptCount val="1"/>
                <c:pt idx="0">
                  <c:v>Self-review-postfix</c:v>
                </c:pt>
              </c:strCache>
            </c:strRef>
          </c:tx>
          <c:spPr>
            <a:solidFill>
              <a:schemeClr val="accent5"/>
            </a:solidFill>
            <a:ln>
              <a:noFill/>
            </a:ln>
            <a:effectLst/>
          </c:spPr>
          <c:invertIfNegative val="0"/>
          <c:cat>
            <c:strRef>
              <c:f>Summery!$B$1:$D$1</c:f>
              <c:strCache>
                <c:ptCount val="3"/>
                <c:pt idx="0">
                  <c:v>Recall AVG</c:v>
                </c:pt>
                <c:pt idx="1">
                  <c:v>Precision AVG</c:v>
                </c:pt>
                <c:pt idx="2">
                  <c:v>F1 AVG</c:v>
                </c:pt>
              </c:strCache>
            </c:strRef>
          </c:cat>
          <c:val>
            <c:numRef>
              <c:f>Summery!$B$6:$D$6</c:f>
              <c:numCache>
                <c:formatCode>General</c:formatCode>
                <c:ptCount val="3"/>
                <c:pt idx="0">
                  <c:v>0.78915527640251903</c:v>
                </c:pt>
                <c:pt idx="1">
                  <c:v>0.82601036590974686</c:v>
                </c:pt>
                <c:pt idx="2">
                  <c:v>0.79938279242110344</c:v>
                </c:pt>
              </c:numCache>
            </c:numRef>
          </c:val>
          <c:extLst>
            <c:ext xmlns:c16="http://schemas.microsoft.com/office/drawing/2014/chart" uri="{C3380CC4-5D6E-409C-BE32-E72D297353CC}">
              <c16:uniqueId val="{00000001-3CBE-4883-89A9-322F28629BCB}"/>
            </c:ext>
          </c:extLst>
        </c:ser>
        <c:ser>
          <c:idx val="5"/>
          <c:order val="5"/>
          <c:tx>
            <c:strRef>
              <c:f>Summery!$A$7</c:f>
              <c:strCache>
                <c:ptCount val="1"/>
                <c:pt idx="0">
                  <c:v>Schema-guided</c:v>
                </c:pt>
              </c:strCache>
            </c:strRef>
          </c:tx>
          <c:spPr>
            <a:solidFill>
              <a:schemeClr val="accent6"/>
            </a:solidFill>
            <a:ln>
              <a:noFill/>
            </a:ln>
            <a:effectLst/>
          </c:spPr>
          <c:invertIfNegative val="0"/>
          <c:cat>
            <c:strRef>
              <c:f>Summery!$B$1:$D$1</c:f>
              <c:strCache>
                <c:ptCount val="3"/>
                <c:pt idx="0">
                  <c:v>Recall AVG</c:v>
                </c:pt>
                <c:pt idx="1">
                  <c:v>Precision AVG</c:v>
                </c:pt>
                <c:pt idx="2">
                  <c:v>F1 AVG</c:v>
                </c:pt>
              </c:strCache>
            </c:strRef>
          </c:cat>
          <c:val>
            <c:numRef>
              <c:f>Summery!$B$7:$D$7</c:f>
              <c:numCache>
                <c:formatCode>General</c:formatCode>
                <c:ptCount val="3"/>
                <c:pt idx="0">
                  <c:v>0.89824920024828125</c:v>
                </c:pt>
                <c:pt idx="1">
                  <c:v>0.63784553232275676</c:v>
                </c:pt>
                <c:pt idx="2">
                  <c:v>0.73689863635808539</c:v>
                </c:pt>
              </c:numCache>
            </c:numRef>
          </c:val>
          <c:extLst>
            <c:ext xmlns:c16="http://schemas.microsoft.com/office/drawing/2014/chart" uri="{C3380CC4-5D6E-409C-BE32-E72D297353CC}">
              <c16:uniqueId val="{00000002-3CBE-4883-89A9-322F28629BCB}"/>
            </c:ext>
          </c:extLst>
        </c:ser>
        <c:ser>
          <c:idx val="6"/>
          <c:order val="6"/>
          <c:tx>
            <c:strRef>
              <c:f>Summery!$A$8</c:f>
              <c:strCache>
                <c:ptCount val="1"/>
                <c:pt idx="0">
                  <c:v>Checklist</c:v>
                </c:pt>
              </c:strCache>
            </c:strRef>
          </c:tx>
          <c:spPr>
            <a:solidFill>
              <a:schemeClr val="accent1">
                <a:lumMod val="60000"/>
              </a:schemeClr>
            </a:solidFill>
            <a:ln>
              <a:noFill/>
            </a:ln>
            <a:effectLst/>
          </c:spPr>
          <c:invertIfNegative val="0"/>
          <c:cat>
            <c:strRef>
              <c:f>Summery!$B$1:$D$1</c:f>
              <c:strCache>
                <c:ptCount val="3"/>
                <c:pt idx="0">
                  <c:v>Recall AVG</c:v>
                </c:pt>
                <c:pt idx="1">
                  <c:v>Precision AVG</c:v>
                </c:pt>
                <c:pt idx="2">
                  <c:v>F1 AVG</c:v>
                </c:pt>
              </c:strCache>
            </c:strRef>
          </c:cat>
          <c:val>
            <c:numRef>
              <c:f>Summery!$B$8:$D$8</c:f>
              <c:numCache>
                <c:formatCode>General</c:formatCode>
                <c:ptCount val="3"/>
                <c:pt idx="0">
                  <c:v>0.88324396192043253</c:v>
                </c:pt>
                <c:pt idx="1">
                  <c:v>0.81781989040478786</c:v>
                </c:pt>
                <c:pt idx="2">
                  <c:v>0.84681157825109077</c:v>
                </c:pt>
              </c:numCache>
            </c:numRef>
          </c:val>
          <c:extLst>
            <c:ext xmlns:c16="http://schemas.microsoft.com/office/drawing/2014/chart" uri="{C3380CC4-5D6E-409C-BE32-E72D297353CC}">
              <c16:uniqueId val="{00000003-3CBE-4883-89A9-322F28629BCB}"/>
            </c:ext>
          </c:extLst>
        </c:ser>
        <c:ser>
          <c:idx val="7"/>
          <c:order val="7"/>
          <c:tx>
            <c:strRef>
              <c:f>Summery!$A$9</c:f>
              <c:strCache>
                <c:ptCount val="1"/>
                <c:pt idx="0">
                  <c:v>Step-by-step</c:v>
                </c:pt>
              </c:strCache>
            </c:strRef>
          </c:tx>
          <c:spPr>
            <a:solidFill>
              <a:schemeClr val="accent2">
                <a:lumMod val="60000"/>
              </a:schemeClr>
            </a:solidFill>
            <a:ln>
              <a:noFill/>
            </a:ln>
            <a:effectLst/>
          </c:spPr>
          <c:invertIfNegative val="0"/>
          <c:cat>
            <c:strRef>
              <c:f>Summery!$B$1:$D$1</c:f>
              <c:strCache>
                <c:ptCount val="3"/>
                <c:pt idx="0">
                  <c:v>Recall AVG</c:v>
                </c:pt>
                <c:pt idx="1">
                  <c:v>Precision AVG</c:v>
                </c:pt>
                <c:pt idx="2">
                  <c:v>F1 AVG</c:v>
                </c:pt>
              </c:strCache>
            </c:strRef>
          </c:cat>
          <c:val>
            <c:numRef>
              <c:f>Summery!$B$9:$D$9</c:f>
              <c:numCache>
                <c:formatCode>General</c:formatCode>
                <c:ptCount val="3"/>
                <c:pt idx="0">
                  <c:v>0.91435972116119169</c:v>
                </c:pt>
                <c:pt idx="1">
                  <c:v>0.81141403245120525</c:v>
                </c:pt>
                <c:pt idx="2">
                  <c:v>0.85646838049783924</c:v>
                </c:pt>
              </c:numCache>
            </c:numRef>
          </c:val>
          <c:extLst>
            <c:ext xmlns:c16="http://schemas.microsoft.com/office/drawing/2014/chart" uri="{C3380CC4-5D6E-409C-BE32-E72D297353CC}">
              <c16:uniqueId val="{00000004-3CBE-4883-89A9-322F28629BCB}"/>
            </c:ext>
          </c:extLst>
        </c:ser>
        <c:ser>
          <c:idx val="8"/>
          <c:order val="8"/>
          <c:tx>
            <c:strRef>
              <c:f>Summery!$A$10</c:f>
              <c:strCache>
                <c:ptCount val="1"/>
                <c:pt idx="0">
                  <c:v>COT</c:v>
                </c:pt>
              </c:strCache>
            </c:strRef>
          </c:tx>
          <c:spPr>
            <a:solidFill>
              <a:schemeClr val="accent3">
                <a:lumMod val="60000"/>
              </a:schemeClr>
            </a:solidFill>
            <a:ln>
              <a:noFill/>
            </a:ln>
            <a:effectLst/>
          </c:spPr>
          <c:invertIfNegative val="0"/>
          <c:cat>
            <c:strRef>
              <c:f>Summery!$B$1:$D$1</c:f>
              <c:strCache>
                <c:ptCount val="3"/>
                <c:pt idx="0">
                  <c:v>Recall AVG</c:v>
                </c:pt>
                <c:pt idx="1">
                  <c:v>Precision AVG</c:v>
                </c:pt>
                <c:pt idx="2">
                  <c:v>F1 AVG</c:v>
                </c:pt>
              </c:strCache>
            </c:strRef>
          </c:cat>
          <c:val>
            <c:numRef>
              <c:f>Summery!$B$10:$D$10</c:f>
              <c:numCache>
                <c:formatCode>General</c:formatCode>
                <c:ptCount val="3"/>
                <c:pt idx="0">
                  <c:v>0.81427755761395459</c:v>
                </c:pt>
                <c:pt idx="1">
                  <c:v>0.84172509690601793</c:v>
                </c:pt>
                <c:pt idx="2">
                  <c:v>0.82107415179452914</c:v>
                </c:pt>
              </c:numCache>
            </c:numRef>
          </c:val>
          <c:extLst>
            <c:ext xmlns:c16="http://schemas.microsoft.com/office/drawing/2014/chart" uri="{C3380CC4-5D6E-409C-BE32-E72D297353CC}">
              <c16:uniqueId val="{00000005-3CBE-4883-89A9-322F28629BCB}"/>
            </c:ext>
          </c:extLst>
        </c:ser>
        <c:ser>
          <c:idx val="9"/>
          <c:order val="9"/>
          <c:tx>
            <c:strRef>
              <c:f>Summery!$A$11</c:f>
              <c:strCache>
                <c:ptCount val="1"/>
                <c:pt idx="0">
                  <c:v>RCI</c:v>
                </c:pt>
              </c:strCache>
            </c:strRef>
          </c:tx>
          <c:spPr>
            <a:solidFill>
              <a:schemeClr val="accent4">
                <a:lumMod val="60000"/>
              </a:schemeClr>
            </a:solidFill>
            <a:ln>
              <a:noFill/>
            </a:ln>
            <a:effectLst/>
          </c:spPr>
          <c:invertIfNegative val="0"/>
          <c:cat>
            <c:strRef>
              <c:f>Summery!$B$1:$D$1</c:f>
              <c:strCache>
                <c:ptCount val="3"/>
                <c:pt idx="0">
                  <c:v>Recall AVG</c:v>
                </c:pt>
                <c:pt idx="1">
                  <c:v>Precision AVG</c:v>
                </c:pt>
                <c:pt idx="2">
                  <c:v>F1 AVG</c:v>
                </c:pt>
              </c:strCache>
            </c:strRef>
          </c:cat>
          <c:val>
            <c:numRef>
              <c:f>Summery!$B$11:$D$11</c:f>
              <c:numCache>
                <c:formatCode>General</c:formatCode>
                <c:ptCount val="3"/>
                <c:pt idx="0">
                  <c:v>0.85769817651711044</c:v>
                </c:pt>
                <c:pt idx="1">
                  <c:v>0.86007064732540905</c:v>
                </c:pt>
                <c:pt idx="2">
                  <c:v>0.85437714523837172</c:v>
                </c:pt>
              </c:numCache>
            </c:numRef>
          </c:val>
          <c:extLst>
            <c:ext xmlns:c16="http://schemas.microsoft.com/office/drawing/2014/chart" uri="{C3380CC4-5D6E-409C-BE32-E72D297353CC}">
              <c16:uniqueId val="{00000006-3CBE-4883-89A9-322F28629BCB}"/>
            </c:ext>
          </c:extLst>
        </c:ser>
        <c:dLbls>
          <c:showLegendKey val="0"/>
          <c:showVal val="0"/>
          <c:showCatName val="0"/>
          <c:showSerName val="0"/>
          <c:showPercent val="0"/>
          <c:showBubbleSize val="0"/>
        </c:dLbls>
        <c:gapWidth val="150"/>
        <c:axId val="352921664"/>
        <c:axId val="2126560368"/>
      </c:barChart>
      <c:catAx>
        <c:axId val="35292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560368"/>
        <c:crosses val="autoZero"/>
        <c:auto val="1"/>
        <c:lblAlgn val="ctr"/>
        <c:lblOffset val="100"/>
        <c:noMultiLvlLbl val="0"/>
      </c:catAx>
      <c:valAx>
        <c:axId val="212656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21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xdr:colOff>
      <xdr:row>0</xdr:row>
      <xdr:rowOff>119528</xdr:rowOff>
    </xdr:from>
    <xdr:to>
      <xdr:col>13</xdr:col>
      <xdr:colOff>14942</xdr:colOff>
      <xdr:row>23</xdr:row>
      <xdr:rowOff>179293</xdr:rowOff>
    </xdr:to>
    <xdr:graphicFrame macro="">
      <xdr:nvGraphicFramePr>
        <xdr:cNvPr id="2" name="Chart 1">
          <a:extLst>
            <a:ext uri="{FF2B5EF4-FFF2-40B4-BE49-F238E27FC236}">
              <a16:creationId xmlns:a16="http://schemas.microsoft.com/office/drawing/2014/main" id="{EA091B52-0389-1D1C-81AF-B82334238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6B18E-1AF0-406E-8167-FA8E228FB809}">
  <dimension ref="A1:CF39"/>
  <sheetViews>
    <sheetView topLeftCell="BC1" zoomScale="70" zoomScaleNormal="55" workbookViewId="0">
      <pane ySplit="2" topLeftCell="A3" activePane="bottomLeft" state="frozen"/>
      <selection activeCell="E37" sqref="E37:BT39"/>
      <selection pane="bottomLeft" activeCell="BX1" sqref="BX1:BX2"/>
    </sheetView>
  </sheetViews>
  <sheetFormatPr defaultRowHeight="14.5" x14ac:dyDescent="0.35"/>
  <cols>
    <col min="1" max="1" width="11.1796875" customWidth="1"/>
    <col min="2" max="2" width="35.26953125" customWidth="1"/>
    <col min="3" max="3" width="12.90625" bestFit="1" customWidth="1"/>
    <col min="4" max="4" width="7.7265625" customWidth="1"/>
    <col min="5" max="5" width="7.6328125" customWidth="1"/>
    <col min="6" max="6" width="7.26953125" customWidth="1"/>
    <col min="7" max="7" width="7.36328125" customWidth="1"/>
    <col min="8" max="8" width="6.54296875" customWidth="1"/>
    <col min="9" max="9" width="7.7265625" customWidth="1"/>
    <col min="10" max="10" width="7" customWidth="1"/>
    <col min="11" max="11" width="7.453125" customWidth="1"/>
    <col min="12" max="12" width="7.26953125" customWidth="1"/>
    <col min="13" max="13" width="7.36328125" customWidth="1"/>
    <col min="14" max="14" width="7.6328125" customWidth="1"/>
    <col min="15" max="15" width="7.81640625" customWidth="1"/>
    <col min="16" max="16" width="6" customWidth="1"/>
    <col min="17" max="17" width="5.81640625" customWidth="1"/>
    <col min="18" max="18" width="6.26953125" customWidth="1"/>
    <col min="19" max="19" width="6.6328125" customWidth="1"/>
    <col min="20" max="20" width="7.36328125" customWidth="1"/>
    <col min="21" max="21" width="6.453125" customWidth="1"/>
    <col min="22" max="22" width="6.26953125" customWidth="1"/>
    <col min="23" max="23" width="6.6328125" customWidth="1"/>
    <col min="24" max="24" width="5.81640625" customWidth="1"/>
    <col min="25" max="25" width="6.7265625" customWidth="1"/>
    <col min="26" max="26" width="6.08984375" customWidth="1"/>
    <col min="27" max="27" width="6.7265625" customWidth="1"/>
    <col min="28" max="28" width="6.26953125" customWidth="1"/>
    <col min="29" max="29" width="6.54296875" customWidth="1"/>
    <col min="30" max="30" width="6.90625" customWidth="1"/>
    <col min="31" max="31" width="7.6328125" customWidth="1"/>
    <col min="32" max="32" width="7.1796875" customWidth="1"/>
    <col min="33" max="33" width="8.54296875" customWidth="1"/>
    <col min="34" max="34" width="8.6328125" customWidth="1"/>
    <col min="35" max="35" width="7.08984375" customWidth="1"/>
    <col min="36" max="36" width="6.54296875" customWidth="1"/>
    <col min="37" max="37" width="7.08984375" customWidth="1"/>
    <col min="38" max="38" width="6.7265625" customWidth="1"/>
    <col min="39" max="39" width="7.36328125" customWidth="1"/>
    <col min="40" max="40" width="6.6328125" customWidth="1"/>
    <col min="41" max="41" width="6.81640625" customWidth="1"/>
    <col min="42" max="42" width="6.7265625" customWidth="1"/>
    <col min="43" max="43" width="6.90625" customWidth="1"/>
    <col min="44" max="44" width="6.7265625" customWidth="1"/>
    <col min="45" max="45" width="6.81640625" customWidth="1"/>
    <col min="46" max="46" width="7" customWidth="1"/>
    <col min="47" max="47" width="7.1796875" customWidth="1"/>
    <col min="48" max="48" width="9" customWidth="1"/>
    <col min="49" max="49" width="9.36328125" customWidth="1"/>
    <col min="50" max="50" width="8.6328125" customWidth="1"/>
    <col min="51" max="51" width="9.6328125" customWidth="1"/>
    <col min="52" max="52" width="7.26953125" customWidth="1"/>
    <col min="53" max="53" width="7.36328125" customWidth="1"/>
    <col min="54" max="54" width="8" customWidth="1"/>
    <col min="55" max="55" width="7.81640625" customWidth="1"/>
    <col min="56" max="56" width="6.26953125" customWidth="1"/>
    <col min="57" max="57" width="7.90625" customWidth="1"/>
    <col min="58" max="58" width="7.1796875" customWidth="1"/>
    <col min="59" max="59" width="7.453125" customWidth="1"/>
    <col min="60" max="60" width="7.36328125" customWidth="1"/>
    <col min="61" max="61" width="6.90625" customWidth="1"/>
    <col min="62" max="62" width="7.36328125" customWidth="1"/>
    <col min="63" max="63" width="7.90625" customWidth="1"/>
    <col min="64" max="64" width="6.6328125" customWidth="1"/>
    <col min="65" max="65" width="7.1796875" customWidth="1"/>
    <col min="66" max="66" width="6.54296875" customWidth="1"/>
    <col min="67" max="67" width="7.7265625" customWidth="1"/>
    <col min="68" max="68" width="6.54296875" customWidth="1"/>
    <col min="69" max="69" width="7.26953125" customWidth="1"/>
    <col min="70" max="70" width="6.90625" customWidth="1"/>
    <col min="71" max="71" width="5.6328125" bestFit="1" customWidth="1"/>
    <col min="72" max="72" width="9" customWidth="1"/>
    <col min="76" max="76" width="12.36328125" bestFit="1" customWidth="1"/>
    <col min="81" max="81" width="12.90625" bestFit="1" customWidth="1"/>
    <col min="83" max="83" width="12.36328125" bestFit="1" customWidth="1"/>
  </cols>
  <sheetData>
    <row r="1" spans="1:84" ht="15.5" thickTop="1" thickBot="1" x14ac:dyDescent="0.4">
      <c r="A1" s="153" t="s">
        <v>0</v>
      </c>
      <c r="B1" s="161" t="s">
        <v>1</v>
      </c>
      <c r="C1" s="151" t="s">
        <v>2</v>
      </c>
      <c r="D1" s="164" t="s">
        <v>3</v>
      </c>
      <c r="E1" s="165"/>
      <c r="F1" s="165"/>
      <c r="G1" s="166"/>
      <c r="H1" s="158" t="s">
        <v>95</v>
      </c>
      <c r="I1" s="158"/>
      <c r="J1" s="158"/>
      <c r="K1" s="159"/>
      <c r="L1" s="153" t="s">
        <v>96</v>
      </c>
      <c r="M1" s="149"/>
      <c r="N1" s="149"/>
      <c r="O1" s="151"/>
      <c r="P1" s="153" t="s">
        <v>97</v>
      </c>
      <c r="Q1" s="149"/>
      <c r="R1" s="149"/>
      <c r="S1" s="151"/>
      <c r="T1" s="153" t="s">
        <v>98</v>
      </c>
      <c r="U1" s="149"/>
      <c r="V1" s="149"/>
      <c r="W1" s="151"/>
      <c r="X1" s="153" t="s">
        <v>99</v>
      </c>
      <c r="Y1" s="149"/>
      <c r="Z1" s="149"/>
      <c r="AA1" s="151"/>
      <c r="AB1" s="153" t="s">
        <v>100</v>
      </c>
      <c r="AC1" s="149"/>
      <c r="AD1" s="149"/>
      <c r="AE1" s="151"/>
      <c r="AF1" s="153" t="s">
        <v>101</v>
      </c>
      <c r="AG1" s="149"/>
      <c r="AH1" s="149"/>
      <c r="AI1" s="151"/>
      <c r="AJ1" s="153" t="s">
        <v>102</v>
      </c>
      <c r="AK1" s="149"/>
      <c r="AL1" s="149"/>
      <c r="AM1" s="151"/>
      <c r="AN1" s="153" t="s">
        <v>103</v>
      </c>
      <c r="AO1" s="149"/>
      <c r="AP1" s="149"/>
      <c r="AQ1" s="151"/>
      <c r="AR1" s="153" t="s">
        <v>104</v>
      </c>
      <c r="AS1" s="149"/>
      <c r="AT1" s="149"/>
      <c r="AU1" s="151"/>
      <c r="AV1" s="153" t="s">
        <v>105</v>
      </c>
      <c r="AW1" s="149"/>
      <c r="AX1" s="149"/>
      <c r="AY1" s="156"/>
      <c r="AZ1" s="157" t="s">
        <v>106</v>
      </c>
      <c r="BA1" s="158"/>
      <c r="BB1" s="158"/>
      <c r="BC1" s="159"/>
      <c r="BD1" s="153" t="s">
        <v>107</v>
      </c>
      <c r="BE1" s="149"/>
      <c r="BF1" s="149"/>
      <c r="BG1" s="151"/>
      <c r="BH1" s="153" t="s">
        <v>108</v>
      </c>
      <c r="BI1" s="149"/>
      <c r="BJ1" s="149"/>
      <c r="BK1" s="151"/>
      <c r="BL1" s="153" t="s">
        <v>109</v>
      </c>
      <c r="BM1" s="149"/>
      <c r="BN1" s="149"/>
      <c r="BO1" s="151"/>
      <c r="BP1" s="153" t="s">
        <v>110</v>
      </c>
      <c r="BQ1" s="149"/>
      <c r="BR1" s="149"/>
      <c r="BS1" s="151"/>
      <c r="BT1" s="154" t="s">
        <v>20</v>
      </c>
      <c r="BU1" s="149" t="s">
        <v>21</v>
      </c>
      <c r="BV1" s="149" t="s">
        <v>22</v>
      </c>
      <c r="BW1" s="149" t="s">
        <v>23</v>
      </c>
      <c r="BX1" s="149" t="s">
        <v>141</v>
      </c>
      <c r="BY1" s="151" t="s">
        <v>24</v>
      </c>
      <c r="CC1" s="146" t="s">
        <v>2</v>
      </c>
      <c r="CD1" s="146" t="str">
        <f>BW1</f>
        <v>Recall</v>
      </c>
      <c r="CE1" s="146" t="str">
        <f>BX1</f>
        <v>Precision</v>
      </c>
      <c r="CF1" s="146" t="str">
        <f>BY1</f>
        <v>F1</v>
      </c>
    </row>
    <row r="2" spans="1:84" ht="15.5" thickTop="1" thickBot="1" x14ac:dyDescent="0.4">
      <c r="A2" s="160"/>
      <c r="B2" s="162"/>
      <c r="C2" s="163"/>
      <c r="D2" s="6" t="s">
        <v>25</v>
      </c>
      <c r="E2" s="1" t="s">
        <v>20</v>
      </c>
      <c r="F2" s="1" t="s">
        <v>21</v>
      </c>
      <c r="G2" s="2" t="s">
        <v>22</v>
      </c>
      <c r="H2" s="1" t="s">
        <v>25</v>
      </c>
      <c r="I2" s="4" t="s">
        <v>20</v>
      </c>
      <c r="J2" s="4" t="s">
        <v>21</v>
      </c>
      <c r="K2" s="2" t="s">
        <v>22</v>
      </c>
      <c r="L2" s="1" t="s">
        <v>25</v>
      </c>
      <c r="M2" s="4" t="s">
        <v>20</v>
      </c>
      <c r="N2" s="4" t="s">
        <v>21</v>
      </c>
      <c r="O2" s="2" t="s">
        <v>22</v>
      </c>
      <c r="P2" s="1" t="s">
        <v>25</v>
      </c>
      <c r="Q2" s="4" t="s">
        <v>20</v>
      </c>
      <c r="R2" s="4" t="s">
        <v>21</v>
      </c>
      <c r="S2" s="2" t="s">
        <v>22</v>
      </c>
      <c r="T2" s="1" t="s">
        <v>25</v>
      </c>
      <c r="U2" s="4" t="s">
        <v>20</v>
      </c>
      <c r="V2" s="4" t="s">
        <v>21</v>
      </c>
      <c r="W2" s="2" t="s">
        <v>22</v>
      </c>
      <c r="X2" s="1" t="s">
        <v>25</v>
      </c>
      <c r="Y2" s="4" t="s">
        <v>20</v>
      </c>
      <c r="Z2" s="4" t="s">
        <v>21</v>
      </c>
      <c r="AA2" s="2" t="s">
        <v>22</v>
      </c>
      <c r="AB2" s="1" t="s">
        <v>25</v>
      </c>
      <c r="AC2" s="4" t="s">
        <v>20</v>
      </c>
      <c r="AD2" s="4" t="s">
        <v>21</v>
      </c>
      <c r="AE2" s="2" t="s">
        <v>22</v>
      </c>
      <c r="AF2" s="1" t="s">
        <v>25</v>
      </c>
      <c r="AG2" s="4" t="s">
        <v>20</v>
      </c>
      <c r="AH2" s="4" t="s">
        <v>21</v>
      </c>
      <c r="AI2" s="2" t="s">
        <v>22</v>
      </c>
      <c r="AJ2" s="1" t="s">
        <v>25</v>
      </c>
      <c r="AK2" s="4" t="s">
        <v>20</v>
      </c>
      <c r="AL2" s="4" t="s">
        <v>21</v>
      </c>
      <c r="AM2" s="2" t="s">
        <v>22</v>
      </c>
      <c r="AN2" s="1" t="s">
        <v>25</v>
      </c>
      <c r="AO2" s="4" t="s">
        <v>20</v>
      </c>
      <c r="AP2" s="4" t="s">
        <v>21</v>
      </c>
      <c r="AQ2" s="2" t="s">
        <v>22</v>
      </c>
      <c r="AR2" s="1" t="s">
        <v>25</v>
      </c>
      <c r="AS2" s="4" t="s">
        <v>20</v>
      </c>
      <c r="AT2" s="4" t="s">
        <v>21</v>
      </c>
      <c r="AU2" s="2" t="s">
        <v>22</v>
      </c>
      <c r="AV2" s="1" t="s">
        <v>25</v>
      </c>
      <c r="AW2" s="4" t="s">
        <v>20</v>
      </c>
      <c r="AX2" s="4" t="s">
        <v>21</v>
      </c>
      <c r="AY2" s="122" t="s">
        <v>22</v>
      </c>
      <c r="AZ2" s="121" t="s">
        <v>25</v>
      </c>
      <c r="BA2" s="3" t="s">
        <v>20</v>
      </c>
      <c r="BB2" s="3" t="s">
        <v>21</v>
      </c>
      <c r="BC2" s="122" t="s">
        <v>22</v>
      </c>
      <c r="BD2" s="6" t="s">
        <v>25</v>
      </c>
      <c r="BE2" s="4" t="s">
        <v>20</v>
      </c>
      <c r="BF2" s="4" t="s">
        <v>21</v>
      </c>
      <c r="BG2" s="2" t="s">
        <v>22</v>
      </c>
      <c r="BH2" s="1" t="s">
        <v>25</v>
      </c>
      <c r="BI2" s="4" t="s">
        <v>20</v>
      </c>
      <c r="BJ2" s="4" t="s">
        <v>21</v>
      </c>
      <c r="BK2" s="2" t="s">
        <v>22</v>
      </c>
      <c r="BL2" s="1" t="s">
        <v>25</v>
      </c>
      <c r="BM2" s="4" t="s">
        <v>20</v>
      </c>
      <c r="BN2" s="4" t="s">
        <v>21</v>
      </c>
      <c r="BO2" s="2" t="s">
        <v>22</v>
      </c>
      <c r="BP2" s="1" t="s">
        <v>25</v>
      </c>
      <c r="BQ2" s="4" t="s">
        <v>20</v>
      </c>
      <c r="BR2" s="4" t="s">
        <v>21</v>
      </c>
      <c r="BS2" s="2" t="s">
        <v>22</v>
      </c>
      <c r="BT2" s="155"/>
      <c r="BU2" s="150"/>
      <c r="BV2" s="150"/>
      <c r="BW2" s="150"/>
      <c r="BX2" s="150"/>
      <c r="BY2" s="152"/>
      <c r="CC2" s="146"/>
      <c r="CD2" s="146"/>
      <c r="CE2" s="146"/>
      <c r="CF2" s="146"/>
    </row>
    <row r="3" spans="1:84" ht="15" customHeight="1" thickTop="1" x14ac:dyDescent="0.35">
      <c r="A3" s="49" t="s">
        <v>48</v>
      </c>
      <c r="B3" s="147" t="s">
        <v>44</v>
      </c>
      <c r="C3" s="7" t="s">
        <v>26</v>
      </c>
      <c r="D3" s="8">
        <v>3</v>
      </c>
      <c r="E3" s="9">
        <v>3</v>
      </c>
      <c r="F3" s="9">
        <f>D3-E3</f>
        <v>0</v>
      </c>
      <c r="G3" s="7">
        <v>0</v>
      </c>
      <c r="H3" s="10">
        <v>3</v>
      </c>
      <c r="I3" s="9">
        <v>0</v>
      </c>
      <c r="J3" s="9">
        <f>H3-I3</f>
        <v>3</v>
      </c>
      <c r="K3" s="7">
        <v>0</v>
      </c>
      <c r="L3" s="10">
        <v>6</v>
      </c>
      <c r="M3" s="9">
        <v>0</v>
      </c>
      <c r="N3" s="9">
        <f>L3-M3</f>
        <v>6</v>
      </c>
      <c r="O3" s="7">
        <v>0</v>
      </c>
      <c r="P3" s="10">
        <v>4</v>
      </c>
      <c r="Q3" s="9">
        <v>4</v>
      </c>
      <c r="R3" s="9">
        <f>P3-Q3</f>
        <v>0</v>
      </c>
      <c r="S3" s="7">
        <v>0</v>
      </c>
      <c r="T3" s="10">
        <v>4</v>
      </c>
      <c r="U3" s="9">
        <v>4</v>
      </c>
      <c r="V3" s="9">
        <f>T3-U3</f>
        <v>0</v>
      </c>
      <c r="W3" s="7">
        <v>0</v>
      </c>
      <c r="X3" s="10">
        <v>3</v>
      </c>
      <c r="Y3" s="9">
        <v>3</v>
      </c>
      <c r="Z3" s="9">
        <f>X3-Y3</f>
        <v>0</v>
      </c>
      <c r="AA3" s="7">
        <v>0</v>
      </c>
      <c r="AB3" s="10">
        <v>0</v>
      </c>
      <c r="AC3" s="9">
        <v>0</v>
      </c>
      <c r="AD3" s="9">
        <f>AB3-AC3</f>
        <v>0</v>
      </c>
      <c r="AE3" s="7">
        <v>0</v>
      </c>
      <c r="AF3" s="10">
        <v>3</v>
      </c>
      <c r="AG3" s="9">
        <v>3</v>
      </c>
      <c r="AH3" s="9">
        <f>AF3-AG3</f>
        <v>0</v>
      </c>
      <c r="AI3" s="7">
        <v>0</v>
      </c>
      <c r="AJ3" s="10">
        <v>2</v>
      </c>
      <c r="AK3" s="9">
        <v>2</v>
      </c>
      <c r="AL3" s="9">
        <f>AJ3-AK3</f>
        <v>0</v>
      </c>
      <c r="AM3" s="7">
        <v>0</v>
      </c>
      <c r="AN3" s="10">
        <v>0</v>
      </c>
      <c r="AO3" s="9">
        <v>0</v>
      </c>
      <c r="AP3" s="9">
        <f>AN3-AO3</f>
        <v>0</v>
      </c>
      <c r="AQ3" s="7">
        <v>0</v>
      </c>
      <c r="AR3" s="10">
        <v>0</v>
      </c>
      <c r="AS3" s="9">
        <v>0</v>
      </c>
      <c r="AT3" s="9">
        <f>AR3-AS3</f>
        <v>0</v>
      </c>
      <c r="AU3" s="7">
        <v>2</v>
      </c>
      <c r="AV3" s="10">
        <v>0</v>
      </c>
      <c r="AW3" s="9">
        <v>0</v>
      </c>
      <c r="AX3" s="9">
        <f>AV3-AW3</f>
        <v>0</v>
      </c>
      <c r="AY3" s="7">
        <v>0</v>
      </c>
      <c r="AZ3" s="8">
        <v>2</v>
      </c>
      <c r="BA3" s="124">
        <v>2</v>
      </c>
      <c r="BB3" s="124">
        <f>AZ3-BA3</f>
        <v>0</v>
      </c>
      <c r="BC3" s="123">
        <v>0</v>
      </c>
      <c r="BD3" s="8">
        <v>0</v>
      </c>
      <c r="BE3" s="9">
        <v>0</v>
      </c>
      <c r="BF3" s="9">
        <f>BD3-BE3</f>
        <v>0</v>
      </c>
      <c r="BG3" s="7">
        <v>0</v>
      </c>
      <c r="BH3" s="10">
        <v>0</v>
      </c>
      <c r="BI3" s="9">
        <v>0</v>
      </c>
      <c r="BJ3" s="9">
        <f>BH3-BI3</f>
        <v>0</v>
      </c>
      <c r="BK3" s="7">
        <v>0</v>
      </c>
      <c r="BL3" s="10">
        <v>0</v>
      </c>
      <c r="BM3" s="9">
        <v>0</v>
      </c>
      <c r="BN3" s="9">
        <f>BL3-BM3</f>
        <v>0</v>
      </c>
      <c r="BO3" s="7">
        <v>0</v>
      </c>
      <c r="BP3" s="10">
        <v>0</v>
      </c>
      <c r="BQ3" s="9">
        <v>0</v>
      </c>
      <c r="BR3" s="9">
        <f>BP3-BQ3</f>
        <v>0</v>
      </c>
      <c r="BS3" s="7">
        <v>0</v>
      </c>
      <c r="BT3" s="10">
        <f>SUM(E3,I3,M3,Q3,U3,Y3,AC3,AG3,AK3,AO3,AS3,AW3,BE3,BI3,BM3,BQ3,BA3)</f>
        <v>21</v>
      </c>
      <c r="BU3" s="9">
        <f>SUM(BR3,BN3,BJ3,BF3,AX3,AT3,AP3,AL3,AH3,AD3,Z3,V3,R3,N3,J3,F3,BB3)</f>
        <v>9</v>
      </c>
      <c r="BV3" s="124">
        <f>SUM(BS3,BO3,BK3,BG3,AY3,AU3,AQ3,AM3,AI3,AE3,AA3,W3,S3,O3,K3,G3, BC3)</f>
        <v>2</v>
      </c>
      <c r="BW3" s="9">
        <f>BT3/(BT3+BU3)</f>
        <v>0.7</v>
      </c>
      <c r="BX3" s="9">
        <f>BT3/(BT3+BV3)</f>
        <v>0.91304347826086951</v>
      </c>
      <c r="BY3" s="7">
        <f>2*(BX3*BW3)/(BX3+BW3)</f>
        <v>0.79245283018867929</v>
      </c>
      <c r="CC3" s="133" t="s">
        <v>75</v>
      </c>
      <c r="CD3">
        <f>AVERAGE(BW3:BW4)</f>
        <v>0.7</v>
      </c>
      <c r="CE3">
        <f t="shared" ref="CE3:CF3" si="0">AVERAGE(BX3:BX4)</f>
        <v>0.95652173913043481</v>
      </c>
      <c r="CF3">
        <f t="shared" si="0"/>
        <v>0.80799112097669257</v>
      </c>
    </row>
    <row r="4" spans="1:84" x14ac:dyDescent="0.35">
      <c r="A4" s="49" t="s">
        <v>48</v>
      </c>
      <c r="B4" s="148"/>
      <c r="C4" s="123" t="s">
        <v>60</v>
      </c>
      <c r="D4" s="8">
        <v>3</v>
      </c>
      <c r="E4" s="124">
        <v>3</v>
      </c>
      <c r="F4" s="124">
        <f t="shared" ref="F4:F34" si="1">D4-E4</f>
        <v>0</v>
      </c>
      <c r="G4" s="123">
        <v>0</v>
      </c>
      <c r="H4" s="8">
        <v>3</v>
      </c>
      <c r="I4" s="124">
        <v>0</v>
      </c>
      <c r="J4" s="124">
        <f t="shared" ref="J4:J34" si="2">H4-I4</f>
        <v>3</v>
      </c>
      <c r="K4" s="123">
        <v>0</v>
      </c>
      <c r="L4" s="8">
        <v>6</v>
      </c>
      <c r="M4" s="124">
        <v>0</v>
      </c>
      <c r="N4" s="124">
        <f t="shared" ref="N4:N34" si="3">L4-M4</f>
        <v>6</v>
      </c>
      <c r="O4" s="123">
        <v>0</v>
      </c>
      <c r="P4" s="8">
        <v>4</v>
      </c>
      <c r="Q4" s="124">
        <v>4</v>
      </c>
      <c r="R4" s="124">
        <f t="shared" ref="R4:R34" si="4">P4-Q4</f>
        <v>0</v>
      </c>
      <c r="S4" s="123">
        <v>0</v>
      </c>
      <c r="T4" s="8">
        <v>4</v>
      </c>
      <c r="U4" s="124">
        <v>4</v>
      </c>
      <c r="V4" s="124">
        <f t="shared" ref="V4:V34" si="5">T4-U4</f>
        <v>0</v>
      </c>
      <c r="W4" s="123">
        <v>0</v>
      </c>
      <c r="X4" s="8">
        <v>3</v>
      </c>
      <c r="Y4" s="124">
        <v>3</v>
      </c>
      <c r="Z4" s="124">
        <f t="shared" ref="Z4:Z34" si="6">X4-Y4</f>
        <v>0</v>
      </c>
      <c r="AA4" s="123">
        <v>0</v>
      </c>
      <c r="AB4" s="8">
        <v>0</v>
      </c>
      <c r="AC4" s="124">
        <v>0</v>
      </c>
      <c r="AD4" s="124">
        <f t="shared" ref="AD4:AD29" si="7">AB4-AC4</f>
        <v>0</v>
      </c>
      <c r="AE4" s="123">
        <v>0</v>
      </c>
      <c r="AF4" s="8">
        <v>3</v>
      </c>
      <c r="AG4" s="124">
        <v>3</v>
      </c>
      <c r="AH4" s="124">
        <f t="shared" ref="AH4:AH34" si="8">AF4-AG4</f>
        <v>0</v>
      </c>
      <c r="AI4" s="123">
        <v>0</v>
      </c>
      <c r="AJ4" s="8">
        <v>2</v>
      </c>
      <c r="AK4" s="124">
        <v>2</v>
      </c>
      <c r="AL4" s="124">
        <f t="shared" ref="AL4:AL34" si="9">AJ4-AK4</f>
        <v>0</v>
      </c>
      <c r="AM4" s="123">
        <v>0</v>
      </c>
      <c r="AN4" s="8">
        <v>0</v>
      </c>
      <c r="AO4" s="124">
        <v>0</v>
      </c>
      <c r="AP4" s="124">
        <f t="shared" ref="AP4:AP34" si="10">AN4-AO4</f>
        <v>0</v>
      </c>
      <c r="AQ4" s="123">
        <v>0</v>
      </c>
      <c r="AR4" s="8">
        <v>0</v>
      </c>
      <c r="AS4" s="124">
        <v>0</v>
      </c>
      <c r="AT4" s="124">
        <f t="shared" ref="AT4:AT34" si="11">AR4-AS4</f>
        <v>0</v>
      </c>
      <c r="AU4" s="123">
        <v>0</v>
      </c>
      <c r="AV4" s="8">
        <v>0</v>
      </c>
      <c r="AW4" s="124">
        <v>0</v>
      </c>
      <c r="AX4" s="124">
        <f t="shared" ref="AX4:AX34" si="12">AV4-AW4</f>
        <v>0</v>
      </c>
      <c r="AY4" s="123">
        <v>0</v>
      </c>
      <c r="AZ4" s="8">
        <v>2</v>
      </c>
      <c r="BA4" s="124">
        <v>2</v>
      </c>
      <c r="BB4" s="124">
        <f t="shared" ref="BB4:BB34" si="13">AZ4-BA4</f>
        <v>0</v>
      </c>
      <c r="BC4" s="123">
        <v>0</v>
      </c>
      <c r="BD4" s="8">
        <v>0</v>
      </c>
      <c r="BE4" s="124">
        <v>0</v>
      </c>
      <c r="BF4" s="124">
        <f t="shared" ref="BF4:BF34" si="14">BD4-BE4</f>
        <v>0</v>
      </c>
      <c r="BG4" s="123">
        <v>0</v>
      </c>
      <c r="BH4" s="8">
        <v>0</v>
      </c>
      <c r="BI4" s="124">
        <v>0</v>
      </c>
      <c r="BJ4" s="124">
        <f t="shared" ref="BJ4:BJ34" si="15">BH4-BI4</f>
        <v>0</v>
      </c>
      <c r="BK4" s="123">
        <v>0</v>
      </c>
      <c r="BL4" s="8">
        <v>0</v>
      </c>
      <c r="BM4" s="124">
        <v>0</v>
      </c>
      <c r="BN4" s="124">
        <f t="shared" ref="BN4:BN34" si="16">BL4-BM4</f>
        <v>0</v>
      </c>
      <c r="BO4" s="123">
        <v>0</v>
      </c>
      <c r="BP4" s="8">
        <v>0</v>
      </c>
      <c r="BQ4" s="124">
        <v>0</v>
      </c>
      <c r="BR4" s="124">
        <f t="shared" ref="BR4:BR34" si="17">BP4-BQ4</f>
        <v>0</v>
      </c>
      <c r="BS4" s="123">
        <v>0</v>
      </c>
      <c r="BT4" s="8">
        <f t="shared" ref="BT4:BT34" si="18">SUM(E4,I4,M4,Q4,U4,Y4,AC4,AG4,AK4,AO4,AS4,AW4,BE4,BI4,BM4,BQ4,BA4)</f>
        <v>21</v>
      </c>
      <c r="BU4" s="124">
        <f t="shared" ref="BU4:BU34" si="19">SUM(BR4,BN4,BJ4,BF4,AX4,AT4,AP4,AL4,AH4,AD4,Z4,V4,R4,N4,J4,F4,BB4)</f>
        <v>9</v>
      </c>
      <c r="BV4" s="124">
        <f t="shared" ref="BV4:BV34" si="20">SUM(BS4,BO4,BK4,BG4,AY4,AU4,AQ4,AM4,AI4,AE4,AA4,W4,S4,O4,K4,G4, BC4)</f>
        <v>0</v>
      </c>
      <c r="BW4" s="124">
        <f t="shared" ref="BW4:BW34" si="21">BT4/(BT4+BU4)</f>
        <v>0.7</v>
      </c>
      <c r="BX4" s="124">
        <f t="shared" ref="BX4:BX34" si="22">BT4/(BT4+BV4)</f>
        <v>1</v>
      </c>
      <c r="BY4" s="123">
        <f t="shared" ref="BY4:BY34" si="23">2*(BX4*BW4)/(BX4+BW4)</f>
        <v>0.82352941176470584</v>
      </c>
      <c r="CC4" s="133" t="s">
        <v>76</v>
      </c>
      <c r="CD4">
        <f>AVERAGE(BW5:BW6)</f>
        <v>0.8</v>
      </c>
      <c r="CE4">
        <f t="shared" ref="CE4:CF4" si="24">AVERAGE(BX5:BX6)</f>
        <v>0.61538461538461542</v>
      </c>
      <c r="CF4">
        <f t="shared" si="24"/>
        <v>0.69565217391304346</v>
      </c>
    </row>
    <row r="5" spans="1:84" x14ac:dyDescent="0.35">
      <c r="A5" s="50" t="s">
        <v>48</v>
      </c>
      <c r="B5" s="148"/>
      <c r="C5" s="11" t="s">
        <v>27</v>
      </c>
      <c r="D5" s="12">
        <v>2</v>
      </c>
      <c r="E5" s="13">
        <v>2</v>
      </c>
      <c r="F5" s="13">
        <f t="shared" si="1"/>
        <v>0</v>
      </c>
      <c r="G5" s="11">
        <v>0</v>
      </c>
      <c r="H5" s="12">
        <v>2</v>
      </c>
      <c r="I5" s="13">
        <v>2</v>
      </c>
      <c r="J5" s="13">
        <f t="shared" si="2"/>
        <v>0</v>
      </c>
      <c r="K5" s="11">
        <v>0</v>
      </c>
      <c r="L5" s="12">
        <v>0</v>
      </c>
      <c r="M5" s="13">
        <v>0</v>
      </c>
      <c r="N5" s="13">
        <f t="shared" si="3"/>
        <v>0</v>
      </c>
      <c r="O5" s="11">
        <v>0</v>
      </c>
      <c r="P5" s="12">
        <v>0</v>
      </c>
      <c r="Q5" s="13">
        <v>0</v>
      </c>
      <c r="R5" s="13">
        <f t="shared" si="4"/>
        <v>0</v>
      </c>
      <c r="S5" s="11">
        <v>2</v>
      </c>
      <c r="T5" s="12">
        <v>0</v>
      </c>
      <c r="U5" s="13">
        <v>0</v>
      </c>
      <c r="V5" s="13">
        <f t="shared" si="5"/>
        <v>0</v>
      </c>
      <c r="W5" s="11">
        <v>0</v>
      </c>
      <c r="X5" s="12">
        <v>2</v>
      </c>
      <c r="Y5" s="13">
        <v>2</v>
      </c>
      <c r="Z5" s="13">
        <f t="shared" si="6"/>
        <v>0</v>
      </c>
      <c r="AA5" s="11">
        <v>0</v>
      </c>
      <c r="AB5" s="12">
        <v>0</v>
      </c>
      <c r="AC5" s="13">
        <v>0</v>
      </c>
      <c r="AD5" s="13">
        <f t="shared" si="7"/>
        <v>0</v>
      </c>
      <c r="AE5" s="11">
        <v>0</v>
      </c>
      <c r="AF5" s="12">
        <v>2</v>
      </c>
      <c r="AG5" s="13">
        <v>2</v>
      </c>
      <c r="AH5" s="13">
        <f t="shared" si="8"/>
        <v>0</v>
      </c>
      <c r="AI5" s="11">
        <v>0</v>
      </c>
      <c r="AJ5" s="12">
        <v>0</v>
      </c>
      <c r="AK5" s="13">
        <v>0</v>
      </c>
      <c r="AL5" s="13">
        <f t="shared" si="9"/>
        <v>0</v>
      </c>
      <c r="AM5" s="11">
        <v>0</v>
      </c>
      <c r="AN5" s="12">
        <v>0</v>
      </c>
      <c r="AO5" s="13">
        <v>0</v>
      </c>
      <c r="AP5" s="13">
        <f t="shared" si="10"/>
        <v>0</v>
      </c>
      <c r="AQ5" s="11">
        <v>0</v>
      </c>
      <c r="AR5" s="12">
        <v>0</v>
      </c>
      <c r="AS5" s="13">
        <v>0</v>
      </c>
      <c r="AT5" s="13">
        <f t="shared" si="11"/>
        <v>0</v>
      </c>
      <c r="AU5" s="11">
        <v>0</v>
      </c>
      <c r="AV5" s="12">
        <v>1</v>
      </c>
      <c r="AW5" s="13">
        <v>0</v>
      </c>
      <c r="AX5" s="13">
        <f t="shared" si="12"/>
        <v>1</v>
      </c>
      <c r="AY5" s="11">
        <v>1</v>
      </c>
      <c r="AZ5" s="12">
        <v>1</v>
      </c>
      <c r="BA5" s="13">
        <v>0</v>
      </c>
      <c r="BB5" s="13">
        <f t="shared" si="13"/>
        <v>1</v>
      </c>
      <c r="BC5" s="11">
        <v>1</v>
      </c>
      <c r="BD5" s="12">
        <v>0</v>
      </c>
      <c r="BE5" s="13">
        <v>0</v>
      </c>
      <c r="BF5" s="13">
        <f t="shared" si="14"/>
        <v>0</v>
      </c>
      <c r="BG5" s="11">
        <v>0</v>
      </c>
      <c r="BH5" s="12">
        <v>0</v>
      </c>
      <c r="BI5" s="13">
        <v>0</v>
      </c>
      <c r="BJ5" s="13">
        <f t="shared" si="15"/>
        <v>0</v>
      </c>
      <c r="BK5" s="11">
        <v>0</v>
      </c>
      <c r="BL5" s="12">
        <v>0</v>
      </c>
      <c r="BM5" s="13">
        <v>0</v>
      </c>
      <c r="BN5" s="13">
        <f t="shared" si="16"/>
        <v>0</v>
      </c>
      <c r="BO5" s="11">
        <v>1</v>
      </c>
      <c r="BP5" s="12">
        <v>0</v>
      </c>
      <c r="BQ5" s="13">
        <v>0</v>
      </c>
      <c r="BR5" s="13">
        <f t="shared" si="17"/>
        <v>0</v>
      </c>
      <c r="BS5" s="11">
        <v>0</v>
      </c>
      <c r="BT5" s="12">
        <f t="shared" si="18"/>
        <v>8</v>
      </c>
      <c r="BU5" s="13">
        <f t="shared" si="19"/>
        <v>2</v>
      </c>
      <c r="BV5" s="13">
        <f t="shared" si="20"/>
        <v>5</v>
      </c>
      <c r="BW5" s="13">
        <f t="shared" si="21"/>
        <v>0.8</v>
      </c>
      <c r="BX5" s="13">
        <f t="shared" si="22"/>
        <v>0.61538461538461542</v>
      </c>
      <c r="BY5" s="11">
        <f t="shared" si="23"/>
        <v>0.69565217391304346</v>
      </c>
      <c r="CC5" s="133" t="s">
        <v>77</v>
      </c>
      <c r="CD5">
        <f>AVERAGE(BW7:BW8)</f>
        <v>0.71875</v>
      </c>
      <c r="CE5">
        <f t="shared" ref="CE5:CF5" si="25">AVERAGE(BX7:BX8)</f>
        <v>0.88461538461538458</v>
      </c>
      <c r="CF5">
        <f t="shared" si="25"/>
        <v>0.7931034482758621</v>
      </c>
    </row>
    <row r="6" spans="1:84" x14ac:dyDescent="0.35">
      <c r="A6" s="50" t="s">
        <v>48</v>
      </c>
      <c r="B6" s="148"/>
      <c r="C6" s="11" t="s">
        <v>61</v>
      </c>
      <c r="D6" s="12">
        <v>2</v>
      </c>
      <c r="E6" s="13">
        <v>2</v>
      </c>
      <c r="F6" s="13">
        <f t="shared" si="1"/>
        <v>0</v>
      </c>
      <c r="G6" s="11">
        <v>0</v>
      </c>
      <c r="H6" s="12">
        <v>2</v>
      </c>
      <c r="I6" s="13">
        <v>2</v>
      </c>
      <c r="J6" s="13">
        <f t="shared" si="2"/>
        <v>0</v>
      </c>
      <c r="K6" s="11">
        <v>0</v>
      </c>
      <c r="L6" s="12">
        <v>0</v>
      </c>
      <c r="M6" s="13">
        <v>0</v>
      </c>
      <c r="N6" s="13">
        <f t="shared" si="3"/>
        <v>0</v>
      </c>
      <c r="O6" s="11">
        <v>0</v>
      </c>
      <c r="P6" s="12">
        <v>0</v>
      </c>
      <c r="Q6" s="13">
        <v>0</v>
      </c>
      <c r="R6" s="13">
        <f t="shared" si="4"/>
        <v>0</v>
      </c>
      <c r="S6" s="11">
        <v>2</v>
      </c>
      <c r="T6" s="12">
        <v>0</v>
      </c>
      <c r="U6" s="13">
        <v>0</v>
      </c>
      <c r="V6" s="13">
        <f t="shared" si="5"/>
        <v>0</v>
      </c>
      <c r="W6" s="11">
        <v>0</v>
      </c>
      <c r="X6" s="12">
        <v>2</v>
      </c>
      <c r="Y6" s="13">
        <v>2</v>
      </c>
      <c r="Z6" s="13">
        <f t="shared" si="6"/>
        <v>0</v>
      </c>
      <c r="AA6" s="11">
        <v>0</v>
      </c>
      <c r="AB6" s="12">
        <v>0</v>
      </c>
      <c r="AC6" s="13">
        <v>0</v>
      </c>
      <c r="AD6" s="13">
        <f t="shared" si="7"/>
        <v>0</v>
      </c>
      <c r="AE6" s="11">
        <v>0</v>
      </c>
      <c r="AF6" s="12">
        <v>2</v>
      </c>
      <c r="AG6" s="13">
        <v>2</v>
      </c>
      <c r="AH6" s="13">
        <f t="shared" si="8"/>
        <v>0</v>
      </c>
      <c r="AI6" s="11">
        <v>0</v>
      </c>
      <c r="AJ6" s="12">
        <v>0</v>
      </c>
      <c r="AK6" s="13">
        <v>0</v>
      </c>
      <c r="AL6" s="13">
        <f t="shared" si="9"/>
        <v>0</v>
      </c>
      <c r="AM6" s="11">
        <v>0</v>
      </c>
      <c r="AN6" s="12">
        <v>0</v>
      </c>
      <c r="AO6" s="13">
        <v>0</v>
      </c>
      <c r="AP6" s="13">
        <f t="shared" si="10"/>
        <v>0</v>
      </c>
      <c r="AQ6" s="11">
        <v>0</v>
      </c>
      <c r="AR6" s="12">
        <v>0</v>
      </c>
      <c r="AS6" s="13">
        <v>0</v>
      </c>
      <c r="AT6" s="13">
        <f t="shared" si="11"/>
        <v>0</v>
      </c>
      <c r="AU6" s="11">
        <v>0</v>
      </c>
      <c r="AV6" s="12">
        <v>1</v>
      </c>
      <c r="AW6" s="13">
        <v>0</v>
      </c>
      <c r="AX6" s="13">
        <f t="shared" si="12"/>
        <v>1</v>
      </c>
      <c r="AY6" s="11">
        <v>1</v>
      </c>
      <c r="AZ6" s="12">
        <v>1</v>
      </c>
      <c r="BA6" s="13">
        <v>0</v>
      </c>
      <c r="BB6" s="13">
        <f t="shared" si="13"/>
        <v>1</v>
      </c>
      <c r="BC6" s="11">
        <v>1</v>
      </c>
      <c r="BD6" s="12">
        <v>0</v>
      </c>
      <c r="BE6" s="13">
        <v>0</v>
      </c>
      <c r="BF6" s="13">
        <f t="shared" si="14"/>
        <v>0</v>
      </c>
      <c r="BG6" s="11">
        <v>0</v>
      </c>
      <c r="BH6" s="12">
        <v>0</v>
      </c>
      <c r="BI6" s="13">
        <v>0</v>
      </c>
      <c r="BJ6" s="13">
        <f t="shared" si="15"/>
        <v>0</v>
      </c>
      <c r="BK6" s="11">
        <v>0</v>
      </c>
      <c r="BL6" s="12">
        <v>0</v>
      </c>
      <c r="BM6" s="13">
        <v>0</v>
      </c>
      <c r="BN6" s="13">
        <f t="shared" si="16"/>
        <v>0</v>
      </c>
      <c r="BO6" s="11">
        <v>1</v>
      </c>
      <c r="BP6" s="12">
        <v>0</v>
      </c>
      <c r="BQ6" s="13">
        <v>0</v>
      </c>
      <c r="BR6" s="13">
        <f t="shared" si="17"/>
        <v>0</v>
      </c>
      <c r="BS6" s="11">
        <v>0</v>
      </c>
      <c r="BT6" s="12">
        <f t="shared" si="18"/>
        <v>8</v>
      </c>
      <c r="BU6" s="13">
        <f t="shared" si="19"/>
        <v>2</v>
      </c>
      <c r="BV6" s="13">
        <f t="shared" si="20"/>
        <v>5</v>
      </c>
      <c r="BW6" s="13">
        <f t="shared" si="21"/>
        <v>0.8</v>
      </c>
      <c r="BX6" s="13">
        <f t="shared" si="22"/>
        <v>0.61538461538461542</v>
      </c>
      <c r="BY6" s="11">
        <f t="shared" si="23"/>
        <v>0.69565217391304346</v>
      </c>
      <c r="CC6" s="133" t="s">
        <v>78</v>
      </c>
      <c r="CD6">
        <f>AVERAGE(BW9:BW10)</f>
        <v>0.95833333333333326</v>
      </c>
      <c r="CE6">
        <f t="shared" ref="CE6:CF6" si="26">AVERAGE(BX9:BX10)</f>
        <v>0.89285714285714279</v>
      </c>
      <c r="CF6">
        <f t="shared" si="26"/>
        <v>0.92307692307692313</v>
      </c>
    </row>
    <row r="7" spans="1:84" x14ac:dyDescent="0.35">
      <c r="A7" s="51" t="s">
        <v>48</v>
      </c>
      <c r="B7" s="148"/>
      <c r="C7" s="14" t="s">
        <v>28</v>
      </c>
      <c r="D7" s="15">
        <v>2</v>
      </c>
      <c r="E7" s="16">
        <v>2</v>
      </c>
      <c r="F7" s="16">
        <f t="shared" si="1"/>
        <v>0</v>
      </c>
      <c r="G7" s="14">
        <v>0</v>
      </c>
      <c r="H7" s="15">
        <v>1</v>
      </c>
      <c r="I7" s="16">
        <v>0</v>
      </c>
      <c r="J7" s="16">
        <f t="shared" si="2"/>
        <v>1</v>
      </c>
      <c r="K7" s="14">
        <v>0</v>
      </c>
      <c r="L7" s="15">
        <v>1</v>
      </c>
      <c r="M7" s="16">
        <v>0</v>
      </c>
      <c r="N7" s="16">
        <f t="shared" si="3"/>
        <v>1</v>
      </c>
      <c r="O7" s="14">
        <v>0</v>
      </c>
      <c r="P7" s="15">
        <v>1</v>
      </c>
      <c r="Q7" s="16">
        <v>1</v>
      </c>
      <c r="R7" s="16">
        <f t="shared" si="4"/>
        <v>0</v>
      </c>
      <c r="S7" s="14">
        <v>0</v>
      </c>
      <c r="T7" s="15">
        <v>1</v>
      </c>
      <c r="U7" s="16">
        <v>1</v>
      </c>
      <c r="V7" s="16">
        <f t="shared" si="5"/>
        <v>0</v>
      </c>
      <c r="W7" s="14">
        <v>0</v>
      </c>
      <c r="X7" s="15">
        <v>3</v>
      </c>
      <c r="Y7" s="16">
        <v>3</v>
      </c>
      <c r="Z7" s="16">
        <f t="shared" si="6"/>
        <v>0</v>
      </c>
      <c r="AA7" s="14">
        <v>1</v>
      </c>
      <c r="AB7" s="15">
        <v>0</v>
      </c>
      <c r="AC7" s="16">
        <v>0</v>
      </c>
      <c r="AD7" s="16">
        <f t="shared" si="7"/>
        <v>0</v>
      </c>
      <c r="AE7" s="14">
        <v>0</v>
      </c>
      <c r="AF7" s="15">
        <v>3</v>
      </c>
      <c r="AG7" s="16">
        <v>3</v>
      </c>
      <c r="AH7" s="16">
        <f t="shared" si="8"/>
        <v>0</v>
      </c>
      <c r="AI7" s="14">
        <v>0</v>
      </c>
      <c r="AJ7" s="15">
        <v>0</v>
      </c>
      <c r="AK7" s="16">
        <v>0</v>
      </c>
      <c r="AL7" s="16">
        <f t="shared" si="9"/>
        <v>0</v>
      </c>
      <c r="AM7" s="14">
        <v>1</v>
      </c>
      <c r="AN7" s="15">
        <v>1</v>
      </c>
      <c r="AO7" s="16">
        <v>0</v>
      </c>
      <c r="AP7" s="16">
        <f t="shared" si="10"/>
        <v>1</v>
      </c>
      <c r="AQ7" s="14">
        <v>0</v>
      </c>
      <c r="AR7" s="15">
        <v>0</v>
      </c>
      <c r="AS7" s="16">
        <v>0</v>
      </c>
      <c r="AT7" s="16">
        <f t="shared" si="11"/>
        <v>0</v>
      </c>
      <c r="AU7" s="14">
        <v>0</v>
      </c>
      <c r="AV7" s="15">
        <v>0</v>
      </c>
      <c r="AW7" s="16">
        <v>0</v>
      </c>
      <c r="AX7" s="16">
        <f t="shared" si="12"/>
        <v>0</v>
      </c>
      <c r="AY7" s="14">
        <v>0</v>
      </c>
      <c r="AZ7" s="15">
        <v>1</v>
      </c>
      <c r="BA7" s="16">
        <v>1</v>
      </c>
      <c r="BB7" s="16">
        <f t="shared" si="13"/>
        <v>0</v>
      </c>
      <c r="BC7" s="14">
        <v>0</v>
      </c>
      <c r="BD7" s="15">
        <v>2</v>
      </c>
      <c r="BE7" s="16">
        <v>0</v>
      </c>
      <c r="BF7" s="16">
        <f t="shared" si="14"/>
        <v>2</v>
      </c>
      <c r="BG7" s="14">
        <v>0</v>
      </c>
      <c r="BH7" s="15">
        <v>0</v>
      </c>
      <c r="BI7" s="16">
        <v>0</v>
      </c>
      <c r="BJ7" s="16">
        <f t="shared" si="15"/>
        <v>0</v>
      </c>
      <c r="BK7" s="14">
        <v>0</v>
      </c>
      <c r="BL7" s="15">
        <v>0</v>
      </c>
      <c r="BM7" s="16">
        <v>0</v>
      </c>
      <c r="BN7" s="16">
        <f t="shared" si="16"/>
        <v>0</v>
      </c>
      <c r="BO7" s="14">
        <v>0</v>
      </c>
      <c r="BP7" s="15">
        <v>0</v>
      </c>
      <c r="BQ7" s="16">
        <v>0</v>
      </c>
      <c r="BR7" s="16">
        <f t="shared" si="17"/>
        <v>0</v>
      </c>
      <c r="BS7" s="14">
        <v>0</v>
      </c>
      <c r="BT7" s="15">
        <f t="shared" si="18"/>
        <v>11</v>
      </c>
      <c r="BU7" s="16">
        <f t="shared" si="19"/>
        <v>5</v>
      </c>
      <c r="BV7" s="16">
        <f t="shared" si="20"/>
        <v>2</v>
      </c>
      <c r="BW7" s="16">
        <f t="shared" si="21"/>
        <v>0.6875</v>
      </c>
      <c r="BX7" s="16">
        <f t="shared" si="22"/>
        <v>0.84615384615384615</v>
      </c>
      <c r="BY7" s="14">
        <f t="shared" si="23"/>
        <v>0.75862068965517238</v>
      </c>
      <c r="CC7" s="133" t="s">
        <v>79</v>
      </c>
      <c r="CD7">
        <f>AVERAGE(BW11:BW12)</f>
        <v>0.73809523809523814</v>
      </c>
      <c r="CE7">
        <f t="shared" ref="CE7:CF7" si="27">AVERAGE(BX11:BX12)</f>
        <v>0.83771929824561409</v>
      </c>
      <c r="CF7">
        <f t="shared" si="27"/>
        <v>0.7846153846153846</v>
      </c>
    </row>
    <row r="8" spans="1:84" x14ac:dyDescent="0.35">
      <c r="A8" s="51" t="s">
        <v>48</v>
      </c>
      <c r="B8" s="148"/>
      <c r="C8" s="14" t="s">
        <v>62</v>
      </c>
      <c r="D8" s="15">
        <v>2</v>
      </c>
      <c r="E8" s="16">
        <v>2</v>
      </c>
      <c r="F8" s="16">
        <f t="shared" si="1"/>
        <v>0</v>
      </c>
      <c r="G8" s="14">
        <v>0</v>
      </c>
      <c r="H8" s="15">
        <v>1</v>
      </c>
      <c r="I8" s="16">
        <v>0</v>
      </c>
      <c r="J8" s="16">
        <f t="shared" si="2"/>
        <v>1</v>
      </c>
      <c r="K8" s="14">
        <v>0</v>
      </c>
      <c r="L8" s="15">
        <v>1</v>
      </c>
      <c r="M8" s="16">
        <v>0</v>
      </c>
      <c r="N8" s="16">
        <f t="shared" si="3"/>
        <v>1</v>
      </c>
      <c r="O8" s="14">
        <v>0</v>
      </c>
      <c r="P8" s="15">
        <v>1</v>
      </c>
      <c r="Q8" s="16">
        <v>1</v>
      </c>
      <c r="R8" s="16">
        <f t="shared" si="4"/>
        <v>0</v>
      </c>
      <c r="S8" s="14">
        <v>0</v>
      </c>
      <c r="T8" s="15">
        <v>1</v>
      </c>
      <c r="U8" s="16">
        <v>1</v>
      </c>
      <c r="V8" s="16">
        <f t="shared" si="5"/>
        <v>0</v>
      </c>
      <c r="W8" s="14">
        <v>0</v>
      </c>
      <c r="X8" s="15">
        <v>3</v>
      </c>
      <c r="Y8" s="16">
        <v>3</v>
      </c>
      <c r="Z8" s="16">
        <f t="shared" si="6"/>
        <v>0</v>
      </c>
      <c r="AA8" s="14">
        <v>0</v>
      </c>
      <c r="AB8" s="15">
        <v>0</v>
      </c>
      <c r="AC8" s="16">
        <v>0</v>
      </c>
      <c r="AD8" s="16">
        <f t="shared" si="7"/>
        <v>0</v>
      </c>
      <c r="AE8" s="14">
        <v>0</v>
      </c>
      <c r="AF8" s="15">
        <v>3</v>
      </c>
      <c r="AG8" s="16">
        <v>3</v>
      </c>
      <c r="AH8" s="16">
        <f t="shared" si="8"/>
        <v>0</v>
      </c>
      <c r="AI8" s="14">
        <v>0</v>
      </c>
      <c r="AJ8" s="15">
        <v>0</v>
      </c>
      <c r="AK8" s="16">
        <v>0</v>
      </c>
      <c r="AL8" s="16">
        <f t="shared" si="9"/>
        <v>0</v>
      </c>
      <c r="AM8" s="14">
        <v>1</v>
      </c>
      <c r="AN8" s="15">
        <v>1</v>
      </c>
      <c r="AO8" s="16">
        <v>0</v>
      </c>
      <c r="AP8" s="16">
        <f t="shared" si="10"/>
        <v>1</v>
      </c>
      <c r="AQ8" s="14">
        <v>0</v>
      </c>
      <c r="AR8" s="15">
        <v>0</v>
      </c>
      <c r="AS8" s="16">
        <v>0</v>
      </c>
      <c r="AT8" s="16">
        <f t="shared" si="11"/>
        <v>0</v>
      </c>
      <c r="AU8" s="14">
        <v>0</v>
      </c>
      <c r="AV8" s="15">
        <v>0</v>
      </c>
      <c r="AW8" s="16">
        <v>0</v>
      </c>
      <c r="AX8" s="16">
        <f t="shared" si="12"/>
        <v>0</v>
      </c>
      <c r="AY8" s="14">
        <v>0</v>
      </c>
      <c r="AZ8" s="15">
        <v>1</v>
      </c>
      <c r="BA8" s="16">
        <v>1</v>
      </c>
      <c r="BB8" s="16">
        <f t="shared" si="13"/>
        <v>0</v>
      </c>
      <c r="BC8" s="14">
        <v>0</v>
      </c>
      <c r="BD8" s="15">
        <v>2</v>
      </c>
      <c r="BE8" s="16">
        <v>1</v>
      </c>
      <c r="BF8" s="16">
        <f t="shared" si="14"/>
        <v>1</v>
      </c>
      <c r="BG8" s="14">
        <v>0</v>
      </c>
      <c r="BH8" s="15">
        <v>0</v>
      </c>
      <c r="BI8" s="16">
        <v>0</v>
      </c>
      <c r="BJ8" s="16">
        <f t="shared" si="15"/>
        <v>0</v>
      </c>
      <c r="BK8" s="14">
        <v>0</v>
      </c>
      <c r="BL8" s="15">
        <v>0</v>
      </c>
      <c r="BM8" s="16">
        <v>0</v>
      </c>
      <c r="BN8" s="16">
        <f t="shared" si="16"/>
        <v>0</v>
      </c>
      <c r="BO8" s="14">
        <v>0</v>
      </c>
      <c r="BP8" s="15">
        <v>0</v>
      </c>
      <c r="BQ8" s="16">
        <v>0</v>
      </c>
      <c r="BR8" s="16">
        <f t="shared" si="17"/>
        <v>0</v>
      </c>
      <c r="BS8" s="14">
        <v>0</v>
      </c>
      <c r="BT8" s="15">
        <f t="shared" si="18"/>
        <v>12</v>
      </c>
      <c r="BU8" s="16">
        <f t="shared" si="19"/>
        <v>4</v>
      </c>
      <c r="BV8" s="16">
        <f t="shared" si="20"/>
        <v>1</v>
      </c>
      <c r="BW8" s="16">
        <f t="shared" si="21"/>
        <v>0.75</v>
      </c>
      <c r="BX8" s="16">
        <f t="shared" si="22"/>
        <v>0.92307692307692313</v>
      </c>
      <c r="BY8" s="14">
        <f t="shared" si="23"/>
        <v>0.82758620689655171</v>
      </c>
      <c r="CC8" s="133" t="s">
        <v>80</v>
      </c>
      <c r="CD8">
        <f>AVERAGE(BW13:BW14)</f>
        <v>0.83333333333333326</v>
      </c>
      <c r="CE8">
        <f t="shared" ref="CE8:CF8" si="28">AVERAGE(BX13:BX14)</f>
        <v>1</v>
      </c>
      <c r="CF8">
        <f t="shared" si="28"/>
        <v>0.9</v>
      </c>
    </row>
    <row r="9" spans="1:84" x14ac:dyDescent="0.35">
      <c r="A9" s="52" t="s">
        <v>48</v>
      </c>
      <c r="B9" s="148"/>
      <c r="C9" s="17" t="s">
        <v>29</v>
      </c>
      <c r="D9" s="18">
        <v>1</v>
      </c>
      <c r="E9" s="19">
        <v>1</v>
      </c>
      <c r="F9" s="19">
        <f t="shared" si="1"/>
        <v>0</v>
      </c>
      <c r="G9" s="17">
        <v>0</v>
      </c>
      <c r="H9" s="18">
        <v>0</v>
      </c>
      <c r="I9" s="19">
        <v>0</v>
      </c>
      <c r="J9" s="19">
        <f t="shared" si="2"/>
        <v>0</v>
      </c>
      <c r="K9" s="17">
        <v>0</v>
      </c>
      <c r="L9" s="18">
        <v>0</v>
      </c>
      <c r="M9" s="19">
        <v>0</v>
      </c>
      <c r="N9" s="19">
        <f t="shared" si="3"/>
        <v>0</v>
      </c>
      <c r="O9" s="17">
        <v>0</v>
      </c>
      <c r="P9" s="18">
        <v>0</v>
      </c>
      <c r="Q9" s="19">
        <v>0</v>
      </c>
      <c r="R9" s="19">
        <f t="shared" si="4"/>
        <v>0</v>
      </c>
      <c r="S9" s="17">
        <v>0</v>
      </c>
      <c r="T9" s="18">
        <v>0</v>
      </c>
      <c r="U9" s="19">
        <v>0</v>
      </c>
      <c r="V9" s="19">
        <f t="shared" si="5"/>
        <v>0</v>
      </c>
      <c r="W9" s="17">
        <v>0</v>
      </c>
      <c r="X9" s="18">
        <v>3</v>
      </c>
      <c r="Y9" s="19">
        <v>3</v>
      </c>
      <c r="Z9" s="19">
        <f t="shared" si="6"/>
        <v>0</v>
      </c>
      <c r="AA9" s="17">
        <v>0</v>
      </c>
      <c r="AB9" s="18">
        <v>4</v>
      </c>
      <c r="AC9" s="19">
        <v>4</v>
      </c>
      <c r="AD9" s="19">
        <f t="shared" si="7"/>
        <v>0</v>
      </c>
      <c r="AE9" s="17">
        <v>0</v>
      </c>
      <c r="AF9" s="18">
        <v>3</v>
      </c>
      <c r="AG9" s="19">
        <v>3</v>
      </c>
      <c r="AH9" s="19">
        <f t="shared" si="8"/>
        <v>0</v>
      </c>
      <c r="AI9" s="17">
        <v>0</v>
      </c>
      <c r="AJ9" s="18">
        <v>0</v>
      </c>
      <c r="AK9" s="19">
        <v>0</v>
      </c>
      <c r="AL9" s="19">
        <f t="shared" si="9"/>
        <v>0</v>
      </c>
      <c r="AM9" s="17">
        <v>0</v>
      </c>
      <c r="AN9" s="18">
        <v>0</v>
      </c>
      <c r="AO9" s="19">
        <v>0</v>
      </c>
      <c r="AP9" s="19">
        <f t="shared" si="10"/>
        <v>0</v>
      </c>
      <c r="AQ9" s="17">
        <v>0</v>
      </c>
      <c r="AR9" s="18">
        <v>0</v>
      </c>
      <c r="AS9" s="19">
        <v>0</v>
      </c>
      <c r="AT9" s="19">
        <f t="shared" si="11"/>
        <v>0</v>
      </c>
      <c r="AU9" s="17">
        <v>0</v>
      </c>
      <c r="AV9" s="18">
        <v>0</v>
      </c>
      <c r="AW9" s="19">
        <v>0</v>
      </c>
      <c r="AX9" s="19">
        <f t="shared" si="12"/>
        <v>0</v>
      </c>
      <c r="AY9" s="17">
        <v>1</v>
      </c>
      <c r="AZ9" s="18">
        <v>0</v>
      </c>
      <c r="BA9" s="19">
        <v>0</v>
      </c>
      <c r="BB9" s="19">
        <f t="shared" si="13"/>
        <v>0</v>
      </c>
      <c r="BC9" s="17">
        <v>1</v>
      </c>
      <c r="BD9" s="18">
        <v>0</v>
      </c>
      <c r="BE9" s="19">
        <v>0</v>
      </c>
      <c r="BF9" s="19">
        <f t="shared" si="14"/>
        <v>0</v>
      </c>
      <c r="BG9" s="17">
        <v>0</v>
      </c>
      <c r="BH9" s="18">
        <v>1</v>
      </c>
      <c r="BI9" s="19">
        <v>0</v>
      </c>
      <c r="BJ9" s="19">
        <f t="shared" si="15"/>
        <v>1</v>
      </c>
      <c r="BK9" s="17">
        <v>0</v>
      </c>
      <c r="BL9" s="18">
        <v>0</v>
      </c>
      <c r="BM9" s="19">
        <v>0</v>
      </c>
      <c r="BN9" s="19">
        <f t="shared" si="16"/>
        <v>0</v>
      </c>
      <c r="BO9" s="17">
        <v>1</v>
      </c>
      <c r="BP9" s="18">
        <v>0</v>
      </c>
      <c r="BQ9" s="19">
        <v>0</v>
      </c>
      <c r="BR9" s="19">
        <f t="shared" si="17"/>
        <v>0</v>
      </c>
      <c r="BS9" s="17">
        <v>0</v>
      </c>
      <c r="BT9" s="18">
        <f t="shared" si="18"/>
        <v>11</v>
      </c>
      <c r="BU9" s="19">
        <f t="shared" si="19"/>
        <v>1</v>
      </c>
      <c r="BV9" s="19">
        <f t="shared" si="20"/>
        <v>3</v>
      </c>
      <c r="BW9" s="19">
        <f t="shared" si="21"/>
        <v>0.91666666666666663</v>
      </c>
      <c r="BX9" s="19">
        <f t="shared" si="22"/>
        <v>0.7857142857142857</v>
      </c>
      <c r="BY9" s="17">
        <f t="shared" si="23"/>
        <v>0.84615384615384615</v>
      </c>
      <c r="CC9" s="133" t="s">
        <v>81</v>
      </c>
      <c r="CD9">
        <f>AVERAGE(BW15:BW16)</f>
        <v>1</v>
      </c>
      <c r="CE9">
        <f t="shared" ref="CE9:CF9" si="29">AVERAGE(BX15:BX16)</f>
        <v>1</v>
      </c>
      <c r="CF9">
        <f t="shared" si="29"/>
        <v>1</v>
      </c>
    </row>
    <row r="10" spans="1:84" x14ac:dyDescent="0.35">
      <c r="A10" s="52" t="s">
        <v>48</v>
      </c>
      <c r="B10" s="148"/>
      <c r="C10" s="17" t="s">
        <v>45</v>
      </c>
      <c r="D10" s="18">
        <v>1</v>
      </c>
      <c r="E10" s="19">
        <v>1</v>
      </c>
      <c r="F10" s="19">
        <f t="shared" si="1"/>
        <v>0</v>
      </c>
      <c r="G10" s="17">
        <v>0</v>
      </c>
      <c r="H10" s="18">
        <v>0</v>
      </c>
      <c r="I10" s="19">
        <v>0</v>
      </c>
      <c r="J10" s="19">
        <f t="shared" si="2"/>
        <v>0</v>
      </c>
      <c r="K10" s="17">
        <v>0</v>
      </c>
      <c r="L10" s="18">
        <v>0</v>
      </c>
      <c r="M10" s="19">
        <v>0</v>
      </c>
      <c r="N10" s="19">
        <f t="shared" si="3"/>
        <v>0</v>
      </c>
      <c r="O10" s="17">
        <v>0</v>
      </c>
      <c r="P10" s="18">
        <v>0</v>
      </c>
      <c r="Q10" s="19">
        <v>0</v>
      </c>
      <c r="R10" s="19">
        <f t="shared" si="4"/>
        <v>0</v>
      </c>
      <c r="S10" s="17">
        <v>0</v>
      </c>
      <c r="T10" s="18">
        <v>0</v>
      </c>
      <c r="U10" s="19">
        <v>0</v>
      </c>
      <c r="V10" s="19">
        <f t="shared" si="5"/>
        <v>0</v>
      </c>
      <c r="W10" s="17">
        <v>0</v>
      </c>
      <c r="X10" s="18">
        <v>3</v>
      </c>
      <c r="Y10" s="19">
        <v>3</v>
      </c>
      <c r="Z10" s="19">
        <f t="shared" si="6"/>
        <v>0</v>
      </c>
      <c r="AA10" s="17">
        <v>0</v>
      </c>
      <c r="AB10" s="18">
        <v>4</v>
      </c>
      <c r="AC10" s="19">
        <v>4</v>
      </c>
      <c r="AD10" s="19">
        <f t="shared" si="7"/>
        <v>0</v>
      </c>
      <c r="AE10" s="17">
        <v>0</v>
      </c>
      <c r="AF10" s="18">
        <v>3</v>
      </c>
      <c r="AG10" s="19">
        <v>3</v>
      </c>
      <c r="AH10" s="19">
        <f t="shared" si="8"/>
        <v>0</v>
      </c>
      <c r="AI10" s="17">
        <v>0</v>
      </c>
      <c r="AJ10" s="18">
        <v>0</v>
      </c>
      <c r="AK10" s="19">
        <v>0</v>
      </c>
      <c r="AL10" s="19">
        <f t="shared" si="9"/>
        <v>0</v>
      </c>
      <c r="AM10" s="17">
        <v>0</v>
      </c>
      <c r="AN10" s="18">
        <v>0</v>
      </c>
      <c r="AO10" s="19">
        <v>0</v>
      </c>
      <c r="AP10" s="19">
        <f t="shared" si="10"/>
        <v>0</v>
      </c>
      <c r="AQ10" s="17">
        <v>0</v>
      </c>
      <c r="AR10" s="18">
        <v>0</v>
      </c>
      <c r="AS10" s="19">
        <v>0</v>
      </c>
      <c r="AT10" s="19">
        <f t="shared" si="11"/>
        <v>0</v>
      </c>
      <c r="AU10" s="17">
        <v>0</v>
      </c>
      <c r="AV10" s="18">
        <v>0</v>
      </c>
      <c r="AW10" s="19">
        <v>0</v>
      </c>
      <c r="AX10" s="19">
        <f t="shared" si="12"/>
        <v>0</v>
      </c>
      <c r="AY10" s="17">
        <v>0</v>
      </c>
      <c r="AZ10" s="18">
        <v>0</v>
      </c>
      <c r="BA10" s="19">
        <v>0</v>
      </c>
      <c r="BB10" s="19">
        <f t="shared" si="13"/>
        <v>0</v>
      </c>
      <c r="BC10" s="17">
        <v>0</v>
      </c>
      <c r="BD10" s="18">
        <v>0</v>
      </c>
      <c r="BE10" s="19">
        <v>0</v>
      </c>
      <c r="BF10" s="19">
        <f t="shared" si="14"/>
        <v>0</v>
      </c>
      <c r="BG10" s="17">
        <v>0</v>
      </c>
      <c r="BH10" s="18">
        <v>1</v>
      </c>
      <c r="BI10" s="19">
        <v>1</v>
      </c>
      <c r="BJ10" s="19">
        <f t="shared" si="15"/>
        <v>0</v>
      </c>
      <c r="BK10" s="17">
        <v>0</v>
      </c>
      <c r="BL10" s="18">
        <v>0</v>
      </c>
      <c r="BM10" s="19">
        <v>0</v>
      </c>
      <c r="BN10" s="19">
        <f t="shared" si="16"/>
        <v>0</v>
      </c>
      <c r="BO10" s="17">
        <v>0</v>
      </c>
      <c r="BP10" s="18">
        <v>0</v>
      </c>
      <c r="BQ10" s="19">
        <v>0</v>
      </c>
      <c r="BR10" s="19">
        <f t="shared" si="17"/>
        <v>0</v>
      </c>
      <c r="BS10" s="17">
        <v>0</v>
      </c>
      <c r="BT10" s="18">
        <f t="shared" si="18"/>
        <v>12</v>
      </c>
      <c r="BU10" s="19">
        <f t="shared" si="19"/>
        <v>0</v>
      </c>
      <c r="BV10" s="19">
        <f t="shared" si="20"/>
        <v>0</v>
      </c>
      <c r="BW10" s="19">
        <f t="shared" si="21"/>
        <v>1</v>
      </c>
      <c r="BX10" s="19">
        <f t="shared" si="22"/>
        <v>1</v>
      </c>
      <c r="BY10" s="17">
        <f t="shared" si="23"/>
        <v>1</v>
      </c>
      <c r="CC10" s="133" t="s">
        <v>82</v>
      </c>
      <c r="CD10">
        <f>AVERAGE(BW17:BW18)</f>
        <v>0.86363636363636365</v>
      </c>
      <c r="CE10">
        <f t="shared" ref="CE10:CF10" si="30">AVERAGE(BX17:BX18)</f>
        <v>0.79166666666666674</v>
      </c>
      <c r="CF10">
        <f t="shared" si="30"/>
        <v>0.82608695652173902</v>
      </c>
    </row>
    <row r="11" spans="1:84" x14ac:dyDescent="0.35">
      <c r="A11" s="53" t="s">
        <v>48</v>
      </c>
      <c r="B11" s="148"/>
      <c r="C11" s="20" t="s">
        <v>30</v>
      </c>
      <c r="D11" s="21">
        <v>2</v>
      </c>
      <c r="E11" s="22">
        <v>2</v>
      </c>
      <c r="F11" s="22">
        <f t="shared" si="1"/>
        <v>0</v>
      </c>
      <c r="G11" s="20">
        <v>0</v>
      </c>
      <c r="H11" s="21">
        <v>1</v>
      </c>
      <c r="I11" s="22">
        <v>0</v>
      </c>
      <c r="J11" s="22">
        <f t="shared" si="2"/>
        <v>1</v>
      </c>
      <c r="K11" s="20">
        <v>0</v>
      </c>
      <c r="L11" s="21">
        <v>2</v>
      </c>
      <c r="M11" s="22">
        <v>0</v>
      </c>
      <c r="N11" s="22">
        <f t="shared" si="3"/>
        <v>2</v>
      </c>
      <c r="O11" s="20">
        <v>0</v>
      </c>
      <c r="P11" s="21">
        <v>2</v>
      </c>
      <c r="Q11" s="22">
        <v>2</v>
      </c>
      <c r="R11" s="22">
        <f t="shared" si="4"/>
        <v>0</v>
      </c>
      <c r="S11" s="20">
        <v>2</v>
      </c>
      <c r="T11" s="21">
        <v>2</v>
      </c>
      <c r="U11" s="22">
        <v>2</v>
      </c>
      <c r="V11" s="22">
        <f t="shared" si="5"/>
        <v>0</v>
      </c>
      <c r="W11" s="20">
        <v>0</v>
      </c>
      <c r="X11" s="21">
        <v>4</v>
      </c>
      <c r="Y11" s="22">
        <v>4</v>
      </c>
      <c r="Z11" s="22">
        <f t="shared" si="6"/>
        <v>0</v>
      </c>
      <c r="AA11" s="20">
        <v>1</v>
      </c>
      <c r="AB11" s="21">
        <v>0</v>
      </c>
      <c r="AC11" s="22">
        <v>0</v>
      </c>
      <c r="AD11" s="22">
        <f t="shared" si="7"/>
        <v>0</v>
      </c>
      <c r="AE11" s="20">
        <v>0</v>
      </c>
      <c r="AF11" s="21">
        <v>4</v>
      </c>
      <c r="AG11" s="22">
        <v>4</v>
      </c>
      <c r="AH11" s="22">
        <f t="shared" si="8"/>
        <v>0</v>
      </c>
      <c r="AI11" s="20">
        <v>0</v>
      </c>
      <c r="AJ11" s="21">
        <v>1</v>
      </c>
      <c r="AK11" s="22">
        <v>1</v>
      </c>
      <c r="AL11" s="22">
        <f t="shared" si="9"/>
        <v>0</v>
      </c>
      <c r="AM11" s="20">
        <v>0</v>
      </c>
      <c r="AN11" s="21">
        <v>0</v>
      </c>
      <c r="AO11" s="22">
        <v>0</v>
      </c>
      <c r="AP11" s="22">
        <f t="shared" si="10"/>
        <v>0</v>
      </c>
      <c r="AQ11" s="20">
        <v>0</v>
      </c>
      <c r="AR11" s="21">
        <v>0</v>
      </c>
      <c r="AS11" s="22">
        <v>0</v>
      </c>
      <c r="AT11" s="22">
        <f t="shared" si="11"/>
        <v>0</v>
      </c>
      <c r="AU11" s="20">
        <v>0</v>
      </c>
      <c r="AV11" s="21">
        <v>0</v>
      </c>
      <c r="AW11" s="22">
        <v>0</v>
      </c>
      <c r="AX11" s="22">
        <f t="shared" si="12"/>
        <v>0</v>
      </c>
      <c r="AY11" s="20">
        <v>0</v>
      </c>
      <c r="AZ11" s="21">
        <v>1</v>
      </c>
      <c r="BA11" s="22">
        <v>0</v>
      </c>
      <c r="BB11" s="22">
        <f t="shared" si="13"/>
        <v>1</v>
      </c>
      <c r="BC11" s="20">
        <v>0</v>
      </c>
      <c r="BD11" s="21">
        <v>2</v>
      </c>
      <c r="BE11" s="22">
        <v>0</v>
      </c>
      <c r="BF11" s="22">
        <f t="shared" si="14"/>
        <v>2</v>
      </c>
      <c r="BG11" s="20">
        <v>0</v>
      </c>
      <c r="BH11" s="21">
        <v>0</v>
      </c>
      <c r="BI11" s="22">
        <v>0</v>
      </c>
      <c r="BJ11" s="22">
        <f t="shared" si="15"/>
        <v>0</v>
      </c>
      <c r="BK11" s="20">
        <v>0</v>
      </c>
      <c r="BL11" s="21">
        <v>0</v>
      </c>
      <c r="BM11" s="22">
        <v>0</v>
      </c>
      <c r="BN11" s="22">
        <f t="shared" si="16"/>
        <v>0</v>
      </c>
      <c r="BO11" s="20">
        <v>0</v>
      </c>
      <c r="BP11" s="21">
        <v>0</v>
      </c>
      <c r="BQ11" s="22">
        <v>0</v>
      </c>
      <c r="BR11" s="22">
        <f t="shared" si="17"/>
        <v>0</v>
      </c>
      <c r="BS11" s="20">
        <v>0</v>
      </c>
      <c r="BT11" s="21">
        <f t="shared" si="18"/>
        <v>15</v>
      </c>
      <c r="BU11" s="22">
        <f t="shared" si="19"/>
        <v>6</v>
      </c>
      <c r="BV11" s="22">
        <f t="shared" si="20"/>
        <v>3</v>
      </c>
      <c r="BW11" s="22">
        <f t="shared" si="21"/>
        <v>0.7142857142857143</v>
      </c>
      <c r="BX11" s="22">
        <f t="shared" si="22"/>
        <v>0.83333333333333337</v>
      </c>
      <c r="BY11" s="20">
        <f t="shared" si="23"/>
        <v>0.76923076923076916</v>
      </c>
      <c r="CC11" s="133" t="s">
        <v>83</v>
      </c>
      <c r="CD11">
        <f>AVERAGE(BW19:BW20)</f>
        <v>0.79166666666666663</v>
      </c>
      <c r="CE11">
        <f t="shared" ref="CE11:CF11" si="31">AVERAGE(BX19:BX20)</f>
        <v>0.7005494505494505</v>
      </c>
      <c r="CF11">
        <f t="shared" si="31"/>
        <v>0.74307692307692308</v>
      </c>
    </row>
    <row r="12" spans="1:84" x14ac:dyDescent="0.35">
      <c r="A12" s="53" t="s">
        <v>48</v>
      </c>
      <c r="B12" s="148"/>
      <c r="C12" s="20" t="s">
        <v>63</v>
      </c>
      <c r="D12" s="21">
        <v>2</v>
      </c>
      <c r="E12" s="22">
        <v>2</v>
      </c>
      <c r="F12" s="22">
        <f t="shared" si="1"/>
        <v>0</v>
      </c>
      <c r="G12" s="20">
        <v>0</v>
      </c>
      <c r="H12" s="21">
        <v>1</v>
      </c>
      <c r="I12" s="22">
        <v>0</v>
      </c>
      <c r="J12" s="22">
        <f>H12-I12</f>
        <v>1</v>
      </c>
      <c r="K12" s="20">
        <v>0</v>
      </c>
      <c r="L12" s="21">
        <v>2</v>
      </c>
      <c r="M12" s="22">
        <v>0</v>
      </c>
      <c r="N12" s="22">
        <f t="shared" si="3"/>
        <v>2</v>
      </c>
      <c r="O12" s="20">
        <v>0</v>
      </c>
      <c r="P12" s="21">
        <v>2</v>
      </c>
      <c r="Q12" s="22">
        <v>2</v>
      </c>
      <c r="R12" s="22">
        <f>P12-Q12</f>
        <v>0</v>
      </c>
      <c r="S12" s="20">
        <v>2</v>
      </c>
      <c r="T12" s="21">
        <v>2</v>
      </c>
      <c r="U12" s="22">
        <v>2</v>
      </c>
      <c r="V12" s="22">
        <f t="shared" si="5"/>
        <v>0</v>
      </c>
      <c r="W12" s="20">
        <v>0</v>
      </c>
      <c r="X12" s="21">
        <v>4</v>
      </c>
      <c r="Y12" s="22">
        <v>4</v>
      </c>
      <c r="Z12" s="22">
        <f t="shared" si="6"/>
        <v>0</v>
      </c>
      <c r="AA12" s="20">
        <v>1</v>
      </c>
      <c r="AB12" s="21">
        <v>0</v>
      </c>
      <c r="AC12" s="22">
        <v>0</v>
      </c>
      <c r="AD12" s="22">
        <f t="shared" si="7"/>
        <v>0</v>
      </c>
      <c r="AE12" s="20">
        <v>0</v>
      </c>
      <c r="AF12" s="21">
        <v>4</v>
      </c>
      <c r="AG12" s="22">
        <v>4</v>
      </c>
      <c r="AH12" s="22">
        <f t="shared" si="8"/>
        <v>0</v>
      </c>
      <c r="AI12" s="20">
        <v>0</v>
      </c>
      <c r="AJ12" s="21">
        <v>1</v>
      </c>
      <c r="AK12" s="22">
        <v>1</v>
      </c>
      <c r="AL12" s="22">
        <f t="shared" si="9"/>
        <v>0</v>
      </c>
      <c r="AM12" s="20">
        <v>0</v>
      </c>
      <c r="AN12" s="21">
        <v>0</v>
      </c>
      <c r="AO12" s="22">
        <v>0</v>
      </c>
      <c r="AP12" s="22">
        <f t="shared" si="10"/>
        <v>0</v>
      </c>
      <c r="AQ12" s="20">
        <v>0</v>
      </c>
      <c r="AR12" s="21">
        <v>0</v>
      </c>
      <c r="AS12" s="22">
        <v>0</v>
      </c>
      <c r="AT12" s="22">
        <f t="shared" si="11"/>
        <v>0</v>
      </c>
      <c r="AU12" s="20">
        <v>0</v>
      </c>
      <c r="AV12" s="21">
        <v>0</v>
      </c>
      <c r="AW12" s="22">
        <v>0</v>
      </c>
      <c r="AX12" s="22">
        <f>AV12-AW12</f>
        <v>0</v>
      </c>
      <c r="AY12" s="20">
        <v>0</v>
      </c>
      <c r="AZ12" s="21">
        <v>1</v>
      </c>
      <c r="BA12" s="22">
        <v>0</v>
      </c>
      <c r="BB12" s="22">
        <f t="shared" si="13"/>
        <v>1</v>
      </c>
      <c r="BC12" s="20">
        <v>0</v>
      </c>
      <c r="BD12" s="21">
        <v>2</v>
      </c>
      <c r="BE12" s="22">
        <v>1</v>
      </c>
      <c r="BF12" s="22">
        <f t="shared" si="14"/>
        <v>1</v>
      </c>
      <c r="BG12" s="20">
        <v>0</v>
      </c>
      <c r="BH12" s="21">
        <v>0</v>
      </c>
      <c r="BI12" s="22">
        <v>0</v>
      </c>
      <c r="BJ12" s="22">
        <f t="shared" si="15"/>
        <v>0</v>
      </c>
      <c r="BK12" s="20">
        <v>0</v>
      </c>
      <c r="BL12" s="21">
        <v>0</v>
      </c>
      <c r="BM12" s="22">
        <v>0</v>
      </c>
      <c r="BN12" s="22">
        <f t="shared" si="16"/>
        <v>0</v>
      </c>
      <c r="BO12" s="20">
        <v>0</v>
      </c>
      <c r="BP12" s="21">
        <v>0</v>
      </c>
      <c r="BQ12" s="22">
        <v>0</v>
      </c>
      <c r="BR12" s="22">
        <f t="shared" si="17"/>
        <v>0</v>
      </c>
      <c r="BS12" s="20">
        <v>0</v>
      </c>
      <c r="BT12" s="21">
        <f t="shared" si="18"/>
        <v>16</v>
      </c>
      <c r="BU12" s="22">
        <f t="shared" si="19"/>
        <v>5</v>
      </c>
      <c r="BV12" s="22">
        <f t="shared" si="20"/>
        <v>3</v>
      </c>
      <c r="BW12" s="22">
        <f t="shared" si="21"/>
        <v>0.76190476190476186</v>
      </c>
      <c r="BX12" s="22">
        <f t="shared" si="22"/>
        <v>0.84210526315789469</v>
      </c>
      <c r="BY12" s="20">
        <f t="shared" si="23"/>
        <v>0.8</v>
      </c>
      <c r="CC12" s="133" t="s">
        <v>84</v>
      </c>
      <c r="CD12">
        <f>AVERAGE(BW21:BW22)</f>
        <v>0.58823529411764708</v>
      </c>
      <c r="CE12">
        <f t="shared" ref="CE12:CF12" si="32">AVERAGE(BX21:BX22)</f>
        <v>0.76923076923076927</v>
      </c>
      <c r="CF12">
        <f t="shared" si="32"/>
        <v>0.66666666666666674</v>
      </c>
    </row>
    <row r="13" spans="1:84" ht="13.5" customHeight="1" x14ac:dyDescent="0.35">
      <c r="A13" s="54" t="s">
        <v>48</v>
      </c>
      <c r="B13" s="148"/>
      <c r="C13" s="23" t="s">
        <v>31</v>
      </c>
      <c r="D13" s="24">
        <v>4</v>
      </c>
      <c r="E13" s="25">
        <v>4</v>
      </c>
      <c r="F13" s="25">
        <f t="shared" si="1"/>
        <v>0</v>
      </c>
      <c r="G13" s="23">
        <v>0</v>
      </c>
      <c r="H13" s="24">
        <v>0</v>
      </c>
      <c r="I13" s="25">
        <v>0</v>
      </c>
      <c r="J13" s="25">
        <f t="shared" si="2"/>
        <v>0</v>
      </c>
      <c r="K13" s="23">
        <v>0</v>
      </c>
      <c r="L13" s="24">
        <v>0</v>
      </c>
      <c r="M13" s="25">
        <v>0</v>
      </c>
      <c r="N13" s="25">
        <f t="shared" si="3"/>
        <v>0</v>
      </c>
      <c r="O13" s="23">
        <v>0</v>
      </c>
      <c r="P13" s="24">
        <v>0</v>
      </c>
      <c r="Q13" s="25">
        <v>0</v>
      </c>
      <c r="R13" s="25">
        <f t="shared" si="4"/>
        <v>0</v>
      </c>
      <c r="S13" s="23">
        <v>0</v>
      </c>
      <c r="T13" s="24">
        <v>0</v>
      </c>
      <c r="U13" s="25">
        <v>0</v>
      </c>
      <c r="V13" s="25">
        <f t="shared" si="5"/>
        <v>0</v>
      </c>
      <c r="W13" s="23">
        <v>0</v>
      </c>
      <c r="X13" s="24">
        <v>4</v>
      </c>
      <c r="Y13" s="25">
        <v>4</v>
      </c>
      <c r="Z13" s="25">
        <f t="shared" si="6"/>
        <v>0</v>
      </c>
      <c r="AA13" s="23">
        <v>0</v>
      </c>
      <c r="AB13" s="24">
        <v>0</v>
      </c>
      <c r="AC13" s="25">
        <v>0</v>
      </c>
      <c r="AD13" s="25">
        <f t="shared" si="7"/>
        <v>0</v>
      </c>
      <c r="AE13" s="23">
        <v>0</v>
      </c>
      <c r="AF13" s="24">
        <v>4</v>
      </c>
      <c r="AG13" s="25">
        <v>4</v>
      </c>
      <c r="AH13" s="25">
        <f t="shared" si="8"/>
        <v>0</v>
      </c>
      <c r="AI13" s="23">
        <v>0</v>
      </c>
      <c r="AJ13" s="24">
        <v>3</v>
      </c>
      <c r="AK13" s="25">
        <v>3</v>
      </c>
      <c r="AL13" s="25">
        <f t="shared" si="9"/>
        <v>0</v>
      </c>
      <c r="AM13" s="23">
        <v>0</v>
      </c>
      <c r="AN13" s="24">
        <v>0</v>
      </c>
      <c r="AO13" s="25">
        <v>0</v>
      </c>
      <c r="AP13" s="25">
        <f t="shared" si="10"/>
        <v>0</v>
      </c>
      <c r="AQ13" s="23">
        <v>0</v>
      </c>
      <c r="AR13" s="24">
        <v>0</v>
      </c>
      <c r="AS13" s="25">
        <v>0</v>
      </c>
      <c r="AT13" s="25">
        <f t="shared" si="11"/>
        <v>0</v>
      </c>
      <c r="AU13" s="23">
        <v>0</v>
      </c>
      <c r="AV13" s="24">
        <v>0</v>
      </c>
      <c r="AW13" s="25">
        <v>0</v>
      </c>
      <c r="AX13" s="25">
        <f t="shared" si="12"/>
        <v>0</v>
      </c>
      <c r="AY13" s="23">
        <v>0</v>
      </c>
      <c r="AZ13" s="24">
        <v>3</v>
      </c>
      <c r="BA13" s="25">
        <v>3</v>
      </c>
      <c r="BB13" s="25">
        <f t="shared" si="13"/>
        <v>0</v>
      </c>
      <c r="BC13" s="23">
        <v>0</v>
      </c>
      <c r="BD13" s="24">
        <v>0</v>
      </c>
      <c r="BE13" s="25">
        <v>0</v>
      </c>
      <c r="BF13" s="25">
        <f t="shared" si="14"/>
        <v>0</v>
      </c>
      <c r="BG13" s="23">
        <v>0</v>
      </c>
      <c r="BH13" s="24">
        <v>0</v>
      </c>
      <c r="BI13" s="25">
        <v>0</v>
      </c>
      <c r="BJ13" s="25">
        <f t="shared" si="15"/>
        <v>0</v>
      </c>
      <c r="BK13" s="23">
        <v>0</v>
      </c>
      <c r="BL13" s="24">
        <v>0</v>
      </c>
      <c r="BM13" s="25">
        <v>0</v>
      </c>
      <c r="BN13" s="25">
        <f t="shared" si="16"/>
        <v>0</v>
      </c>
      <c r="BO13" s="23">
        <v>0</v>
      </c>
      <c r="BP13" s="24">
        <v>0</v>
      </c>
      <c r="BQ13" s="25">
        <v>0</v>
      </c>
      <c r="BR13" s="25">
        <f t="shared" si="17"/>
        <v>0</v>
      </c>
      <c r="BS13" s="23">
        <v>0</v>
      </c>
      <c r="BT13" s="24">
        <f t="shared" si="18"/>
        <v>18</v>
      </c>
      <c r="BU13" s="25">
        <f t="shared" si="19"/>
        <v>0</v>
      </c>
      <c r="BV13" s="25">
        <f t="shared" si="20"/>
        <v>0</v>
      </c>
      <c r="BW13" s="25">
        <f t="shared" si="21"/>
        <v>1</v>
      </c>
      <c r="BX13" s="25">
        <f t="shared" si="22"/>
        <v>1</v>
      </c>
      <c r="BY13" s="23">
        <f t="shared" si="23"/>
        <v>1</v>
      </c>
      <c r="CC13" s="133" t="s">
        <v>85</v>
      </c>
      <c r="CD13">
        <f>AVERAGE(BW23:BW24)</f>
        <v>0.81818181818181823</v>
      </c>
      <c r="CE13">
        <f t="shared" ref="CE13:CF13" si="33">AVERAGE(BX23:BX24)</f>
        <v>0.75</v>
      </c>
      <c r="CF13">
        <f t="shared" si="33"/>
        <v>0.78260869565217384</v>
      </c>
    </row>
    <row r="14" spans="1:84" x14ac:dyDescent="0.35">
      <c r="A14" s="54" t="s">
        <v>48</v>
      </c>
      <c r="B14" s="148"/>
      <c r="C14" s="23" t="s">
        <v>64</v>
      </c>
      <c r="D14" s="24">
        <v>4</v>
      </c>
      <c r="E14" s="25">
        <v>4</v>
      </c>
      <c r="F14" s="25">
        <f t="shared" si="1"/>
        <v>0</v>
      </c>
      <c r="G14" s="23">
        <v>0</v>
      </c>
      <c r="H14" s="24">
        <v>0</v>
      </c>
      <c r="I14" s="24">
        <v>0</v>
      </c>
      <c r="J14" s="24">
        <v>0</v>
      </c>
      <c r="K14" s="23">
        <v>0</v>
      </c>
      <c r="L14" s="24">
        <v>0</v>
      </c>
      <c r="M14" s="24">
        <v>0</v>
      </c>
      <c r="N14" s="24">
        <v>0</v>
      </c>
      <c r="O14" s="23">
        <v>0</v>
      </c>
      <c r="P14" s="24">
        <v>0</v>
      </c>
      <c r="Q14" s="25">
        <v>0</v>
      </c>
      <c r="R14" s="25">
        <f t="shared" si="4"/>
        <v>0</v>
      </c>
      <c r="S14" s="23">
        <v>0</v>
      </c>
      <c r="T14" s="24">
        <v>0</v>
      </c>
      <c r="U14" s="25">
        <v>0</v>
      </c>
      <c r="V14" s="25">
        <v>0</v>
      </c>
      <c r="W14" s="23">
        <v>0</v>
      </c>
      <c r="X14" s="24">
        <v>4</v>
      </c>
      <c r="Y14" s="24">
        <v>4</v>
      </c>
      <c r="Z14" s="24">
        <f>X14-Y14</f>
        <v>0</v>
      </c>
      <c r="AA14" s="23">
        <v>0</v>
      </c>
      <c r="AB14" s="24">
        <v>0</v>
      </c>
      <c r="AC14" s="24">
        <v>0</v>
      </c>
      <c r="AD14" s="24">
        <f>AB14-AC14</f>
        <v>0</v>
      </c>
      <c r="AE14" s="23">
        <v>0</v>
      </c>
      <c r="AF14" s="24">
        <v>4</v>
      </c>
      <c r="AG14" s="24">
        <v>4</v>
      </c>
      <c r="AH14" s="24">
        <f>AF14-AG14</f>
        <v>0</v>
      </c>
      <c r="AI14" s="23">
        <v>0</v>
      </c>
      <c r="AJ14" s="24">
        <v>3</v>
      </c>
      <c r="AK14" s="24">
        <v>0</v>
      </c>
      <c r="AL14" s="24">
        <f>AJ14-AK14</f>
        <v>3</v>
      </c>
      <c r="AM14" s="23">
        <v>0</v>
      </c>
      <c r="AN14" s="24">
        <v>0</v>
      </c>
      <c r="AO14" s="24">
        <v>0</v>
      </c>
      <c r="AP14" s="24">
        <f>AN14-AO14</f>
        <v>0</v>
      </c>
      <c r="AQ14" s="23">
        <v>0</v>
      </c>
      <c r="AR14" s="24">
        <v>0</v>
      </c>
      <c r="AS14" s="25">
        <v>0</v>
      </c>
      <c r="AT14" s="25">
        <f t="shared" si="11"/>
        <v>0</v>
      </c>
      <c r="AU14" s="23">
        <v>0</v>
      </c>
      <c r="AV14" s="24">
        <v>0</v>
      </c>
      <c r="AW14" s="25">
        <v>0</v>
      </c>
      <c r="AX14" s="25">
        <f t="shared" si="12"/>
        <v>0</v>
      </c>
      <c r="AY14" s="23">
        <v>0</v>
      </c>
      <c r="AZ14" s="24">
        <v>3</v>
      </c>
      <c r="BA14" s="25">
        <v>0</v>
      </c>
      <c r="BB14" s="25">
        <f t="shared" si="13"/>
        <v>3</v>
      </c>
      <c r="BC14" s="23">
        <v>0</v>
      </c>
      <c r="BD14" s="24">
        <v>0</v>
      </c>
      <c r="BE14" s="25">
        <v>0</v>
      </c>
      <c r="BF14" s="25">
        <f t="shared" si="14"/>
        <v>0</v>
      </c>
      <c r="BG14" s="23">
        <v>0</v>
      </c>
      <c r="BH14" s="24">
        <v>0</v>
      </c>
      <c r="BI14" s="25">
        <v>0</v>
      </c>
      <c r="BJ14" s="25">
        <f t="shared" si="15"/>
        <v>0</v>
      </c>
      <c r="BK14" s="23">
        <v>0</v>
      </c>
      <c r="BL14" s="24">
        <v>0</v>
      </c>
      <c r="BM14" s="25">
        <v>0</v>
      </c>
      <c r="BN14" s="25">
        <f t="shared" si="16"/>
        <v>0</v>
      </c>
      <c r="BO14" s="23">
        <v>0</v>
      </c>
      <c r="BP14" s="24">
        <v>0</v>
      </c>
      <c r="BQ14" s="25">
        <v>0</v>
      </c>
      <c r="BR14" s="25">
        <f t="shared" si="17"/>
        <v>0</v>
      </c>
      <c r="BS14" s="23">
        <v>0</v>
      </c>
      <c r="BT14" s="24">
        <f t="shared" si="18"/>
        <v>12</v>
      </c>
      <c r="BU14" s="25">
        <f t="shared" si="19"/>
        <v>6</v>
      </c>
      <c r="BV14" s="25">
        <f t="shared" si="20"/>
        <v>0</v>
      </c>
      <c r="BW14" s="25">
        <f t="shared" si="21"/>
        <v>0.66666666666666663</v>
      </c>
      <c r="BX14" s="25">
        <f t="shared" si="22"/>
        <v>1</v>
      </c>
      <c r="BY14" s="23">
        <f t="shared" si="23"/>
        <v>0.8</v>
      </c>
      <c r="CC14" s="133" t="s">
        <v>86</v>
      </c>
      <c r="CD14">
        <f>AVERAGE(BW25:BW26)</f>
        <v>0.75</v>
      </c>
      <c r="CE14">
        <f t="shared" ref="CE14:CF14" si="34">AVERAGE(BX25:BX26)</f>
        <v>0.8571428571428571</v>
      </c>
      <c r="CF14">
        <f t="shared" si="34"/>
        <v>0.79999999999999993</v>
      </c>
    </row>
    <row r="15" spans="1:84" x14ac:dyDescent="0.35">
      <c r="A15" s="55" t="s">
        <v>48</v>
      </c>
      <c r="B15" s="148"/>
      <c r="C15" s="26" t="s">
        <v>32</v>
      </c>
      <c r="D15" s="27">
        <v>3</v>
      </c>
      <c r="E15" s="28">
        <v>3</v>
      </c>
      <c r="F15" s="28">
        <f t="shared" si="1"/>
        <v>0</v>
      </c>
      <c r="G15" s="26">
        <v>0</v>
      </c>
      <c r="H15" s="27">
        <v>0</v>
      </c>
      <c r="I15" s="27">
        <v>0</v>
      </c>
      <c r="J15" s="27">
        <f t="shared" si="2"/>
        <v>0</v>
      </c>
      <c r="K15" s="26">
        <v>0</v>
      </c>
      <c r="L15" s="27">
        <v>0</v>
      </c>
      <c r="M15" s="27">
        <v>0</v>
      </c>
      <c r="N15" s="27">
        <f t="shared" si="3"/>
        <v>0</v>
      </c>
      <c r="O15" s="26">
        <v>0</v>
      </c>
      <c r="P15" s="27">
        <v>0</v>
      </c>
      <c r="Q15" s="28">
        <v>0</v>
      </c>
      <c r="R15" s="28">
        <f t="shared" si="4"/>
        <v>0</v>
      </c>
      <c r="S15" s="26">
        <v>0</v>
      </c>
      <c r="T15" s="27">
        <v>0</v>
      </c>
      <c r="U15" s="28">
        <v>0</v>
      </c>
      <c r="V15" s="28">
        <f t="shared" si="5"/>
        <v>0</v>
      </c>
      <c r="W15" s="26">
        <v>0</v>
      </c>
      <c r="X15" s="27">
        <v>3</v>
      </c>
      <c r="Y15" s="27">
        <v>3</v>
      </c>
      <c r="Z15" s="27">
        <f t="shared" si="6"/>
        <v>0</v>
      </c>
      <c r="AA15" s="26">
        <v>0</v>
      </c>
      <c r="AB15" s="27">
        <v>0</v>
      </c>
      <c r="AC15" s="27">
        <v>0</v>
      </c>
      <c r="AD15" s="27">
        <f t="shared" si="7"/>
        <v>0</v>
      </c>
      <c r="AE15" s="26">
        <v>0</v>
      </c>
      <c r="AF15" s="27">
        <v>3</v>
      </c>
      <c r="AG15" s="27">
        <v>3</v>
      </c>
      <c r="AH15" s="27">
        <f t="shared" si="8"/>
        <v>0</v>
      </c>
      <c r="AI15" s="26">
        <v>0</v>
      </c>
      <c r="AJ15" s="27">
        <v>2</v>
      </c>
      <c r="AK15" s="27">
        <v>2</v>
      </c>
      <c r="AL15" s="27">
        <f t="shared" si="9"/>
        <v>0</v>
      </c>
      <c r="AM15" s="26">
        <v>0</v>
      </c>
      <c r="AN15" s="27">
        <v>0</v>
      </c>
      <c r="AO15" s="27">
        <v>0</v>
      </c>
      <c r="AP15" s="27">
        <f t="shared" si="10"/>
        <v>0</v>
      </c>
      <c r="AQ15" s="26">
        <v>0</v>
      </c>
      <c r="AR15" s="27">
        <v>0</v>
      </c>
      <c r="AS15" s="28">
        <v>0</v>
      </c>
      <c r="AT15" s="28">
        <f t="shared" si="11"/>
        <v>0</v>
      </c>
      <c r="AU15" s="26">
        <v>0</v>
      </c>
      <c r="AV15" s="27">
        <v>0</v>
      </c>
      <c r="AW15" s="28">
        <v>0</v>
      </c>
      <c r="AX15" s="28">
        <f t="shared" si="12"/>
        <v>0</v>
      </c>
      <c r="AY15" s="26">
        <v>0</v>
      </c>
      <c r="AZ15" s="27">
        <v>2</v>
      </c>
      <c r="BA15" s="28">
        <v>2</v>
      </c>
      <c r="BB15" s="28">
        <f t="shared" si="13"/>
        <v>0</v>
      </c>
      <c r="BC15" s="26">
        <v>0</v>
      </c>
      <c r="BD15" s="27">
        <v>0</v>
      </c>
      <c r="BE15" s="28">
        <v>0</v>
      </c>
      <c r="BF15" s="28">
        <f t="shared" si="14"/>
        <v>0</v>
      </c>
      <c r="BG15" s="26">
        <v>0</v>
      </c>
      <c r="BH15" s="27">
        <v>0</v>
      </c>
      <c r="BI15" s="28">
        <v>0</v>
      </c>
      <c r="BJ15" s="28">
        <f t="shared" si="15"/>
        <v>0</v>
      </c>
      <c r="BK15" s="26">
        <v>0</v>
      </c>
      <c r="BL15" s="27">
        <v>0</v>
      </c>
      <c r="BM15" s="28">
        <v>0</v>
      </c>
      <c r="BN15" s="28">
        <f t="shared" si="16"/>
        <v>0</v>
      </c>
      <c r="BO15" s="26">
        <v>0</v>
      </c>
      <c r="BP15" s="27">
        <v>0</v>
      </c>
      <c r="BQ15" s="28">
        <v>0</v>
      </c>
      <c r="BR15" s="28">
        <f t="shared" si="17"/>
        <v>0</v>
      </c>
      <c r="BS15" s="26">
        <v>0</v>
      </c>
      <c r="BT15" s="27">
        <f t="shared" si="18"/>
        <v>13</v>
      </c>
      <c r="BU15" s="28">
        <f t="shared" si="19"/>
        <v>0</v>
      </c>
      <c r="BV15" s="28">
        <f t="shared" si="20"/>
        <v>0</v>
      </c>
      <c r="BW15" s="28">
        <f t="shared" si="21"/>
        <v>1</v>
      </c>
      <c r="BX15" s="28">
        <f t="shared" si="22"/>
        <v>1</v>
      </c>
      <c r="BY15" s="26">
        <f t="shared" si="23"/>
        <v>1</v>
      </c>
      <c r="CC15" s="133" t="s">
        <v>87</v>
      </c>
      <c r="CD15">
        <f>AVERAGE(BW27:BW28)</f>
        <v>0.78571428571428581</v>
      </c>
      <c r="CE15">
        <f t="shared" ref="CE15:CF15" si="35">AVERAGE(BX27:BX28)</f>
        <v>0.80833333333333335</v>
      </c>
      <c r="CF15">
        <f t="shared" si="35"/>
        <v>0.79442970822281178</v>
      </c>
    </row>
    <row r="16" spans="1:84" x14ac:dyDescent="0.35">
      <c r="A16" s="55" t="s">
        <v>48</v>
      </c>
      <c r="B16" s="148"/>
      <c r="C16" s="26" t="s">
        <v>65</v>
      </c>
      <c r="D16" s="27">
        <v>3</v>
      </c>
      <c r="E16" s="28">
        <v>3</v>
      </c>
      <c r="F16" s="28">
        <f t="shared" si="1"/>
        <v>0</v>
      </c>
      <c r="G16" s="26">
        <v>0</v>
      </c>
      <c r="H16" s="27">
        <v>0</v>
      </c>
      <c r="I16" s="27">
        <v>0</v>
      </c>
      <c r="J16" s="27">
        <f t="shared" si="2"/>
        <v>0</v>
      </c>
      <c r="K16" s="26">
        <v>0</v>
      </c>
      <c r="L16" s="27">
        <v>0</v>
      </c>
      <c r="M16" s="27">
        <v>0</v>
      </c>
      <c r="N16" s="27">
        <f t="shared" si="3"/>
        <v>0</v>
      </c>
      <c r="O16" s="26">
        <v>0</v>
      </c>
      <c r="P16" s="27">
        <v>0</v>
      </c>
      <c r="Q16" s="28">
        <v>0</v>
      </c>
      <c r="R16" s="28">
        <f t="shared" si="4"/>
        <v>0</v>
      </c>
      <c r="S16" s="26">
        <v>0</v>
      </c>
      <c r="T16" s="27">
        <v>0</v>
      </c>
      <c r="U16" s="28">
        <v>0</v>
      </c>
      <c r="V16" s="28">
        <f t="shared" si="5"/>
        <v>0</v>
      </c>
      <c r="W16" s="26">
        <v>0</v>
      </c>
      <c r="X16" s="27">
        <v>3</v>
      </c>
      <c r="Y16" s="27">
        <v>3</v>
      </c>
      <c r="Z16" s="27">
        <v>0</v>
      </c>
      <c r="AA16" s="26">
        <v>0</v>
      </c>
      <c r="AB16" s="27">
        <v>0</v>
      </c>
      <c r="AC16" s="27">
        <v>0</v>
      </c>
      <c r="AD16" s="27">
        <f t="shared" si="7"/>
        <v>0</v>
      </c>
      <c r="AE16" s="26">
        <v>0</v>
      </c>
      <c r="AF16" s="27">
        <v>3</v>
      </c>
      <c r="AG16" s="27">
        <v>3</v>
      </c>
      <c r="AH16" s="27">
        <f t="shared" si="8"/>
        <v>0</v>
      </c>
      <c r="AI16" s="26">
        <v>0</v>
      </c>
      <c r="AJ16" s="27">
        <v>2</v>
      </c>
      <c r="AK16" s="27">
        <v>2</v>
      </c>
      <c r="AL16" s="27">
        <f t="shared" si="9"/>
        <v>0</v>
      </c>
      <c r="AM16" s="26">
        <v>0</v>
      </c>
      <c r="AN16" s="27">
        <v>0</v>
      </c>
      <c r="AO16" s="27">
        <v>0</v>
      </c>
      <c r="AP16" s="27">
        <f t="shared" si="10"/>
        <v>0</v>
      </c>
      <c r="AQ16" s="26">
        <v>0</v>
      </c>
      <c r="AR16" s="27">
        <v>0</v>
      </c>
      <c r="AS16" s="28">
        <v>0</v>
      </c>
      <c r="AT16" s="28">
        <f t="shared" si="11"/>
        <v>0</v>
      </c>
      <c r="AU16" s="26">
        <v>0</v>
      </c>
      <c r="AV16" s="27">
        <v>0</v>
      </c>
      <c r="AW16" s="28">
        <v>0</v>
      </c>
      <c r="AX16" s="28">
        <f t="shared" si="12"/>
        <v>0</v>
      </c>
      <c r="AY16" s="26">
        <v>0</v>
      </c>
      <c r="AZ16" s="27">
        <v>2</v>
      </c>
      <c r="BA16" s="28">
        <v>2</v>
      </c>
      <c r="BB16" s="28">
        <f t="shared" si="13"/>
        <v>0</v>
      </c>
      <c r="BC16" s="26">
        <v>0</v>
      </c>
      <c r="BD16" s="27">
        <v>0</v>
      </c>
      <c r="BE16" s="28">
        <v>0</v>
      </c>
      <c r="BF16" s="28">
        <f t="shared" si="14"/>
        <v>0</v>
      </c>
      <c r="BG16" s="26">
        <v>0</v>
      </c>
      <c r="BH16" s="27">
        <v>0</v>
      </c>
      <c r="BI16" s="28">
        <v>0</v>
      </c>
      <c r="BJ16" s="28">
        <f t="shared" si="15"/>
        <v>0</v>
      </c>
      <c r="BK16" s="26">
        <v>0</v>
      </c>
      <c r="BL16" s="27">
        <v>0</v>
      </c>
      <c r="BM16" s="28">
        <v>0</v>
      </c>
      <c r="BN16" s="28">
        <f t="shared" si="16"/>
        <v>0</v>
      </c>
      <c r="BO16" s="26">
        <v>0</v>
      </c>
      <c r="BP16" s="27">
        <v>0</v>
      </c>
      <c r="BQ16" s="28">
        <v>0</v>
      </c>
      <c r="BR16" s="28">
        <f t="shared" si="17"/>
        <v>0</v>
      </c>
      <c r="BS16" s="26">
        <v>0</v>
      </c>
      <c r="BT16" s="27">
        <f t="shared" si="18"/>
        <v>13</v>
      </c>
      <c r="BU16" s="28">
        <f t="shared" si="19"/>
        <v>0</v>
      </c>
      <c r="BV16" s="28">
        <f t="shared" si="20"/>
        <v>0</v>
      </c>
      <c r="BW16" s="28">
        <f t="shared" si="21"/>
        <v>1</v>
      </c>
      <c r="BX16" s="28">
        <f t="shared" si="22"/>
        <v>1</v>
      </c>
      <c r="BY16" s="26">
        <f t="shared" si="23"/>
        <v>1</v>
      </c>
      <c r="CC16" s="133" t="s">
        <v>88</v>
      </c>
      <c r="CD16">
        <f>AVERAGE(BW29:BW30)</f>
        <v>0.75</v>
      </c>
      <c r="CE16">
        <f t="shared" ref="CE16:CF16" si="36">AVERAGE(BX29:BX30)</f>
        <v>0.89181286549707606</v>
      </c>
      <c r="CF16">
        <f t="shared" si="36"/>
        <v>0.81463414634146347</v>
      </c>
    </row>
    <row r="17" spans="1:84" x14ac:dyDescent="0.35">
      <c r="A17" s="56" t="s">
        <v>48</v>
      </c>
      <c r="B17" s="148"/>
      <c r="C17" s="29" t="s">
        <v>33</v>
      </c>
      <c r="D17" s="30">
        <v>2</v>
      </c>
      <c r="E17" s="31">
        <v>2</v>
      </c>
      <c r="F17" s="31">
        <f t="shared" si="1"/>
        <v>0</v>
      </c>
      <c r="G17" s="29">
        <v>0</v>
      </c>
      <c r="H17" s="30">
        <v>2</v>
      </c>
      <c r="I17" s="31">
        <v>1</v>
      </c>
      <c r="J17" s="31">
        <f t="shared" si="2"/>
        <v>1</v>
      </c>
      <c r="K17" s="29">
        <v>0</v>
      </c>
      <c r="L17" s="30">
        <v>1</v>
      </c>
      <c r="M17" s="31">
        <v>1</v>
      </c>
      <c r="N17" s="31">
        <f t="shared" si="3"/>
        <v>0</v>
      </c>
      <c r="O17" s="29">
        <v>0</v>
      </c>
      <c r="P17" s="30">
        <v>1</v>
      </c>
      <c r="Q17" s="31">
        <v>1</v>
      </c>
      <c r="R17" s="31">
        <f t="shared" si="4"/>
        <v>0</v>
      </c>
      <c r="S17" s="29">
        <v>1</v>
      </c>
      <c r="T17" s="30">
        <v>1</v>
      </c>
      <c r="U17" s="31">
        <v>1</v>
      </c>
      <c r="V17" s="31">
        <f t="shared" si="5"/>
        <v>0</v>
      </c>
      <c r="W17" s="29">
        <v>0</v>
      </c>
      <c r="X17" s="30">
        <v>1</v>
      </c>
      <c r="Y17" s="31">
        <v>1</v>
      </c>
      <c r="Z17" s="31">
        <f t="shared" si="6"/>
        <v>0</v>
      </c>
      <c r="AA17" s="29">
        <v>0</v>
      </c>
      <c r="AB17" s="30">
        <v>0</v>
      </c>
      <c r="AC17" s="31">
        <v>0</v>
      </c>
      <c r="AD17" s="31">
        <f t="shared" si="7"/>
        <v>0</v>
      </c>
      <c r="AE17" s="29">
        <v>0</v>
      </c>
      <c r="AF17" s="30">
        <v>1</v>
      </c>
      <c r="AG17" s="31">
        <v>1</v>
      </c>
      <c r="AH17" s="31">
        <f t="shared" si="8"/>
        <v>0</v>
      </c>
      <c r="AI17" s="29">
        <v>0</v>
      </c>
      <c r="AJ17" s="30">
        <v>0</v>
      </c>
      <c r="AK17" s="31">
        <v>0</v>
      </c>
      <c r="AL17" s="31">
        <f t="shared" si="9"/>
        <v>0</v>
      </c>
      <c r="AM17" s="29">
        <v>0</v>
      </c>
      <c r="AN17" s="30">
        <v>0</v>
      </c>
      <c r="AO17" s="31">
        <v>0</v>
      </c>
      <c r="AP17" s="31">
        <f t="shared" si="10"/>
        <v>0</v>
      </c>
      <c r="AQ17" s="29">
        <v>0</v>
      </c>
      <c r="AR17" s="30">
        <v>0</v>
      </c>
      <c r="AS17" s="31">
        <v>0</v>
      </c>
      <c r="AT17" s="31">
        <f t="shared" si="11"/>
        <v>0</v>
      </c>
      <c r="AU17" s="29">
        <v>0</v>
      </c>
      <c r="AV17" s="30">
        <v>1</v>
      </c>
      <c r="AW17" s="31">
        <v>1</v>
      </c>
      <c r="AX17" s="31">
        <f t="shared" si="12"/>
        <v>0</v>
      </c>
      <c r="AY17" s="29">
        <v>0</v>
      </c>
      <c r="AZ17" s="30">
        <v>1</v>
      </c>
      <c r="BA17" s="31">
        <v>1</v>
      </c>
      <c r="BB17" s="31">
        <f t="shared" si="13"/>
        <v>0</v>
      </c>
      <c r="BC17" s="29">
        <v>0</v>
      </c>
      <c r="BD17" s="30">
        <v>0</v>
      </c>
      <c r="BE17" s="31">
        <v>0</v>
      </c>
      <c r="BF17" s="31">
        <f t="shared" si="14"/>
        <v>0</v>
      </c>
      <c r="BG17" s="29">
        <v>0</v>
      </c>
      <c r="BH17" s="30">
        <v>0</v>
      </c>
      <c r="BI17" s="31">
        <v>0</v>
      </c>
      <c r="BJ17" s="31">
        <f t="shared" si="15"/>
        <v>0</v>
      </c>
      <c r="BK17" s="29">
        <v>0</v>
      </c>
      <c r="BL17" s="30">
        <v>0</v>
      </c>
      <c r="BM17" s="31">
        <v>0</v>
      </c>
      <c r="BN17" s="31">
        <f t="shared" si="16"/>
        <v>0</v>
      </c>
      <c r="BO17" s="29">
        <v>1</v>
      </c>
      <c r="BP17" s="30">
        <v>0</v>
      </c>
      <c r="BQ17" s="31">
        <v>0</v>
      </c>
      <c r="BR17" s="31">
        <f t="shared" si="17"/>
        <v>0</v>
      </c>
      <c r="BS17" s="29">
        <v>0</v>
      </c>
      <c r="BT17" s="30">
        <f t="shared" si="18"/>
        <v>10</v>
      </c>
      <c r="BU17" s="31">
        <f t="shared" si="19"/>
        <v>1</v>
      </c>
      <c r="BV17" s="31">
        <f t="shared" si="20"/>
        <v>2</v>
      </c>
      <c r="BW17" s="31">
        <f t="shared" si="21"/>
        <v>0.90909090909090906</v>
      </c>
      <c r="BX17" s="31">
        <f t="shared" si="22"/>
        <v>0.83333333333333337</v>
      </c>
      <c r="BY17" s="29">
        <f t="shared" si="23"/>
        <v>0.86956521739130432</v>
      </c>
      <c r="CC17" s="133" t="s">
        <v>89</v>
      </c>
      <c r="CD17">
        <f>AVERAGE(BW31:BW32)</f>
        <v>0.79166666666666674</v>
      </c>
      <c r="CE17">
        <f t="shared" ref="CE17:CF17" si="37">AVERAGE(BX31:BX32)</f>
        <v>0.95</v>
      </c>
      <c r="CF17">
        <f t="shared" si="37"/>
        <v>0.86363636363636365</v>
      </c>
    </row>
    <row r="18" spans="1:84" x14ac:dyDescent="0.35">
      <c r="A18" s="56" t="s">
        <v>48</v>
      </c>
      <c r="B18" s="148"/>
      <c r="C18" s="29" t="s">
        <v>66</v>
      </c>
      <c r="D18" s="30">
        <v>2</v>
      </c>
      <c r="E18" s="31">
        <v>2</v>
      </c>
      <c r="F18" s="31">
        <f t="shared" si="1"/>
        <v>0</v>
      </c>
      <c r="G18" s="29">
        <v>0</v>
      </c>
      <c r="H18" s="30">
        <v>2</v>
      </c>
      <c r="I18" s="31">
        <v>1</v>
      </c>
      <c r="J18" s="31">
        <f t="shared" si="2"/>
        <v>1</v>
      </c>
      <c r="K18" s="29">
        <v>0</v>
      </c>
      <c r="L18" s="30">
        <v>1</v>
      </c>
      <c r="M18" s="31">
        <v>1</v>
      </c>
      <c r="N18" s="31">
        <f t="shared" si="3"/>
        <v>0</v>
      </c>
      <c r="O18" s="29">
        <v>0</v>
      </c>
      <c r="P18" s="30">
        <v>1</v>
      </c>
      <c r="Q18" s="31">
        <v>1</v>
      </c>
      <c r="R18" s="31">
        <f t="shared" si="4"/>
        <v>0</v>
      </c>
      <c r="S18" s="29">
        <v>1</v>
      </c>
      <c r="T18" s="30">
        <v>1</v>
      </c>
      <c r="U18" s="31">
        <v>1</v>
      </c>
      <c r="V18" s="31">
        <f t="shared" si="5"/>
        <v>0</v>
      </c>
      <c r="W18" s="29">
        <v>0</v>
      </c>
      <c r="X18" s="30">
        <v>1</v>
      </c>
      <c r="Y18" s="31">
        <v>1</v>
      </c>
      <c r="Z18" s="31">
        <f t="shared" si="6"/>
        <v>0</v>
      </c>
      <c r="AA18" s="29">
        <v>0</v>
      </c>
      <c r="AB18" s="30">
        <v>0</v>
      </c>
      <c r="AC18" s="31">
        <v>0</v>
      </c>
      <c r="AD18" s="31">
        <f t="shared" si="7"/>
        <v>0</v>
      </c>
      <c r="AE18" s="29">
        <v>0</v>
      </c>
      <c r="AF18" s="30">
        <v>1</v>
      </c>
      <c r="AG18" s="31">
        <v>1</v>
      </c>
      <c r="AH18" s="31">
        <f t="shared" si="8"/>
        <v>0</v>
      </c>
      <c r="AI18" s="29">
        <v>0</v>
      </c>
      <c r="AJ18" s="30">
        <v>0</v>
      </c>
      <c r="AK18" s="31">
        <v>0</v>
      </c>
      <c r="AL18" s="31">
        <f t="shared" si="9"/>
        <v>0</v>
      </c>
      <c r="AM18" s="29">
        <v>0</v>
      </c>
      <c r="AN18" s="30">
        <v>0</v>
      </c>
      <c r="AO18" s="31">
        <v>0</v>
      </c>
      <c r="AP18" s="31">
        <f t="shared" si="10"/>
        <v>0</v>
      </c>
      <c r="AQ18" s="29">
        <v>0</v>
      </c>
      <c r="AR18" s="30">
        <v>0</v>
      </c>
      <c r="AS18" s="31">
        <v>0</v>
      </c>
      <c r="AT18" s="31">
        <f t="shared" si="11"/>
        <v>0</v>
      </c>
      <c r="AU18" s="29">
        <v>0</v>
      </c>
      <c r="AV18" s="30">
        <v>1</v>
      </c>
      <c r="AW18" s="31">
        <v>1</v>
      </c>
      <c r="AX18" s="31">
        <f t="shared" si="12"/>
        <v>0</v>
      </c>
      <c r="AY18" s="29">
        <v>0</v>
      </c>
      <c r="AZ18" s="30">
        <v>1</v>
      </c>
      <c r="BA18" s="31">
        <v>0</v>
      </c>
      <c r="BB18" s="31">
        <f t="shared" si="13"/>
        <v>1</v>
      </c>
      <c r="BC18" s="29">
        <v>1</v>
      </c>
      <c r="BD18" s="30">
        <v>0</v>
      </c>
      <c r="BE18" s="31">
        <v>0</v>
      </c>
      <c r="BF18" s="31">
        <f t="shared" si="14"/>
        <v>0</v>
      </c>
      <c r="BG18" s="29">
        <v>0</v>
      </c>
      <c r="BH18" s="30">
        <v>0</v>
      </c>
      <c r="BI18" s="31">
        <v>0</v>
      </c>
      <c r="BJ18" s="31">
        <f t="shared" si="15"/>
        <v>0</v>
      </c>
      <c r="BK18" s="29">
        <v>0</v>
      </c>
      <c r="BL18" s="30">
        <v>0</v>
      </c>
      <c r="BM18" s="31">
        <v>0</v>
      </c>
      <c r="BN18" s="31">
        <f>BL18-BM18</f>
        <v>0</v>
      </c>
      <c r="BO18" s="29">
        <v>1</v>
      </c>
      <c r="BP18" s="30">
        <v>0</v>
      </c>
      <c r="BQ18" s="31">
        <v>0</v>
      </c>
      <c r="BR18" s="31">
        <f t="shared" si="17"/>
        <v>0</v>
      </c>
      <c r="BS18" s="29">
        <v>0</v>
      </c>
      <c r="BT18" s="30">
        <f t="shared" si="18"/>
        <v>9</v>
      </c>
      <c r="BU18" s="31">
        <f t="shared" si="19"/>
        <v>2</v>
      </c>
      <c r="BV18" s="31">
        <f t="shared" si="20"/>
        <v>3</v>
      </c>
      <c r="BW18" s="31">
        <f t="shared" si="21"/>
        <v>0.81818181818181823</v>
      </c>
      <c r="BX18" s="31">
        <f t="shared" si="22"/>
        <v>0.75</v>
      </c>
      <c r="BY18" s="29">
        <f t="shared" si="23"/>
        <v>0.78260869565217384</v>
      </c>
      <c r="CC18" s="133" t="s">
        <v>90</v>
      </c>
      <c r="CD18">
        <f>AVERAGE(BW33:BW34)</f>
        <v>0.875</v>
      </c>
      <c r="CE18">
        <f t="shared" ref="CE18:CF18" si="38">AVERAGE(BX33:BX34)</f>
        <v>0.875</v>
      </c>
      <c r="CF18">
        <f t="shared" si="38"/>
        <v>0.875</v>
      </c>
    </row>
    <row r="19" spans="1:84" x14ac:dyDescent="0.35">
      <c r="A19" s="57" t="s">
        <v>48</v>
      </c>
      <c r="B19" s="148"/>
      <c r="C19" s="32" t="s">
        <v>34</v>
      </c>
      <c r="D19" s="33">
        <v>2</v>
      </c>
      <c r="E19" s="34">
        <v>2</v>
      </c>
      <c r="F19" s="34">
        <f t="shared" si="1"/>
        <v>0</v>
      </c>
      <c r="G19" s="32">
        <v>0</v>
      </c>
      <c r="H19" s="33">
        <v>2</v>
      </c>
      <c r="I19" s="34">
        <v>0</v>
      </c>
      <c r="J19" s="34">
        <f t="shared" si="2"/>
        <v>2</v>
      </c>
      <c r="K19" s="32">
        <v>0</v>
      </c>
      <c r="L19" s="33">
        <v>1</v>
      </c>
      <c r="M19" s="34">
        <v>0</v>
      </c>
      <c r="N19" s="34">
        <f t="shared" si="3"/>
        <v>1</v>
      </c>
      <c r="O19" s="32">
        <v>0</v>
      </c>
      <c r="P19" s="33">
        <v>1</v>
      </c>
      <c r="Q19" s="34">
        <v>1</v>
      </c>
      <c r="R19" s="34">
        <f t="shared" si="4"/>
        <v>0</v>
      </c>
      <c r="S19" s="32">
        <v>1</v>
      </c>
      <c r="T19" s="33">
        <v>1</v>
      </c>
      <c r="U19" s="34">
        <v>1</v>
      </c>
      <c r="V19" s="34">
        <f t="shared" si="5"/>
        <v>0</v>
      </c>
      <c r="W19" s="32">
        <v>0</v>
      </c>
      <c r="X19" s="33">
        <v>1</v>
      </c>
      <c r="Y19" s="34">
        <v>1</v>
      </c>
      <c r="Z19" s="34">
        <f t="shared" si="6"/>
        <v>0</v>
      </c>
      <c r="AA19" s="32">
        <v>1</v>
      </c>
      <c r="AB19" s="33">
        <v>1</v>
      </c>
      <c r="AC19" s="34">
        <v>1</v>
      </c>
      <c r="AD19" s="34">
        <f t="shared" si="7"/>
        <v>0</v>
      </c>
      <c r="AE19" s="32">
        <v>1</v>
      </c>
      <c r="AF19" s="33">
        <v>1</v>
      </c>
      <c r="AG19" s="34">
        <v>1</v>
      </c>
      <c r="AH19" s="34">
        <f t="shared" si="8"/>
        <v>0</v>
      </c>
      <c r="AI19" s="32">
        <v>0</v>
      </c>
      <c r="AJ19" s="33">
        <v>0</v>
      </c>
      <c r="AK19" s="34">
        <v>0</v>
      </c>
      <c r="AL19" s="34">
        <f t="shared" si="9"/>
        <v>0</v>
      </c>
      <c r="AM19" s="32">
        <v>0</v>
      </c>
      <c r="AN19" s="33">
        <v>0</v>
      </c>
      <c r="AO19" s="34">
        <v>0</v>
      </c>
      <c r="AP19" s="34">
        <f t="shared" si="10"/>
        <v>0</v>
      </c>
      <c r="AQ19" s="32">
        <v>0</v>
      </c>
      <c r="AR19" s="33">
        <v>0</v>
      </c>
      <c r="AS19" s="34">
        <v>0</v>
      </c>
      <c r="AT19" s="34">
        <f t="shared" si="11"/>
        <v>0</v>
      </c>
      <c r="AU19" s="32">
        <v>1</v>
      </c>
      <c r="AV19" s="33">
        <v>1</v>
      </c>
      <c r="AW19" s="34">
        <v>1</v>
      </c>
      <c r="AX19" s="34">
        <f t="shared" si="12"/>
        <v>0</v>
      </c>
      <c r="AY19" s="32">
        <v>0</v>
      </c>
      <c r="AZ19" s="33">
        <v>1</v>
      </c>
      <c r="BA19" s="34">
        <v>0</v>
      </c>
      <c r="BB19" s="34">
        <f t="shared" si="13"/>
        <v>1</v>
      </c>
      <c r="BC19" s="32">
        <v>1</v>
      </c>
      <c r="BD19" s="33">
        <v>0</v>
      </c>
      <c r="BE19" s="34">
        <v>0</v>
      </c>
      <c r="BF19" s="34">
        <f t="shared" si="14"/>
        <v>0</v>
      </c>
      <c r="BG19" s="32">
        <v>0</v>
      </c>
      <c r="BH19" s="33">
        <v>0</v>
      </c>
      <c r="BI19" s="34">
        <v>0</v>
      </c>
      <c r="BJ19" s="34">
        <f t="shared" si="15"/>
        <v>0</v>
      </c>
      <c r="BK19" s="32">
        <v>0</v>
      </c>
      <c r="BL19" s="33">
        <v>0</v>
      </c>
      <c r="BM19" s="34">
        <v>0</v>
      </c>
      <c r="BN19" s="34">
        <f t="shared" si="16"/>
        <v>0</v>
      </c>
      <c r="BO19" s="32">
        <v>0</v>
      </c>
      <c r="BP19" s="33">
        <v>0</v>
      </c>
      <c r="BQ19" s="34">
        <v>0</v>
      </c>
      <c r="BR19" s="34">
        <f t="shared" si="17"/>
        <v>0</v>
      </c>
      <c r="BS19" s="32">
        <v>0</v>
      </c>
      <c r="BT19" s="33">
        <f t="shared" si="18"/>
        <v>8</v>
      </c>
      <c r="BU19" s="34">
        <f t="shared" si="19"/>
        <v>4</v>
      </c>
      <c r="BV19" s="34">
        <f t="shared" si="20"/>
        <v>5</v>
      </c>
      <c r="BW19" s="34">
        <f t="shared" si="21"/>
        <v>0.66666666666666663</v>
      </c>
      <c r="BX19" s="34">
        <f t="shared" si="22"/>
        <v>0.61538461538461542</v>
      </c>
      <c r="BY19" s="32">
        <f t="shared" si="23"/>
        <v>0.64</v>
      </c>
      <c r="CC19" s="133" t="s">
        <v>57</v>
      </c>
      <c r="CD19">
        <f>AVERAGE(CD3:CD18)</f>
        <v>0.79766331248408451</v>
      </c>
      <c r="CE19">
        <f t="shared" ref="CE19:CF19" si="39">AVERAGE(CE3:CE18)</f>
        <v>0.84880213266583415</v>
      </c>
      <c r="CF19">
        <f t="shared" si="39"/>
        <v>0.81691115693600291</v>
      </c>
    </row>
    <row r="20" spans="1:84" x14ac:dyDescent="0.35">
      <c r="A20" s="57" t="s">
        <v>48</v>
      </c>
      <c r="B20" s="148"/>
      <c r="C20" s="32" t="s">
        <v>67</v>
      </c>
      <c r="D20" s="33">
        <v>2</v>
      </c>
      <c r="E20" s="34">
        <v>2</v>
      </c>
      <c r="F20" s="34">
        <f t="shared" si="1"/>
        <v>0</v>
      </c>
      <c r="G20" s="32">
        <v>0</v>
      </c>
      <c r="H20" s="33">
        <v>2</v>
      </c>
      <c r="I20" s="34">
        <v>2</v>
      </c>
      <c r="J20" s="34">
        <f t="shared" si="2"/>
        <v>0</v>
      </c>
      <c r="K20" s="32">
        <v>0</v>
      </c>
      <c r="L20" s="33">
        <v>1</v>
      </c>
      <c r="M20" s="34">
        <v>1</v>
      </c>
      <c r="N20" s="34">
        <f t="shared" si="3"/>
        <v>0</v>
      </c>
      <c r="O20" s="32">
        <v>0</v>
      </c>
      <c r="P20" s="33">
        <v>1</v>
      </c>
      <c r="Q20" s="34">
        <v>1</v>
      </c>
      <c r="R20" s="34">
        <f t="shared" si="4"/>
        <v>0</v>
      </c>
      <c r="S20" s="32">
        <v>1</v>
      </c>
      <c r="T20" s="33">
        <v>1</v>
      </c>
      <c r="U20" s="34">
        <v>1</v>
      </c>
      <c r="V20" s="34">
        <f t="shared" si="5"/>
        <v>0</v>
      </c>
      <c r="W20" s="32">
        <v>0</v>
      </c>
      <c r="X20" s="33">
        <v>1</v>
      </c>
      <c r="Y20" s="34">
        <v>1</v>
      </c>
      <c r="Z20" s="34">
        <f t="shared" si="6"/>
        <v>0</v>
      </c>
      <c r="AA20" s="32">
        <v>0</v>
      </c>
      <c r="AB20" s="33">
        <v>1</v>
      </c>
      <c r="AC20" s="34">
        <v>1</v>
      </c>
      <c r="AD20" s="34">
        <f t="shared" si="7"/>
        <v>0</v>
      </c>
      <c r="AE20" s="32">
        <v>0</v>
      </c>
      <c r="AF20" s="33">
        <v>1</v>
      </c>
      <c r="AG20" s="34">
        <v>1</v>
      </c>
      <c r="AH20" s="34">
        <f t="shared" si="8"/>
        <v>0</v>
      </c>
      <c r="AI20" s="32">
        <v>0</v>
      </c>
      <c r="AJ20" s="33">
        <v>0</v>
      </c>
      <c r="AK20" s="34">
        <v>0</v>
      </c>
      <c r="AL20" s="34">
        <f t="shared" si="9"/>
        <v>0</v>
      </c>
      <c r="AM20" s="32">
        <v>0</v>
      </c>
      <c r="AN20" s="33">
        <v>0</v>
      </c>
      <c r="AO20" s="34">
        <v>0</v>
      </c>
      <c r="AP20" s="34">
        <f t="shared" si="10"/>
        <v>0</v>
      </c>
      <c r="AQ20" s="32">
        <v>0</v>
      </c>
      <c r="AR20" s="33">
        <v>0</v>
      </c>
      <c r="AS20" s="34">
        <v>0</v>
      </c>
      <c r="AT20" s="34">
        <f t="shared" si="11"/>
        <v>0</v>
      </c>
      <c r="AU20" s="32">
        <v>1</v>
      </c>
      <c r="AV20" s="33">
        <v>1</v>
      </c>
      <c r="AW20" s="34">
        <v>1</v>
      </c>
      <c r="AX20" s="34">
        <f t="shared" si="12"/>
        <v>0</v>
      </c>
      <c r="AY20" s="32">
        <v>0</v>
      </c>
      <c r="AZ20" s="33">
        <v>1</v>
      </c>
      <c r="BA20" s="34">
        <v>0</v>
      </c>
      <c r="BB20" s="34">
        <f t="shared" si="13"/>
        <v>1</v>
      </c>
      <c r="BC20" s="32">
        <v>1</v>
      </c>
      <c r="BD20" s="33">
        <v>0</v>
      </c>
      <c r="BE20" s="34">
        <v>0</v>
      </c>
      <c r="BF20" s="34">
        <f t="shared" si="14"/>
        <v>0</v>
      </c>
      <c r="BG20" s="32">
        <v>0</v>
      </c>
      <c r="BH20" s="33">
        <v>0</v>
      </c>
      <c r="BI20" s="34">
        <v>0</v>
      </c>
      <c r="BJ20" s="34">
        <f t="shared" si="15"/>
        <v>0</v>
      </c>
      <c r="BK20" s="32">
        <v>0</v>
      </c>
      <c r="BL20" s="33">
        <v>0</v>
      </c>
      <c r="BM20" s="34">
        <v>0</v>
      </c>
      <c r="BN20" s="34">
        <f t="shared" si="16"/>
        <v>0</v>
      </c>
      <c r="BO20" s="32">
        <v>0</v>
      </c>
      <c r="BP20" s="33">
        <v>0</v>
      </c>
      <c r="BQ20" s="34">
        <v>0</v>
      </c>
      <c r="BR20" s="34">
        <f t="shared" si="17"/>
        <v>0</v>
      </c>
      <c r="BS20" s="32">
        <v>0</v>
      </c>
      <c r="BT20" s="33">
        <f t="shared" si="18"/>
        <v>11</v>
      </c>
      <c r="BU20" s="34">
        <f t="shared" si="19"/>
        <v>1</v>
      </c>
      <c r="BV20" s="34">
        <f t="shared" si="20"/>
        <v>3</v>
      </c>
      <c r="BW20" s="34">
        <f t="shared" si="21"/>
        <v>0.91666666666666663</v>
      </c>
      <c r="BX20" s="34">
        <f t="shared" si="22"/>
        <v>0.7857142857142857</v>
      </c>
      <c r="BY20" s="32">
        <f t="shared" si="23"/>
        <v>0.84615384615384615</v>
      </c>
    </row>
    <row r="21" spans="1:84" x14ac:dyDescent="0.35">
      <c r="A21" s="58" t="s">
        <v>48</v>
      </c>
      <c r="B21" s="148"/>
      <c r="C21" s="35" t="s">
        <v>35</v>
      </c>
      <c r="D21" s="36">
        <v>2</v>
      </c>
      <c r="E21" s="37">
        <v>2</v>
      </c>
      <c r="F21" s="37">
        <f t="shared" si="1"/>
        <v>0</v>
      </c>
      <c r="G21" s="35">
        <v>0</v>
      </c>
      <c r="H21" s="36">
        <v>2</v>
      </c>
      <c r="I21" s="37">
        <v>0</v>
      </c>
      <c r="J21" s="37">
        <f t="shared" si="2"/>
        <v>2</v>
      </c>
      <c r="K21" s="35">
        <v>0</v>
      </c>
      <c r="L21" s="36">
        <v>3</v>
      </c>
      <c r="M21" s="37">
        <v>0</v>
      </c>
      <c r="N21" s="37">
        <f t="shared" si="3"/>
        <v>3</v>
      </c>
      <c r="O21" s="35">
        <v>0</v>
      </c>
      <c r="P21" s="36">
        <v>2</v>
      </c>
      <c r="Q21" s="37">
        <v>2</v>
      </c>
      <c r="R21" s="37">
        <f t="shared" si="4"/>
        <v>0</v>
      </c>
      <c r="S21" s="35">
        <v>1</v>
      </c>
      <c r="T21" s="36">
        <v>2</v>
      </c>
      <c r="U21" s="37">
        <v>2</v>
      </c>
      <c r="V21" s="37">
        <f t="shared" si="5"/>
        <v>0</v>
      </c>
      <c r="W21" s="35">
        <v>0</v>
      </c>
      <c r="X21" s="36">
        <v>2</v>
      </c>
      <c r="Y21" s="37">
        <v>2</v>
      </c>
      <c r="Z21" s="37">
        <f t="shared" si="6"/>
        <v>0</v>
      </c>
      <c r="AA21" s="35">
        <v>0</v>
      </c>
      <c r="AB21" s="36">
        <v>0</v>
      </c>
      <c r="AC21" s="37">
        <v>0</v>
      </c>
      <c r="AD21" s="37">
        <f t="shared" si="7"/>
        <v>0</v>
      </c>
      <c r="AE21" s="35">
        <v>0</v>
      </c>
      <c r="AF21" s="36">
        <v>2</v>
      </c>
      <c r="AG21" s="37">
        <v>2</v>
      </c>
      <c r="AH21" s="37">
        <f t="shared" si="8"/>
        <v>0</v>
      </c>
      <c r="AI21" s="35">
        <v>0</v>
      </c>
      <c r="AJ21" s="36">
        <v>0</v>
      </c>
      <c r="AK21" s="37">
        <v>0</v>
      </c>
      <c r="AL21" s="37">
        <f t="shared" si="9"/>
        <v>0</v>
      </c>
      <c r="AM21" s="35">
        <v>0</v>
      </c>
      <c r="AN21" s="36">
        <v>0</v>
      </c>
      <c r="AO21" s="37">
        <v>0</v>
      </c>
      <c r="AP21" s="37">
        <f t="shared" si="10"/>
        <v>0</v>
      </c>
      <c r="AQ21" s="35">
        <v>0</v>
      </c>
      <c r="AR21" s="36">
        <v>0</v>
      </c>
      <c r="AS21" s="37">
        <v>0</v>
      </c>
      <c r="AT21" s="37">
        <f t="shared" si="11"/>
        <v>0</v>
      </c>
      <c r="AU21" s="35">
        <v>1</v>
      </c>
      <c r="AV21" s="36">
        <v>1</v>
      </c>
      <c r="AW21" s="37">
        <v>0</v>
      </c>
      <c r="AX21" s="37">
        <f t="shared" si="12"/>
        <v>1</v>
      </c>
      <c r="AY21" s="35">
        <v>0</v>
      </c>
      <c r="AZ21" s="36">
        <v>1</v>
      </c>
      <c r="BA21" s="37">
        <v>0</v>
      </c>
      <c r="BB21" s="37">
        <f t="shared" si="13"/>
        <v>1</v>
      </c>
      <c r="BC21" s="35">
        <v>1</v>
      </c>
      <c r="BD21" s="36">
        <v>0</v>
      </c>
      <c r="BE21" s="37">
        <v>0</v>
      </c>
      <c r="BF21" s="37">
        <f t="shared" si="14"/>
        <v>0</v>
      </c>
      <c r="BG21" s="35">
        <v>0</v>
      </c>
      <c r="BH21" s="36">
        <v>0</v>
      </c>
      <c r="BI21" s="37">
        <v>0</v>
      </c>
      <c r="BJ21" s="37">
        <f t="shared" si="15"/>
        <v>0</v>
      </c>
      <c r="BK21" s="35">
        <v>0</v>
      </c>
      <c r="BL21" s="36">
        <v>0</v>
      </c>
      <c r="BM21" s="37">
        <v>0</v>
      </c>
      <c r="BN21" s="37">
        <f t="shared" si="16"/>
        <v>0</v>
      </c>
      <c r="BO21" s="35">
        <v>0</v>
      </c>
      <c r="BP21" s="36">
        <v>0</v>
      </c>
      <c r="BQ21" s="37">
        <v>0</v>
      </c>
      <c r="BR21" s="37">
        <f t="shared" si="17"/>
        <v>0</v>
      </c>
      <c r="BS21" s="35">
        <v>0</v>
      </c>
      <c r="BT21" s="36">
        <f t="shared" si="18"/>
        <v>10</v>
      </c>
      <c r="BU21" s="37">
        <f t="shared" si="19"/>
        <v>7</v>
      </c>
      <c r="BV21" s="37">
        <f t="shared" si="20"/>
        <v>3</v>
      </c>
      <c r="BW21" s="37">
        <f t="shared" si="21"/>
        <v>0.58823529411764708</v>
      </c>
      <c r="BX21" s="37">
        <f t="shared" si="22"/>
        <v>0.76923076923076927</v>
      </c>
      <c r="BY21" s="35">
        <f t="shared" si="23"/>
        <v>0.66666666666666674</v>
      </c>
    </row>
    <row r="22" spans="1:84" x14ac:dyDescent="0.35">
      <c r="A22" s="58" t="s">
        <v>48</v>
      </c>
      <c r="B22" s="148"/>
      <c r="C22" s="35" t="s">
        <v>68</v>
      </c>
      <c r="D22" s="36">
        <v>2</v>
      </c>
      <c r="E22" s="37">
        <v>2</v>
      </c>
      <c r="F22" s="37">
        <f t="shared" si="1"/>
        <v>0</v>
      </c>
      <c r="G22" s="35">
        <v>0</v>
      </c>
      <c r="H22" s="36">
        <v>2</v>
      </c>
      <c r="I22" s="37">
        <v>0</v>
      </c>
      <c r="J22" s="37">
        <f t="shared" si="2"/>
        <v>2</v>
      </c>
      <c r="K22" s="35">
        <v>0</v>
      </c>
      <c r="L22" s="36">
        <v>3</v>
      </c>
      <c r="M22" s="37">
        <v>0</v>
      </c>
      <c r="N22" s="37">
        <f t="shared" si="3"/>
        <v>3</v>
      </c>
      <c r="O22" s="35">
        <v>0</v>
      </c>
      <c r="P22" s="36">
        <v>2</v>
      </c>
      <c r="Q22" s="37">
        <v>2</v>
      </c>
      <c r="R22" s="37">
        <f t="shared" si="4"/>
        <v>0</v>
      </c>
      <c r="S22" s="35">
        <v>1</v>
      </c>
      <c r="T22" s="36">
        <v>2</v>
      </c>
      <c r="U22" s="37">
        <v>2</v>
      </c>
      <c r="V22" s="37">
        <f t="shared" si="5"/>
        <v>0</v>
      </c>
      <c r="W22" s="35">
        <v>0</v>
      </c>
      <c r="X22" s="36">
        <v>2</v>
      </c>
      <c r="Y22" s="37">
        <v>2</v>
      </c>
      <c r="Z22" s="37">
        <f t="shared" si="6"/>
        <v>0</v>
      </c>
      <c r="AA22" s="35">
        <v>0</v>
      </c>
      <c r="AB22" s="36">
        <v>0</v>
      </c>
      <c r="AC22" s="37">
        <v>0</v>
      </c>
      <c r="AD22" s="37">
        <f t="shared" si="7"/>
        <v>0</v>
      </c>
      <c r="AE22" s="35">
        <v>0</v>
      </c>
      <c r="AF22" s="36">
        <v>2</v>
      </c>
      <c r="AG22" s="37">
        <v>2</v>
      </c>
      <c r="AH22" s="37">
        <f t="shared" si="8"/>
        <v>0</v>
      </c>
      <c r="AI22" s="35">
        <v>0</v>
      </c>
      <c r="AJ22" s="36">
        <v>0</v>
      </c>
      <c r="AK22" s="37">
        <v>0</v>
      </c>
      <c r="AL22" s="37">
        <f t="shared" si="9"/>
        <v>0</v>
      </c>
      <c r="AM22" s="35">
        <v>0</v>
      </c>
      <c r="AN22" s="36">
        <v>0</v>
      </c>
      <c r="AO22" s="37">
        <v>0</v>
      </c>
      <c r="AP22" s="37">
        <f t="shared" si="10"/>
        <v>0</v>
      </c>
      <c r="AQ22" s="35">
        <v>0</v>
      </c>
      <c r="AR22" s="36">
        <v>0</v>
      </c>
      <c r="AS22" s="37">
        <v>0</v>
      </c>
      <c r="AT22" s="37">
        <f t="shared" si="11"/>
        <v>0</v>
      </c>
      <c r="AU22" s="35">
        <v>1</v>
      </c>
      <c r="AV22" s="36">
        <v>1</v>
      </c>
      <c r="AW22" s="37">
        <v>0</v>
      </c>
      <c r="AX22" s="37">
        <f t="shared" si="12"/>
        <v>1</v>
      </c>
      <c r="AY22" s="35">
        <v>0</v>
      </c>
      <c r="AZ22" s="36">
        <v>1</v>
      </c>
      <c r="BA22" s="37">
        <v>0</v>
      </c>
      <c r="BB22" s="37">
        <f t="shared" si="13"/>
        <v>1</v>
      </c>
      <c r="BC22" s="35">
        <v>1</v>
      </c>
      <c r="BD22" s="36">
        <v>0</v>
      </c>
      <c r="BE22" s="37">
        <v>0</v>
      </c>
      <c r="BF22" s="37">
        <f t="shared" si="14"/>
        <v>0</v>
      </c>
      <c r="BG22" s="35">
        <v>0</v>
      </c>
      <c r="BH22" s="36">
        <v>0</v>
      </c>
      <c r="BI22" s="37">
        <v>0</v>
      </c>
      <c r="BJ22" s="37">
        <f t="shared" si="15"/>
        <v>0</v>
      </c>
      <c r="BK22" s="35">
        <v>0</v>
      </c>
      <c r="BL22" s="36">
        <v>0</v>
      </c>
      <c r="BM22" s="37">
        <v>0</v>
      </c>
      <c r="BN22" s="37">
        <f t="shared" si="16"/>
        <v>0</v>
      </c>
      <c r="BO22" s="35">
        <v>0</v>
      </c>
      <c r="BP22" s="36">
        <v>0</v>
      </c>
      <c r="BQ22" s="37">
        <v>0</v>
      </c>
      <c r="BR22" s="37">
        <f t="shared" si="17"/>
        <v>0</v>
      </c>
      <c r="BS22" s="35">
        <v>0</v>
      </c>
      <c r="BT22" s="36">
        <f t="shared" si="18"/>
        <v>10</v>
      </c>
      <c r="BU22" s="37">
        <f t="shared" si="19"/>
        <v>7</v>
      </c>
      <c r="BV22" s="37">
        <f t="shared" si="20"/>
        <v>3</v>
      </c>
      <c r="BW22" s="37">
        <f t="shared" si="21"/>
        <v>0.58823529411764708</v>
      </c>
      <c r="BX22" s="37">
        <f t="shared" si="22"/>
        <v>0.76923076923076927</v>
      </c>
      <c r="BY22" s="35">
        <f t="shared" si="23"/>
        <v>0.66666666666666674</v>
      </c>
    </row>
    <row r="23" spans="1:84" x14ac:dyDescent="0.35">
      <c r="A23" s="59" t="s">
        <v>48</v>
      </c>
      <c r="B23" s="148"/>
      <c r="C23" s="38" t="s">
        <v>36</v>
      </c>
      <c r="D23" s="39">
        <v>2</v>
      </c>
      <c r="E23" s="40">
        <v>2</v>
      </c>
      <c r="F23" s="40">
        <f t="shared" si="1"/>
        <v>0</v>
      </c>
      <c r="G23" s="38">
        <v>0</v>
      </c>
      <c r="H23" s="39">
        <v>2</v>
      </c>
      <c r="I23" s="40">
        <v>1</v>
      </c>
      <c r="J23" s="40">
        <f t="shared" si="2"/>
        <v>1</v>
      </c>
      <c r="K23" s="38">
        <v>0</v>
      </c>
      <c r="L23" s="39">
        <v>0</v>
      </c>
      <c r="M23" s="40">
        <v>0</v>
      </c>
      <c r="N23" s="40">
        <f t="shared" si="3"/>
        <v>0</v>
      </c>
      <c r="O23" s="38">
        <v>0</v>
      </c>
      <c r="P23" s="39">
        <v>1</v>
      </c>
      <c r="Q23" s="40">
        <v>1</v>
      </c>
      <c r="R23" s="40">
        <f t="shared" si="4"/>
        <v>0</v>
      </c>
      <c r="S23" s="38">
        <v>1</v>
      </c>
      <c r="T23" s="39">
        <v>1</v>
      </c>
      <c r="U23" s="40">
        <v>1</v>
      </c>
      <c r="V23" s="40">
        <f t="shared" si="5"/>
        <v>0</v>
      </c>
      <c r="W23" s="38">
        <v>0</v>
      </c>
      <c r="X23" s="39">
        <v>1</v>
      </c>
      <c r="Y23" s="40">
        <v>1</v>
      </c>
      <c r="Z23" s="40">
        <f t="shared" si="6"/>
        <v>0</v>
      </c>
      <c r="AA23" s="38">
        <v>0</v>
      </c>
      <c r="AB23" s="39">
        <v>1</v>
      </c>
      <c r="AC23" s="40">
        <v>1</v>
      </c>
      <c r="AD23" s="40">
        <f t="shared" si="7"/>
        <v>0</v>
      </c>
      <c r="AE23" s="38">
        <v>0</v>
      </c>
      <c r="AF23" s="39">
        <v>1</v>
      </c>
      <c r="AG23" s="40">
        <v>1</v>
      </c>
      <c r="AH23" s="40">
        <f t="shared" si="8"/>
        <v>0</v>
      </c>
      <c r="AI23" s="38">
        <v>0</v>
      </c>
      <c r="AJ23" s="39">
        <v>0</v>
      </c>
      <c r="AK23" s="40">
        <v>0</v>
      </c>
      <c r="AL23" s="40">
        <f t="shared" si="9"/>
        <v>0</v>
      </c>
      <c r="AM23" s="38">
        <v>0</v>
      </c>
      <c r="AN23" s="39">
        <v>0</v>
      </c>
      <c r="AO23" s="40">
        <v>0</v>
      </c>
      <c r="AP23" s="40">
        <f t="shared" si="10"/>
        <v>0</v>
      </c>
      <c r="AQ23" s="38">
        <v>0</v>
      </c>
      <c r="AR23" s="39">
        <v>1</v>
      </c>
      <c r="AS23" s="40">
        <v>0</v>
      </c>
      <c r="AT23" s="40">
        <f t="shared" si="11"/>
        <v>1</v>
      </c>
      <c r="AU23" s="38">
        <v>0</v>
      </c>
      <c r="AV23" s="39">
        <v>0</v>
      </c>
      <c r="AW23" s="40">
        <v>0</v>
      </c>
      <c r="AX23" s="40">
        <f t="shared" si="12"/>
        <v>0</v>
      </c>
      <c r="AY23" s="38">
        <v>1</v>
      </c>
      <c r="AZ23" s="39">
        <v>1</v>
      </c>
      <c r="BA23" s="40">
        <v>1</v>
      </c>
      <c r="BB23" s="40">
        <f t="shared" si="13"/>
        <v>0</v>
      </c>
      <c r="BC23" s="38">
        <v>0</v>
      </c>
      <c r="BD23" s="39">
        <v>0</v>
      </c>
      <c r="BE23" s="40">
        <v>0</v>
      </c>
      <c r="BF23" s="40">
        <f t="shared" si="14"/>
        <v>0</v>
      </c>
      <c r="BG23" s="38">
        <v>0</v>
      </c>
      <c r="BH23" s="39">
        <v>0</v>
      </c>
      <c r="BI23" s="40">
        <v>0</v>
      </c>
      <c r="BJ23" s="40">
        <f t="shared" si="15"/>
        <v>0</v>
      </c>
      <c r="BK23" s="38">
        <v>0</v>
      </c>
      <c r="BL23" s="39">
        <v>0</v>
      </c>
      <c r="BM23" s="40">
        <v>0</v>
      </c>
      <c r="BN23" s="40">
        <f t="shared" si="16"/>
        <v>0</v>
      </c>
      <c r="BO23" s="38">
        <v>1</v>
      </c>
      <c r="BP23" s="39">
        <v>0</v>
      </c>
      <c r="BQ23" s="40">
        <v>0</v>
      </c>
      <c r="BR23" s="40">
        <f t="shared" si="17"/>
        <v>0</v>
      </c>
      <c r="BS23" s="38">
        <v>0</v>
      </c>
      <c r="BT23" s="39">
        <f t="shared" si="18"/>
        <v>9</v>
      </c>
      <c r="BU23" s="40">
        <f t="shared" si="19"/>
        <v>2</v>
      </c>
      <c r="BV23" s="40">
        <f t="shared" si="20"/>
        <v>3</v>
      </c>
      <c r="BW23" s="40">
        <f t="shared" si="21"/>
        <v>0.81818181818181823</v>
      </c>
      <c r="BX23" s="40">
        <f t="shared" si="22"/>
        <v>0.75</v>
      </c>
      <c r="BY23" s="38">
        <f t="shared" si="23"/>
        <v>0.78260869565217384</v>
      </c>
    </row>
    <row r="24" spans="1:84" x14ac:dyDescent="0.35">
      <c r="A24" s="59" t="s">
        <v>48</v>
      </c>
      <c r="B24" s="148"/>
      <c r="C24" s="38" t="s">
        <v>69</v>
      </c>
      <c r="D24" s="39">
        <v>2</v>
      </c>
      <c r="E24" s="40">
        <v>2</v>
      </c>
      <c r="F24" s="40">
        <f t="shared" si="1"/>
        <v>0</v>
      </c>
      <c r="G24" s="38">
        <v>0</v>
      </c>
      <c r="H24" s="39">
        <v>2</v>
      </c>
      <c r="I24" s="40">
        <v>1</v>
      </c>
      <c r="J24" s="40">
        <f t="shared" si="2"/>
        <v>1</v>
      </c>
      <c r="K24" s="38">
        <v>0</v>
      </c>
      <c r="L24" s="39">
        <v>0</v>
      </c>
      <c r="M24" s="40">
        <v>0</v>
      </c>
      <c r="N24" s="40">
        <f t="shared" si="3"/>
        <v>0</v>
      </c>
      <c r="O24" s="38">
        <v>0</v>
      </c>
      <c r="P24" s="39">
        <v>1</v>
      </c>
      <c r="Q24" s="40">
        <v>1</v>
      </c>
      <c r="R24" s="40">
        <f t="shared" si="4"/>
        <v>0</v>
      </c>
      <c r="S24" s="38">
        <v>1</v>
      </c>
      <c r="T24" s="39">
        <v>1</v>
      </c>
      <c r="U24" s="40">
        <v>1</v>
      </c>
      <c r="V24" s="40">
        <f t="shared" si="5"/>
        <v>0</v>
      </c>
      <c r="W24" s="38">
        <v>0</v>
      </c>
      <c r="X24" s="39">
        <v>1</v>
      </c>
      <c r="Y24" s="40">
        <v>1</v>
      </c>
      <c r="Z24" s="40">
        <f t="shared" si="6"/>
        <v>0</v>
      </c>
      <c r="AA24" s="38">
        <v>0</v>
      </c>
      <c r="AB24" s="39">
        <v>1</v>
      </c>
      <c r="AC24" s="40">
        <v>1</v>
      </c>
      <c r="AD24" s="40">
        <f t="shared" si="7"/>
        <v>0</v>
      </c>
      <c r="AE24" s="38">
        <v>0</v>
      </c>
      <c r="AF24" s="39">
        <v>1</v>
      </c>
      <c r="AG24" s="40">
        <v>1</v>
      </c>
      <c r="AH24" s="40">
        <f t="shared" si="8"/>
        <v>0</v>
      </c>
      <c r="AI24" s="38">
        <v>0</v>
      </c>
      <c r="AJ24" s="39">
        <v>0</v>
      </c>
      <c r="AK24" s="40">
        <v>0</v>
      </c>
      <c r="AL24" s="40">
        <f t="shared" si="9"/>
        <v>0</v>
      </c>
      <c r="AM24" s="38">
        <v>0</v>
      </c>
      <c r="AN24" s="39">
        <v>0</v>
      </c>
      <c r="AO24" s="40">
        <v>0</v>
      </c>
      <c r="AP24" s="40">
        <f t="shared" si="10"/>
        <v>0</v>
      </c>
      <c r="AQ24" s="38">
        <v>0</v>
      </c>
      <c r="AR24" s="39">
        <v>1</v>
      </c>
      <c r="AS24" s="40">
        <v>0</v>
      </c>
      <c r="AT24" s="40">
        <f t="shared" si="11"/>
        <v>1</v>
      </c>
      <c r="AU24" s="38">
        <v>0</v>
      </c>
      <c r="AV24" s="39">
        <v>0</v>
      </c>
      <c r="AW24" s="40">
        <v>0</v>
      </c>
      <c r="AX24" s="40">
        <f t="shared" si="12"/>
        <v>0</v>
      </c>
      <c r="AY24" s="38">
        <v>1</v>
      </c>
      <c r="AZ24" s="39">
        <v>1</v>
      </c>
      <c r="BA24" s="40">
        <v>1</v>
      </c>
      <c r="BB24" s="40">
        <f t="shared" si="13"/>
        <v>0</v>
      </c>
      <c r="BC24" s="38">
        <v>0</v>
      </c>
      <c r="BD24" s="39">
        <v>0</v>
      </c>
      <c r="BE24" s="40">
        <v>0</v>
      </c>
      <c r="BF24" s="40">
        <f t="shared" si="14"/>
        <v>0</v>
      </c>
      <c r="BG24" s="38">
        <v>0</v>
      </c>
      <c r="BH24" s="39">
        <v>0</v>
      </c>
      <c r="BI24" s="40">
        <v>0</v>
      </c>
      <c r="BJ24" s="40">
        <f t="shared" si="15"/>
        <v>0</v>
      </c>
      <c r="BK24" s="38">
        <v>0</v>
      </c>
      <c r="BL24" s="39">
        <v>0</v>
      </c>
      <c r="BM24" s="40">
        <v>0</v>
      </c>
      <c r="BN24" s="40">
        <f t="shared" si="16"/>
        <v>0</v>
      </c>
      <c r="BO24" s="38">
        <v>1</v>
      </c>
      <c r="BP24" s="39">
        <v>0</v>
      </c>
      <c r="BQ24" s="40">
        <v>0</v>
      </c>
      <c r="BR24" s="40">
        <f t="shared" si="17"/>
        <v>0</v>
      </c>
      <c r="BS24" s="38">
        <v>0</v>
      </c>
      <c r="BT24" s="39">
        <f t="shared" si="18"/>
        <v>9</v>
      </c>
      <c r="BU24" s="40">
        <f t="shared" si="19"/>
        <v>2</v>
      </c>
      <c r="BV24" s="40">
        <f t="shared" si="20"/>
        <v>3</v>
      </c>
      <c r="BW24" s="40">
        <f t="shared" si="21"/>
        <v>0.81818181818181823</v>
      </c>
      <c r="BX24" s="40">
        <f t="shared" si="22"/>
        <v>0.75</v>
      </c>
      <c r="BY24" s="38">
        <f t="shared" si="23"/>
        <v>0.78260869565217384</v>
      </c>
    </row>
    <row r="25" spans="1:84" x14ac:dyDescent="0.35">
      <c r="A25" s="60" t="s">
        <v>48</v>
      </c>
      <c r="B25" s="148"/>
      <c r="C25" s="41" t="s">
        <v>37</v>
      </c>
      <c r="D25" s="42">
        <v>2</v>
      </c>
      <c r="E25" s="43">
        <v>2</v>
      </c>
      <c r="F25" s="43">
        <f t="shared" si="1"/>
        <v>0</v>
      </c>
      <c r="G25" s="41">
        <v>0</v>
      </c>
      <c r="H25" s="42">
        <v>2</v>
      </c>
      <c r="I25" s="43">
        <v>0</v>
      </c>
      <c r="J25" s="43">
        <f t="shared" si="2"/>
        <v>2</v>
      </c>
      <c r="K25" s="41">
        <v>0</v>
      </c>
      <c r="L25" s="42">
        <v>0</v>
      </c>
      <c r="M25" s="43">
        <v>0</v>
      </c>
      <c r="N25" s="43">
        <f t="shared" si="3"/>
        <v>0</v>
      </c>
      <c r="O25" s="41">
        <v>0</v>
      </c>
      <c r="P25" s="42">
        <v>2</v>
      </c>
      <c r="Q25" s="43">
        <v>2</v>
      </c>
      <c r="R25" s="43">
        <f t="shared" si="4"/>
        <v>0</v>
      </c>
      <c r="S25" s="41">
        <v>0</v>
      </c>
      <c r="T25" s="42">
        <v>2</v>
      </c>
      <c r="U25" s="43">
        <v>2</v>
      </c>
      <c r="V25" s="43">
        <f t="shared" si="5"/>
        <v>0</v>
      </c>
      <c r="W25" s="41">
        <v>0</v>
      </c>
      <c r="X25" s="42">
        <v>2</v>
      </c>
      <c r="Y25" s="43">
        <v>2</v>
      </c>
      <c r="Z25" s="43">
        <f t="shared" si="6"/>
        <v>0</v>
      </c>
      <c r="AA25" s="41">
        <v>0</v>
      </c>
      <c r="AB25" s="42">
        <v>2</v>
      </c>
      <c r="AC25" s="43">
        <v>2</v>
      </c>
      <c r="AD25" s="43">
        <f t="shared" si="7"/>
        <v>0</v>
      </c>
      <c r="AE25" s="41">
        <v>0</v>
      </c>
      <c r="AF25" s="42">
        <v>2</v>
      </c>
      <c r="AG25" s="43">
        <v>2</v>
      </c>
      <c r="AH25" s="43">
        <f t="shared" si="8"/>
        <v>0</v>
      </c>
      <c r="AI25" s="41">
        <v>0</v>
      </c>
      <c r="AJ25" s="42">
        <v>0</v>
      </c>
      <c r="AK25" s="43">
        <v>0</v>
      </c>
      <c r="AL25" s="43">
        <f t="shared" si="9"/>
        <v>0</v>
      </c>
      <c r="AM25" s="41">
        <v>0</v>
      </c>
      <c r="AN25" s="42">
        <v>0</v>
      </c>
      <c r="AO25" s="43">
        <v>0</v>
      </c>
      <c r="AP25" s="43">
        <f t="shared" si="10"/>
        <v>0</v>
      </c>
      <c r="AQ25" s="41">
        <v>0</v>
      </c>
      <c r="AR25" s="42">
        <v>1</v>
      </c>
      <c r="AS25" s="43">
        <v>0</v>
      </c>
      <c r="AT25" s="43">
        <f t="shared" si="11"/>
        <v>1</v>
      </c>
      <c r="AU25" s="41">
        <v>0</v>
      </c>
      <c r="AV25" s="42">
        <v>0</v>
      </c>
      <c r="AW25" s="43">
        <v>0</v>
      </c>
      <c r="AX25" s="43">
        <f t="shared" si="12"/>
        <v>0</v>
      </c>
      <c r="AY25" s="41">
        <v>1</v>
      </c>
      <c r="AZ25" s="42">
        <v>1</v>
      </c>
      <c r="BA25" s="43">
        <v>0</v>
      </c>
      <c r="BB25" s="43">
        <f t="shared" si="13"/>
        <v>1</v>
      </c>
      <c r="BC25" s="41">
        <v>0</v>
      </c>
      <c r="BD25" s="42">
        <v>0</v>
      </c>
      <c r="BE25" s="43">
        <v>0</v>
      </c>
      <c r="BF25" s="43">
        <f t="shared" si="14"/>
        <v>0</v>
      </c>
      <c r="BG25" s="41">
        <v>0</v>
      </c>
      <c r="BH25" s="42">
        <v>0</v>
      </c>
      <c r="BI25" s="43">
        <v>0</v>
      </c>
      <c r="BJ25" s="43">
        <f t="shared" si="15"/>
        <v>0</v>
      </c>
      <c r="BK25" s="41">
        <v>0</v>
      </c>
      <c r="BL25" s="42">
        <v>0</v>
      </c>
      <c r="BM25" s="43">
        <v>0</v>
      </c>
      <c r="BN25" s="43">
        <f t="shared" si="16"/>
        <v>0</v>
      </c>
      <c r="BO25" s="41">
        <v>1</v>
      </c>
      <c r="BP25" s="42">
        <v>0</v>
      </c>
      <c r="BQ25" s="43">
        <v>0</v>
      </c>
      <c r="BR25" s="43">
        <f t="shared" si="17"/>
        <v>0</v>
      </c>
      <c r="BS25" s="41">
        <v>0</v>
      </c>
      <c r="BT25" s="42">
        <f t="shared" si="18"/>
        <v>12</v>
      </c>
      <c r="BU25" s="43">
        <f t="shared" si="19"/>
        <v>4</v>
      </c>
      <c r="BV25" s="43">
        <f t="shared" si="20"/>
        <v>2</v>
      </c>
      <c r="BW25" s="43">
        <f t="shared" si="21"/>
        <v>0.75</v>
      </c>
      <c r="BX25" s="43">
        <f t="shared" si="22"/>
        <v>0.8571428571428571</v>
      </c>
      <c r="BY25" s="41">
        <f t="shared" si="23"/>
        <v>0.79999999999999993</v>
      </c>
    </row>
    <row r="26" spans="1:84" x14ac:dyDescent="0.35">
      <c r="A26" s="60" t="s">
        <v>48</v>
      </c>
      <c r="B26" s="148"/>
      <c r="C26" s="41" t="s">
        <v>70</v>
      </c>
      <c r="D26" s="42">
        <v>2</v>
      </c>
      <c r="E26" s="43">
        <v>2</v>
      </c>
      <c r="F26" s="43">
        <f t="shared" si="1"/>
        <v>0</v>
      </c>
      <c r="G26" s="41">
        <v>0</v>
      </c>
      <c r="H26" s="42">
        <v>2</v>
      </c>
      <c r="I26" s="43">
        <v>0</v>
      </c>
      <c r="J26" s="43">
        <f t="shared" si="2"/>
        <v>2</v>
      </c>
      <c r="K26" s="41">
        <v>0</v>
      </c>
      <c r="L26" s="42">
        <v>0</v>
      </c>
      <c r="M26" s="43">
        <v>0</v>
      </c>
      <c r="N26" s="43">
        <f t="shared" si="3"/>
        <v>0</v>
      </c>
      <c r="O26" s="41">
        <v>0</v>
      </c>
      <c r="P26" s="42">
        <v>2</v>
      </c>
      <c r="Q26" s="43">
        <v>2</v>
      </c>
      <c r="R26" s="43">
        <f t="shared" si="4"/>
        <v>0</v>
      </c>
      <c r="S26" s="41">
        <v>0</v>
      </c>
      <c r="T26" s="42">
        <v>2</v>
      </c>
      <c r="U26" s="43">
        <v>2</v>
      </c>
      <c r="V26" s="43">
        <f t="shared" si="5"/>
        <v>0</v>
      </c>
      <c r="W26" s="41">
        <v>0</v>
      </c>
      <c r="X26" s="42">
        <v>2</v>
      </c>
      <c r="Y26" s="43">
        <v>2</v>
      </c>
      <c r="Z26" s="43">
        <f t="shared" si="6"/>
        <v>0</v>
      </c>
      <c r="AA26" s="41">
        <v>0</v>
      </c>
      <c r="AB26" s="42">
        <v>2</v>
      </c>
      <c r="AC26" s="43">
        <v>2</v>
      </c>
      <c r="AD26" s="43">
        <f t="shared" si="7"/>
        <v>0</v>
      </c>
      <c r="AE26" s="41">
        <v>0</v>
      </c>
      <c r="AF26" s="42">
        <v>2</v>
      </c>
      <c r="AG26" s="43">
        <v>2</v>
      </c>
      <c r="AH26" s="43">
        <f t="shared" si="8"/>
        <v>0</v>
      </c>
      <c r="AI26" s="41">
        <v>0</v>
      </c>
      <c r="AJ26" s="42">
        <v>0</v>
      </c>
      <c r="AK26" s="43">
        <v>0</v>
      </c>
      <c r="AL26" s="43">
        <f t="shared" si="9"/>
        <v>0</v>
      </c>
      <c r="AM26" s="41">
        <v>0</v>
      </c>
      <c r="AN26" s="42">
        <v>0</v>
      </c>
      <c r="AO26" s="43">
        <v>0</v>
      </c>
      <c r="AP26" s="43">
        <f t="shared" si="10"/>
        <v>0</v>
      </c>
      <c r="AQ26" s="41">
        <v>0</v>
      </c>
      <c r="AR26" s="42">
        <v>1</v>
      </c>
      <c r="AS26" s="43">
        <v>0</v>
      </c>
      <c r="AT26" s="43">
        <f t="shared" si="11"/>
        <v>1</v>
      </c>
      <c r="AU26" s="41">
        <v>0</v>
      </c>
      <c r="AV26" s="42">
        <v>0</v>
      </c>
      <c r="AW26" s="43">
        <v>0</v>
      </c>
      <c r="AX26" s="43">
        <f t="shared" si="12"/>
        <v>0</v>
      </c>
      <c r="AY26" s="41">
        <v>1</v>
      </c>
      <c r="AZ26" s="42">
        <v>1</v>
      </c>
      <c r="BA26" s="43">
        <v>0</v>
      </c>
      <c r="BB26" s="43">
        <f t="shared" si="13"/>
        <v>1</v>
      </c>
      <c r="BC26" s="41">
        <v>0</v>
      </c>
      <c r="BD26" s="42">
        <v>0</v>
      </c>
      <c r="BE26" s="43">
        <v>0</v>
      </c>
      <c r="BF26" s="43">
        <f t="shared" si="14"/>
        <v>0</v>
      </c>
      <c r="BG26" s="41">
        <v>0</v>
      </c>
      <c r="BH26" s="42">
        <v>0</v>
      </c>
      <c r="BI26" s="43">
        <v>0</v>
      </c>
      <c r="BJ26" s="43">
        <f t="shared" si="15"/>
        <v>0</v>
      </c>
      <c r="BK26" s="41">
        <v>0</v>
      </c>
      <c r="BL26" s="42">
        <v>0</v>
      </c>
      <c r="BM26" s="43">
        <v>0</v>
      </c>
      <c r="BN26" s="43">
        <f t="shared" si="16"/>
        <v>0</v>
      </c>
      <c r="BO26" s="41">
        <v>1</v>
      </c>
      <c r="BP26" s="42">
        <v>0</v>
      </c>
      <c r="BQ26" s="43">
        <v>0</v>
      </c>
      <c r="BR26" s="43">
        <f t="shared" si="17"/>
        <v>0</v>
      </c>
      <c r="BS26" s="41">
        <v>0</v>
      </c>
      <c r="BT26" s="42">
        <f t="shared" si="18"/>
        <v>12</v>
      </c>
      <c r="BU26" s="43">
        <f t="shared" si="19"/>
        <v>4</v>
      </c>
      <c r="BV26" s="43">
        <f t="shared" si="20"/>
        <v>2</v>
      </c>
      <c r="BW26" s="43">
        <f t="shared" si="21"/>
        <v>0.75</v>
      </c>
      <c r="BX26" s="43">
        <f t="shared" si="22"/>
        <v>0.8571428571428571</v>
      </c>
      <c r="BY26" s="41">
        <f t="shared" si="23"/>
        <v>0.79999999999999993</v>
      </c>
    </row>
    <row r="27" spans="1:84" x14ac:dyDescent="0.35">
      <c r="A27" s="47" t="s">
        <v>48</v>
      </c>
      <c r="B27" s="148"/>
      <c r="C27" s="44" t="s">
        <v>38</v>
      </c>
      <c r="D27" s="45">
        <v>2</v>
      </c>
      <c r="E27" s="46">
        <v>2</v>
      </c>
      <c r="F27" s="46">
        <f t="shared" si="1"/>
        <v>0</v>
      </c>
      <c r="G27" s="44">
        <v>0</v>
      </c>
      <c r="H27" s="45">
        <v>2</v>
      </c>
      <c r="I27" s="46">
        <v>2</v>
      </c>
      <c r="J27" s="46">
        <f t="shared" si="2"/>
        <v>0</v>
      </c>
      <c r="K27" s="44">
        <v>0</v>
      </c>
      <c r="L27" s="45">
        <v>2</v>
      </c>
      <c r="M27" s="46">
        <v>2</v>
      </c>
      <c r="N27" s="46">
        <f t="shared" si="3"/>
        <v>0</v>
      </c>
      <c r="O27" s="44">
        <v>0</v>
      </c>
      <c r="P27" s="45">
        <v>2</v>
      </c>
      <c r="Q27" s="46">
        <v>2</v>
      </c>
      <c r="R27" s="46">
        <f t="shared" si="4"/>
        <v>0</v>
      </c>
      <c r="S27" s="44">
        <v>0</v>
      </c>
      <c r="T27" s="45">
        <v>2</v>
      </c>
      <c r="U27" s="46">
        <v>2</v>
      </c>
      <c r="V27" s="46">
        <f t="shared" si="5"/>
        <v>0</v>
      </c>
      <c r="W27" s="44">
        <v>0</v>
      </c>
      <c r="X27" s="45">
        <v>1</v>
      </c>
      <c r="Y27" s="46">
        <v>1</v>
      </c>
      <c r="Z27" s="46">
        <f t="shared" si="6"/>
        <v>0</v>
      </c>
      <c r="AA27" s="44">
        <v>0</v>
      </c>
      <c r="AB27" s="45">
        <v>0</v>
      </c>
      <c r="AC27" s="46">
        <v>0</v>
      </c>
      <c r="AD27" s="46">
        <f t="shared" si="7"/>
        <v>0</v>
      </c>
      <c r="AE27" s="44">
        <v>0</v>
      </c>
      <c r="AF27" s="45">
        <v>1</v>
      </c>
      <c r="AG27" s="46">
        <v>1</v>
      </c>
      <c r="AH27" s="46">
        <f t="shared" si="8"/>
        <v>0</v>
      </c>
      <c r="AI27" s="44">
        <v>0</v>
      </c>
      <c r="AJ27" s="45">
        <v>0</v>
      </c>
      <c r="AK27" s="46">
        <v>0</v>
      </c>
      <c r="AL27" s="46">
        <f t="shared" si="9"/>
        <v>0</v>
      </c>
      <c r="AM27" s="44">
        <v>0</v>
      </c>
      <c r="AN27" s="45">
        <v>0</v>
      </c>
      <c r="AO27" s="46">
        <v>0</v>
      </c>
      <c r="AP27" s="46">
        <f t="shared" si="10"/>
        <v>0</v>
      </c>
      <c r="AQ27" s="44">
        <v>0</v>
      </c>
      <c r="AR27" s="45">
        <v>0</v>
      </c>
      <c r="AS27" s="46">
        <v>0</v>
      </c>
      <c r="AT27" s="46">
        <f t="shared" si="11"/>
        <v>0</v>
      </c>
      <c r="AU27" s="44">
        <v>0</v>
      </c>
      <c r="AV27" s="45">
        <v>0</v>
      </c>
      <c r="AW27" s="46">
        <v>0</v>
      </c>
      <c r="AX27" s="46">
        <f t="shared" si="12"/>
        <v>0</v>
      </c>
      <c r="AY27" s="44">
        <v>1</v>
      </c>
      <c r="AZ27" s="45">
        <v>1</v>
      </c>
      <c r="BA27" s="46">
        <v>1</v>
      </c>
      <c r="BB27" s="46">
        <f t="shared" si="13"/>
        <v>0</v>
      </c>
      <c r="BC27" s="44">
        <v>0</v>
      </c>
      <c r="BD27" s="45">
        <v>0</v>
      </c>
      <c r="BE27" s="46">
        <v>0</v>
      </c>
      <c r="BF27" s="46">
        <f t="shared" si="14"/>
        <v>0</v>
      </c>
      <c r="BG27" s="44">
        <v>0</v>
      </c>
      <c r="BH27" s="45">
        <v>0</v>
      </c>
      <c r="BI27" s="46">
        <v>0</v>
      </c>
      <c r="BJ27" s="46">
        <f t="shared" si="15"/>
        <v>0</v>
      </c>
      <c r="BK27" s="44">
        <v>0</v>
      </c>
      <c r="BL27" s="45">
        <v>0</v>
      </c>
      <c r="BM27" s="46">
        <v>0</v>
      </c>
      <c r="BN27" s="46">
        <f t="shared" si="16"/>
        <v>0</v>
      </c>
      <c r="BO27" s="44">
        <v>1</v>
      </c>
      <c r="BP27" s="45">
        <v>1</v>
      </c>
      <c r="BQ27" s="46">
        <v>0</v>
      </c>
      <c r="BR27" s="46">
        <f t="shared" si="17"/>
        <v>1</v>
      </c>
      <c r="BS27" s="44">
        <v>0</v>
      </c>
      <c r="BT27" s="45">
        <f t="shared" si="18"/>
        <v>13</v>
      </c>
      <c r="BU27" s="46">
        <f t="shared" si="19"/>
        <v>1</v>
      </c>
      <c r="BV27" s="46">
        <f t="shared" si="20"/>
        <v>2</v>
      </c>
      <c r="BW27" s="46">
        <f t="shared" si="21"/>
        <v>0.9285714285714286</v>
      </c>
      <c r="BX27" s="46">
        <f t="shared" si="22"/>
        <v>0.8666666666666667</v>
      </c>
      <c r="BY27" s="44">
        <f t="shared" si="23"/>
        <v>0.89655172413793105</v>
      </c>
    </row>
    <row r="28" spans="1:84" x14ac:dyDescent="0.35">
      <c r="A28" s="47" t="s">
        <v>48</v>
      </c>
      <c r="B28" s="148"/>
      <c r="C28" s="44" t="s">
        <v>71</v>
      </c>
      <c r="D28" s="45">
        <v>2</v>
      </c>
      <c r="E28" s="46">
        <v>2</v>
      </c>
      <c r="F28" s="46">
        <f t="shared" si="1"/>
        <v>0</v>
      </c>
      <c r="G28" s="44">
        <v>0</v>
      </c>
      <c r="H28" s="45">
        <v>2</v>
      </c>
      <c r="I28" s="46">
        <v>0</v>
      </c>
      <c r="J28" s="46">
        <f t="shared" si="2"/>
        <v>2</v>
      </c>
      <c r="K28" s="44">
        <v>0</v>
      </c>
      <c r="L28" s="45">
        <v>2</v>
      </c>
      <c r="M28" s="46">
        <v>0</v>
      </c>
      <c r="N28" s="46">
        <f t="shared" si="3"/>
        <v>2</v>
      </c>
      <c r="O28" s="44">
        <v>0</v>
      </c>
      <c r="P28" s="45">
        <v>2</v>
      </c>
      <c r="Q28" s="46">
        <v>2</v>
      </c>
      <c r="R28" s="46">
        <f t="shared" si="4"/>
        <v>0</v>
      </c>
      <c r="S28" s="44">
        <v>0</v>
      </c>
      <c r="T28" s="45">
        <v>2</v>
      </c>
      <c r="U28" s="46">
        <v>2</v>
      </c>
      <c r="V28" s="46">
        <f t="shared" si="5"/>
        <v>0</v>
      </c>
      <c r="W28" s="44">
        <v>0</v>
      </c>
      <c r="X28" s="45">
        <v>1</v>
      </c>
      <c r="Y28" s="46">
        <v>1</v>
      </c>
      <c r="Z28" s="46">
        <f t="shared" si="6"/>
        <v>0</v>
      </c>
      <c r="AA28" s="44">
        <v>1</v>
      </c>
      <c r="AB28" s="45">
        <v>0</v>
      </c>
      <c r="AC28" s="46">
        <v>0</v>
      </c>
      <c r="AD28" s="46">
        <f t="shared" si="7"/>
        <v>0</v>
      </c>
      <c r="AE28" s="44">
        <v>0</v>
      </c>
      <c r="AF28" s="45">
        <v>1</v>
      </c>
      <c r="AG28" s="46">
        <v>1</v>
      </c>
      <c r="AH28" s="46">
        <f t="shared" si="8"/>
        <v>0</v>
      </c>
      <c r="AI28" s="44">
        <v>0</v>
      </c>
      <c r="AJ28" s="45">
        <v>0</v>
      </c>
      <c r="AK28" s="46">
        <v>0</v>
      </c>
      <c r="AL28" s="46">
        <f t="shared" si="9"/>
        <v>0</v>
      </c>
      <c r="AM28" s="44">
        <v>0</v>
      </c>
      <c r="AN28" s="45">
        <v>0</v>
      </c>
      <c r="AO28" s="46">
        <v>0</v>
      </c>
      <c r="AP28" s="46">
        <f t="shared" si="10"/>
        <v>0</v>
      </c>
      <c r="AQ28" s="44">
        <v>0</v>
      </c>
      <c r="AR28" s="45">
        <v>0</v>
      </c>
      <c r="AS28" s="46">
        <v>0</v>
      </c>
      <c r="AT28" s="46">
        <f t="shared" si="11"/>
        <v>0</v>
      </c>
      <c r="AU28" s="44">
        <v>0</v>
      </c>
      <c r="AV28" s="45">
        <v>0</v>
      </c>
      <c r="AW28" s="46">
        <v>0</v>
      </c>
      <c r="AX28" s="46">
        <f t="shared" si="12"/>
        <v>0</v>
      </c>
      <c r="AY28" s="44">
        <v>1</v>
      </c>
      <c r="AZ28" s="45">
        <v>1</v>
      </c>
      <c r="BA28" s="46">
        <v>1</v>
      </c>
      <c r="BB28" s="46">
        <f t="shared" si="13"/>
        <v>0</v>
      </c>
      <c r="BC28" s="44">
        <v>0</v>
      </c>
      <c r="BD28" s="45">
        <v>0</v>
      </c>
      <c r="BE28" s="46">
        <v>0</v>
      </c>
      <c r="BF28" s="46">
        <f t="shared" si="14"/>
        <v>0</v>
      </c>
      <c r="BG28" s="44">
        <v>0</v>
      </c>
      <c r="BH28" s="45">
        <v>0</v>
      </c>
      <c r="BI28" s="46">
        <v>0</v>
      </c>
      <c r="BJ28" s="46">
        <f t="shared" si="15"/>
        <v>0</v>
      </c>
      <c r="BK28" s="44">
        <v>0</v>
      </c>
      <c r="BL28" s="45">
        <v>0</v>
      </c>
      <c r="BM28" s="46">
        <v>0</v>
      </c>
      <c r="BN28" s="46">
        <f t="shared" si="16"/>
        <v>0</v>
      </c>
      <c r="BO28" s="44">
        <v>1</v>
      </c>
      <c r="BP28" s="45">
        <v>1</v>
      </c>
      <c r="BQ28" s="46">
        <v>0</v>
      </c>
      <c r="BR28" s="46">
        <f t="shared" si="17"/>
        <v>1</v>
      </c>
      <c r="BS28" s="44">
        <v>0</v>
      </c>
      <c r="BT28" s="45">
        <f t="shared" si="18"/>
        <v>9</v>
      </c>
      <c r="BU28" s="46">
        <f t="shared" si="19"/>
        <v>5</v>
      </c>
      <c r="BV28" s="46">
        <f t="shared" si="20"/>
        <v>3</v>
      </c>
      <c r="BW28" s="46">
        <f t="shared" si="21"/>
        <v>0.6428571428571429</v>
      </c>
      <c r="BX28" s="46">
        <f t="shared" si="22"/>
        <v>0.75</v>
      </c>
      <c r="BY28" s="44">
        <f t="shared" si="23"/>
        <v>0.6923076923076924</v>
      </c>
    </row>
    <row r="29" spans="1:84" x14ac:dyDescent="0.35">
      <c r="A29" s="61" t="s">
        <v>48</v>
      </c>
      <c r="B29" s="148"/>
      <c r="C29" s="126" t="s">
        <v>39</v>
      </c>
      <c r="D29" s="127">
        <v>2</v>
      </c>
      <c r="E29" s="128">
        <v>2</v>
      </c>
      <c r="F29" s="128">
        <f t="shared" si="1"/>
        <v>0</v>
      </c>
      <c r="G29" s="126">
        <v>0</v>
      </c>
      <c r="H29" s="127">
        <v>2</v>
      </c>
      <c r="I29" s="128">
        <v>0</v>
      </c>
      <c r="J29" s="128">
        <f t="shared" si="2"/>
        <v>2</v>
      </c>
      <c r="K29" s="126">
        <v>0</v>
      </c>
      <c r="L29" s="127">
        <v>2</v>
      </c>
      <c r="M29" s="128">
        <v>0</v>
      </c>
      <c r="N29" s="128">
        <f t="shared" si="3"/>
        <v>2</v>
      </c>
      <c r="O29" s="126">
        <v>0</v>
      </c>
      <c r="P29" s="127">
        <v>2</v>
      </c>
      <c r="Q29" s="128">
        <v>2</v>
      </c>
      <c r="R29" s="128">
        <f t="shared" si="4"/>
        <v>0</v>
      </c>
      <c r="S29" s="126">
        <v>0</v>
      </c>
      <c r="T29" s="127">
        <v>2</v>
      </c>
      <c r="U29" s="128">
        <v>2</v>
      </c>
      <c r="V29" s="128">
        <f t="shared" si="5"/>
        <v>0</v>
      </c>
      <c r="W29" s="126">
        <v>0</v>
      </c>
      <c r="X29" s="127">
        <v>4</v>
      </c>
      <c r="Y29" s="128">
        <v>4</v>
      </c>
      <c r="Z29" s="128">
        <f t="shared" si="6"/>
        <v>0</v>
      </c>
      <c r="AA29" s="126">
        <v>0</v>
      </c>
      <c r="AB29" s="127">
        <v>2</v>
      </c>
      <c r="AC29" s="128">
        <v>2</v>
      </c>
      <c r="AD29" s="128">
        <f t="shared" si="7"/>
        <v>0</v>
      </c>
      <c r="AE29" s="126">
        <v>0</v>
      </c>
      <c r="AF29" s="127">
        <v>4</v>
      </c>
      <c r="AG29" s="128">
        <v>4</v>
      </c>
      <c r="AH29" s="128">
        <f t="shared" si="8"/>
        <v>0</v>
      </c>
      <c r="AI29" s="126">
        <v>0</v>
      </c>
      <c r="AJ29" s="127">
        <v>0</v>
      </c>
      <c r="AK29" s="128">
        <v>0</v>
      </c>
      <c r="AL29" s="128">
        <f t="shared" si="9"/>
        <v>0</v>
      </c>
      <c r="AM29" s="126">
        <v>0</v>
      </c>
      <c r="AN29" s="127">
        <v>0</v>
      </c>
      <c r="AO29" s="128">
        <v>0</v>
      </c>
      <c r="AP29" s="128">
        <f t="shared" si="10"/>
        <v>0</v>
      </c>
      <c r="AQ29" s="126">
        <v>0</v>
      </c>
      <c r="AR29" s="127">
        <v>0</v>
      </c>
      <c r="AS29" s="128">
        <v>0</v>
      </c>
      <c r="AT29" s="128">
        <f t="shared" si="11"/>
        <v>0</v>
      </c>
      <c r="AU29" s="126">
        <v>0</v>
      </c>
      <c r="AV29" s="127">
        <v>0</v>
      </c>
      <c r="AW29" s="128">
        <v>0</v>
      </c>
      <c r="AX29" s="128">
        <f t="shared" si="12"/>
        <v>0</v>
      </c>
      <c r="AY29" s="126">
        <v>1</v>
      </c>
      <c r="AZ29" s="127">
        <v>1</v>
      </c>
      <c r="BA29" s="128">
        <v>0</v>
      </c>
      <c r="BB29" s="128">
        <f t="shared" si="13"/>
        <v>1</v>
      </c>
      <c r="BC29" s="126">
        <v>0</v>
      </c>
      <c r="BD29" s="127">
        <v>0</v>
      </c>
      <c r="BE29" s="128">
        <v>0</v>
      </c>
      <c r="BF29" s="128">
        <f t="shared" si="14"/>
        <v>0</v>
      </c>
      <c r="BG29" s="126">
        <v>0</v>
      </c>
      <c r="BH29" s="127">
        <v>0</v>
      </c>
      <c r="BI29" s="128">
        <v>0</v>
      </c>
      <c r="BJ29" s="128">
        <f t="shared" si="15"/>
        <v>0</v>
      </c>
      <c r="BK29" s="126">
        <v>0</v>
      </c>
      <c r="BL29" s="127">
        <v>0</v>
      </c>
      <c r="BM29" s="128">
        <v>0</v>
      </c>
      <c r="BN29" s="128">
        <f t="shared" si="16"/>
        <v>0</v>
      </c>
      <c r="BO29" s="126">
        <v>1</v>
      </c>
      <c r="BP29" s="127">
        <v>1</v>
      </c>
      <c r="BQ29" s="128">
        <v>0</v>
      </c>
      <c r="BR29" s="128">
        <f t="shared" si="17"/>
        <v>1</v>
      </c>
      <c r="BS29" s="126">
        <v>0</v>
      </c>
      <c r="BT29" s="127">
        <f t="shared" si="18"/>
        <v>16</v>
      </c>
      <c r="BU29" s="128">
        <f t="shared" si="19"/>
        <v>6</v>
      </c>
      <c r="BV29" s="128">
        <f t="shared" si="20"/>
        <v>2</v>
      </c>
      <c r="BW29" s="128">
        <f t="shared" si="21"/>
        <v>0.72727272727272729</v>
      </c>
      <c r="BX29" s="128">
        <f t="shared" si="22"/>
        <v>0.88888888888888884</v>
      </c>
      <c r="BY29" s="126">
        <f t="shared" si="23"/>
        <v>0.79999999999999993</v>
      </c>
    </row>
    <row r="30" spans="1:84" x14ac:dyDescent="0.35">
      <c r="A30" s="128" t="s">
        <v>48</v>
      </c>
      <c r="B30" s="148"/>
      <c r="C30" s="104" t="s">
        <v>72</v>
      </c>
      <c r="D30" s="107">
        <v>2</v>
      </c>
      <c r="E30" s="61">
        <v>2</v>
      </c>
      <c r="F30" s="61">
        <f t="shared" si="1"/>
        <v>0</v>
      </c>
      <c r="G30" s="104">
        <v>0</v>
      </c>
      <c r="H30" s="107">
        <v>2</v>
      </c>
      <c r="I30" s="61">
        <v>0</v>
      </c>
      <c r="J30" s="61">
        <f t="shared" si="2"/>
        <v>2</v>
      </c>
      <c r="K30" s="104">
        <v>0</v>
      </c>
      <c r="L30" s="107">
        <v>2</v>
      </c>
      <c r="M30" s="61">
        <v>0</v>
      </c>
      <c r="N30" s="61">
        <f t="shared" si="3"/>
        <v>2</v>
      </c>
      <c r="O30" s="104">
        <v>0</v>
      </c>
      <c r="P30" s="107">
        <v>2</v>
      </c>
      <c r="Q30" s="61">
        <v>2</v>
      </c>
      <c r="R30" s="61">
        <f t="shared" si="4"/>
        <v>0</v>
      </c>
      <c r="S30" s="104">
        <v>0</v>
      </c>
      <c r="T30" s="107">
        <v>2</v>
      </c>
      <c r="U30" s="61">
        <v>2</v>
      </c>
      <c r="V30" s="61">
        <f t="shared" si="5"/>
        <v>0</v>
      </c>
      <c r="W30" s="104">
        <v>0</v>
      </c>
      <c r="X30" s="107">
        <v>4</v>
      </c>
      <c r="Y30" s="61">
        <v>4</v>
      </c>
      <c r="Z30" s="61">
        <f t="shared" si="6"/>
        <v>0</v>
      </c>
      <c r="AA30" s="104">
        <v>0</v>
      </c>
      <c r="AB30" s="107">
        <v>2</v>
      </c>
      <c r="AC30" s="61">
        <v>2</v>
      </c>
      <c r="AD30" s="61">
        <v>0</v>
      </c>
      <c r="AE30" s="104">
        <v>0</v>
      </c>
      <c r="AF30" s="107">
        <v>4</v>
      </c>
      <c r="AG30" s="61">
        <v>4</v>
      </c>
      <c r="AH30" s="61">
        <f t="shared" si="8"/>
        <v>0</v>
      </c>
      <c r="AI30" s="104">
        <v>0</v>
      </c>
      <c r="AJ30" s="107">
        <v>0</v>
      </c>
      <c r="AK30" s="61">
        <v>0</v>
      </c>
      <c r="AL30" s="61">
        <f t="shared" si="9"/>
        <v>0</v>
      </c>
      <c r="AM30" s="104">
        <v>0</v>
      </c>
      <c r="AN30" s="107">
        <v>0</v>
      </c>
      <c r="AO30" s="61">
        <v>0</v>
      </c>
      <c r="AP30" s="61">
        <f t="shared" si="10"/>
        <v>0</v>
      </c>
      <c r="AQ30" s="104">
        <v>1</v>
      </c>
      <c r="AR30" s="107">
        <v>0</v>
      </c>
      <c r="AS30" s="61">
        <v>0</v>
      </c>
      <c r="AT30" s="61">
        <f t="shared" si="11"/>
        <v>0</v>
      </c>
      <c r="AU30" s="104">
        <v>0</v>
      </c>
      <c r="AV30" s="107">
        <v>0</v>
      </c>
      <c r="AW30" s="61">
        <v>0</v>
      </c>
      <c r="AX30" s="61">
        <f t="shared" si="12"/>
        <v>0</v>
      </c>
      <c r="AY30" s="104">
        <v>0</v>
      </c>
      <c r="AZ30" s="107">
        <v>1</v>
      </c>
      <c r="BA30" s="61">
        <v>1</v>
      </c>
      <c r="BB30" s="61">
        <f t="shared" si="13"/>
        <v>0</v>
      </c>
      <c r="BC30" s="104">
        <v>0</v>
      </c>
      <c r="BD30" s="107">
        <v>0</v>
      </c>
      <c r="BE30" s="61">
        <v>0</v>
      </c>
      <c r="BF30" s="61">
        <f t="shared" si="14"/>
        <v>0</v>
      </c>
      <c r="BG30" s="104">
        <v>0</v>
      </c>
      <c r="BH30" s="107">
        <v>0</v>
      </c>
      <c r="BI30" s="61">
        <v>0</v>
      </c>
      <c r="BJ30" s="61">
        <f t="shared" si="15"/>
        <v>0</v>
      </c>
      <c r="BK30" s="104">
        <v>0</v>
      </c>
      <c r="BL30" s="107">
        <v>0</v>
      </c>
      <c r="BM30" s="61">
        <v>0</v>
      </c>
      <c r="BN30" s="61">
        <f t="shared" si="16"/>
        <v>0</v>
      </c>
      <c r="BO30" s="104">
        <v>1</v>
      </c>
      <c r="BP30" s="107">
        <v>1</v>
      </c>
      <c r="BQ30" s="61">
        <v>0</v>
      </c>
      <c r="BR30" s="61">
        <f t="shared" si="17"/>
        <v>1</v>
      </c>
      <c r="BS30" s="104">
        <v>0</v>
      </c>
      <c r="BT30" s="107">
        <f t="shared" si="18"/>
        <v>17</v>
      </c>
      <c r="BU30" s="61">
        <f t="shared" si="19"/>
        <v>5</v>
      </c>
      <c r="BV30" s="61">
        <f t="shared" si="20"/>
        <v>2</v>
      </c>
      <c r="BW30" s="61">
        <f t="shared" si="21"/>
        <v>0.77272727272727271</v>
      </c>
      <c r="BX30" s="61">
        <f t="shared" si="22"/>
        <v>0.89473684210526316</v>
      </c>
      <c r="BY30" s="104">
        <f t="shared" si="23"/>
        <v>0.8292682926829269</v>
      </c>
    </row>
    <row r="31" spans="1:84" x14ac:dyDescent="0.35">
      <c r="A31" s="108" t="s">
        <v>48</v>
      </c>
      <c r="B31" s="148"/>
      <c r="C31" s="112" t="s">
        <v>42</v>
      </c>
      <c r="D31" s="114">
        <v>2</v>
      </c>
      <c r="E31" s="108">
        <v>2</v>
      </c>
      <c r="F31" s="108">
        <f t="shared" si="1"/>
        <v>0</v>
      </c>
      <c r="G31" s="112">
        <v>0</v>
      </c>
      <c r="H31" s="114">
        <v>1</v>
      </c>
      <c r="I31" s="108">
        <v>0</v>
      </c>
      <c r="J31" s="108">
        <f t="shared" si="2"/>
        <v>1</v>
      </c>
      <c r="K31" s="112">
        <v>0</v>
      </c>
      <c r="L31" s="114">
        <v>1</v>
      </c>
      <c r="M31" s="108">
        <v>0</v>
      </c>
      <c r="N31" s="108">
        <f t="shared" si="3"/>
        <v>1</v>
      </c>
      <c r="O31" s="112">
        <v>0</v>
      </c>
      <c r="P31" s="114">
        <v>1</v>
      </c>
      <c r="Q31" s="108">
        <v>1</v>
      </c>
      <c r="R31" s="108">
        <f t="shared" si="4"/>
        <v>0</v>
      </c>
      <c r="S31" s="112">
        <v>0</v>
      </c>
      <c r="T31" s="114">
        <v>1</v>
      </c>
      <c r="U31" s="108">
        <v>1</v>
      </c>
      <c r="V31" s="108">
        <f t="shared" si="5"/>
        <v>0</v>
      </c>
      <c r="W31" s="112">
        <v>0</v>
      </c>
      <c r="X31" s="114">
        <v>2</v>
      </c>
      <c r="Y31" s="108">
        <v>2</v>
      </c>
      <c r="Z31" s="108">
        <f t="shared" si="6"/>
        <v>0</v>
      </c>
      <c r="AA31" s="112">
        <v>0</v>
      </c>
      <c r="AB31" s="114">
        <v>0</v>
      </c>
      <c r="AC31" s="108">
        <v>0</v>
      </c>
      <c r="AD31" s="108">
        <v>0</v>
      </c>
      <c r="AE31" s="112">
        <v>0</v>
      </c>
      <c r="AF31" s="114">
        <v>2</v>
      </c>
      <c r="AG31" s="108">
        <v>2</v>
      </c>
      <c r="AH31" s="108">
        <f t="shared" si="8"/>
        <v>0</v>
      </c>
      <c r="AI31" s="112">
        <v>0</v>
      </c>
      <c r="AJ31" s="114">
        <v>0</v>
      </c>
      <c r="AK31" s="108">
        <v>0</v>
      </c>
      <c r="AL31" s="108">
        <f t="shared" si="9"/>
        <v>0</v>
      </c>
      <c r="AM31" s="112">
        <v>0</v>
      </c>
      <c r="AN31" s="114">
        <v>0</v>
      </c>
      <c r="AO31" s="108">
        <v>0</v>
      </c>
      <c r="AP31" s="108">
        <f t="shared" si="10"/>
        <v>0</v>
      </c>
      <c r="AQ31" s="112">
        <v>1</v>
      </c>
      <c r="AR31" s="114">
        <v>0</v>
      </c>
      <c r="AS31" s="108">
        <v>0</v>
      </c>
      <c r="AT31" s="108">
        <f t="shared" si="11"/>
        <v>0</v>
      </c>
      <c r="AU31" s="112">
        <v>0</v>
      </c>
      <c r="AV31" s="114">
        <v>0</v>
      </c>
      <c r="AW31" s="108">
        <v>0</v>
      </c>
      <c r="AX31" s="108">
        <f t="shared" si="12"/>
        <v>0</v>
      </c>
      <c r="AY31" s="112">
        <v>0</v>
      </c>
      <c r="AZ31" s="114">
        <v>1</v>
      </c>
      <c r="BA31" s="108">
        <v>1</v>
      </c>
      <c r="BB31" s="108">
        <f t="shared" si="13"/>
        <v>0</v>
      </c>
      <c r="BC31" s="112">
        <v>0</v>
      </c>
      <c r="BD31" s="114">
        <v>0</v>
      </c>
      <c r="BE31" s="108">
        <v>0</v>
      </c>
      <c r="BF31" s="108">
        <f t="shared" si="14"/>
        <v>0</v>
      </c>
      <c r="BG31" s="112">
        <v>0</v>
      </c>
      <c r="BH31" s="114">
        <v>0</v>
      </c>
      <c r="BI31" s="108">
        <v>0</v>
      </c>
      <c r="BJ31" s="108">
        <f t="shared" si="15"/>
        <v>0</v>
      </c>
      <c r="BK31" s="112">
        <v>0</v>
      </c>
      <c r="BL31" s="114">
        <v>0</v>
      </c>
      <c r="BM31" s="108">
        <v>0</v>
      </c>
      <c r="BN31" s="108">
        <f t="shared" si="16"/>
        <v>0</v>
      </c>
      <c r="BO31" s="112">
        <v>0</v>
      </c>
      <c r="BP31" s="114">
        <v>1</v>
      </c>
      <c r="BQ31" s="108">
        <v>0</v>
      </c>
      <c r="BR31" s="108">
        <f t="shared" si="17"/>
        <v>1</v>
      </c>
      <c r="BS31" s="112">
        <v>0</v>
      </c>
      <c r="BT31" s="114">
        <f t="shared" si="18"/>
        <v>9</v>
      </c>
      <c r="BU31" s="108">
        <f t="shared" si="19"/>
        <v>3</v>
      </c>
      <c r="BV31" s="108">
        <f t="shared" si="20"/>
        <v>1</v>
      </c>
      <c r="BW31" s="108">
        <f t="shared" si="21"/>
        <v>0.75</v>
      </c>
      <c r="BX31" s="108">
        <f t="shared" si="22"/>
        <v>0.9</v>
      </c>
      <c r="BY31" s="112">
        <f t="shared" si="23"/>
        <v>0.81818181818181823</v>
      </c>
    </row>
    <row r="32" spans="1:84" x14ac:dyDescent="0.35">
      <c r="A32" s="108" t="s">
        <v>48</v>
      </c>
      <c r="B32" s="148"/>
      <c r="C32" s="112" t="s">
        <v>73</v>
      </c>
      <c r="D32" s="114">
        <v>2</v>
      </c>
      <c r="E32" s="108">
        <v>2</v>
      </c>
      <c r="F32" s="108">
        <f t="shared" si="1"/>
        <v>0</v>
      </c>
      <c r="G32" s="112">
        <v>0</v>
      </c>
      <c r="H32" s="114">
        <v>1</v>
      </c>
      <c r="I32" s="108">
        <v>0</v>
      </c>
      <c r="J32" s="108">
        <f t="shared" si="2"/>
        <v>1</v>
      </c>
      <c r="K32" s="112">
        <v>0</v>
      </c>
      <c r="L32" s="114">
        <v>1</v>
      </c>
      <c r="M32" s="108">
        <v>0</v>
      </c>
      <c r="N32" s="108">
        <f t="shared" si="3"/>
        <v>1</v>
      </c>
      <c r="O32" s="112">
        <v>0</v>
      </c>
      <c r="P32" s="114">
        <v>1</v>
      </c>
      <c r="Q32" s="108">
        <v>1</v>
      </c>
      <c r="R32" s="108">
        <f t="shared" si="4"/>
        <v>0</v>
      </c>
      <c r="S32" s="112">
        <v>0</v>
      </c>
      <c r="T32" s="114">
        <v>1</v>
      </c>
      <c r="U32" s="108">
        <v>1</v>
      </c>
      <c r="V32" s="108">
        <f t="shared" si="5"/>
        <v>0</v>
      </c>
      <c r="W32" s="112">
        <v>0</v>
      </c>
      <c r="X32" s="114">
        <v>2</v>
      </c>
      <c r="Y32" s="108">
        <v>2</v>
      </c>
      <c r="Z32" s="108">
        <f t="shared" si="6"/>
        <v>0</v>
      </c>
      <c r="AA32" s="112">
        <v>0</v>
      </c>
      <c r="AB32" s="114">
        <v>0</v>
      </c>
      <c r="AC32" s="108">
        <v>0</v>
      </c>
      <c r="AD32" s="108">
        <v>0</v>
      </c>
      <c r="AE32" s="112">
        <v>0</v>
      </c>
      <c r="AF32" s="114">
        <v>2</v>
      </c>
      <c r="AG32" s="108">
        <v>2</v>
      </c>
      <c r="AH32" s="108">
        <f t="shared" si="8"/>
        <v>0</v>
      </c>
      <c r="AI32" s="112">
        <v>0</v>
      </c>
      <c r="AJ32" s="114">
        <v>0</v>
      </c>
      <c r="AK32" s="108">
        <v>0</v>
      </c>
      <c r="AL32" s="108">
        <f t="shared" si="9"/>
        <v>0</v>
      </c>
      <c r="AM32" s="112">
        <v>0</v>
      </c>
      <c r="AN32" s="114">
        <v>0</v>
      </c>
      <c r="AO32" s="108">
        <v>0</v>
      </c>
      <c r="AP32" s="108">
        <f t="shared" si="10"/>
        <v>0</v>
      </c>
      <c r="AQ32" s="112">
        <v>0</v>
      </c>
      <c r="AR32" s="114">
        <v>0</v>
      </c>
      <c r="AS32" s="108">
        <v>0</v>
      </c>
      <c r="AT32" s="108">
        <f t="shared" si="11"/>
        <v>0</v>
      </c>
      <c r="AU32" s="112">
        <v>0</v>
      </c>
      <c r="AV32" s="114">
        <v>0</v>
      </c>
      <c r="AW32" s="108">
        <v>0</v>
      </c>
      <c r="AX32" s="108">
        <f t="shared" si="12"/>
        <v>0</v>
      </c>
      <c r="AY32" s="112">
        <v>0</v>
      </c>
      <c r="AZ32" s="114">
        <v>1</v>
      </c>
      <c r="BA32" s="108">
        <v>1</v>
      </c>
      <c r="BB32" s="108">
        <f t="shared" si="13"/>
        <v>0</v>
      </c>
      <c r="BC32" s="112">
        <v>0</v>
      </c>
      <c r="BD32" s="114">
        <v>0</v>
      </c>
      <c r="BE32" s="108">
        <v>0</v>
      </c>
      <c r="BF32" s="108">
        <f t="shared" si="14"/>
        <v>0</v>
      </c>
      <c r="BG32" s="112">
        <v>0</v>
      </c>
      <c r="BH32" s="114">
        <v>0</v>
      </c>
      <c r="BI32" s="108">
        <v>0</v>
      </c>
      <c r="BJ32" s="108">
        <f t="shared" si="15"/>
        <v>0</v>
      </c>
      <c r="BK32" s="112">
        <v>0</v>
      </c>
      <c r="BL32" s="114">
        <v>0</v>
      </c>
      <c r="BM32" s="108">
        <v>0</v>
      </c>
      <c r="BN32" s="108">
        <f t="shared" si="16"/>
        <v>0</v>
      </c>
      <c r="BO32" s="112">
        <v>0</v>
      </c>
      <c r="BP32" s="114">
        <v>1</v>
      </c>
      <c r="BQ32" s="108">
        <v>1</v>
      </c>
      <c r="BR32" s="108">
        <f t="shared" si="17"/>
        <v>0</v>
      </c>
      <c r="BS32" s="112">
        <v>0</v>
      </c>
      <c r="BT32" s="114">
        <f t="shared" si="18"/>
        <v>10</v>
      </c>
      <c r="BU32" s="108">
        <f t="shared" si="19"/>
        <v>2</v>
      </c>
      <c r="BV32" s="108">
        <f t="shared" si="20"/>
        <v>0</v>
      </c>
      <c r="BW32" s="108">
        <f t="shared" si="21"/>
        <v>0.83333333333333337</v>
      </c>
      <c r="BX32" s="108">
        <f t="shared" si="22"/>
        <v>1</v>
      </c>
      <c r="BY32" s="112">
        <f t="shared" si="23"/>
        <v>0.90909090909090906</v>
      </c>
    </row>
    <row r="33" spans="1:77" x14ac:dyDescent="0.35">
      <c r="A33" s="109" t="s">
        <v>48</v>
      </c>
      <c r="B33" s="148"/>
      <c r="C33" s="113" t="s">
        <v>43</v>
      </c>
      <c r="D33" s="115">
        <v>1</v>
      </c>
      <c r="E33" s="109">
        <v>1</v>
      </c>
      <c r="F33" s="109">
        <f t="shared" si="1"/>
        <v>0</v>
      </c>
      <c r="G33" s="113">
        <v>0</v>
      </c>
      <c r="H33" s="115">
        <v>1</v>
      </c>
      <c r="I33" s="109">
        <v>1</v>
      </c>
      <c r="J33" s="109">
        <f t="shared" si="2"/>
        <v>0</v>
      </c>
      <c r="K33" s="113">
        <v>0</v>
      </c>
      <c r="L33" s="115">
        <v>0</v>
      </c>
      <c r="M33" s="109">
        <v>0</v>
      </c>
      <c r="N33" s="109">
        <f t="shared" si="3"/>
        <v>0</v>
      </c>
      <c r="O33" s="113">
        <v>0</v>
      </c>
      <c r="P33" s="115">
        <v>5</v>
      </c>
      <c r="Q33" s="109">
        <v>5</v>
      </c>
      <c r="R33" s="109">
        <f t="shared" si="4"/>
        <v>0</v>
      </c>
      <c r="S33" s="113">
        <v>0</v>
      </c>
      <c r="T33" s="115">
        <v>5</v>
      </c>
      <c r="U33" s="109">
        <v>3</v>
      </c>
      <c r="V33" s="109">
        <f t="shared" si="5"/>
        <v>2</v>
      </c>
      <c r="W33" s="113">
        <v>2</v>
      </c>
      <c r="X33" s="115">
        <v>0</v>
      </c>
      <c r="Y33" s="109">
        <v>0</v>
      </c>
      <c r="Z33" s="109">
        <f t="shared" si="6"/>
        <v>0</v>
      </c>
      <c r="AA33" s="113">
        <v>0</v>
      </c>
      <c r="AB33" s="115">
        <v>0</v>
      </c>
      <c r="AC33" s="109">
        <v>0</v>
      </c>
      <c r="AD33" s="109">
        <v>0</v>
      </c>
      <c r="AE33" s="113">
        <v>0</v>
      </c>
      <c r="AF33" s="115">
        <v>0</v>
      </c>
      <c r="AG33" s="109">
        <v>0</v>
      </c>
      <c r="AH33" s="109">
        <f t="shared" si="8"/>
        <v>0</v>
      </c>
      <c r="AI33" s="113">
        <v>0</v>
      </c>
      <c r="AJ33" s="115">
        <v>0</v>
      </c>
      <c r="AK33" s="109">
        <v>0</v>
      </c>
      <c r="AL33" s="109">
        <f t="shared" si="9"/>
        <v>0</v>
      </c>
      <c r="AM33" s="113">
        <v>0</v>
      </c>
      <c r="AN33" s="115">
        <v>0</v>
      </c>
      <c r="AO33" s="109">
        <v>0</v>
      </c>
      <c r="AP33" s="109">
        <f t="shared" si="10"/>
        <v>0</v>
      </c>
      <c r="AQ33" s="113">
        <v>0</v>
      </c>
      <c r="AR33" s="115">
        <v>0</v>
      </c>
      <c r="AS33" s="109">
        <v>0</v>
      </c>
      <c r="AT33" s="109">
        <f t="shared" si="11"/>
        <v>0</v>
      </c>
      <c r="AU33" s="113">
        <v>0</v>
      </c>
      <c r="AV33" s="115">
        <v>0</v>
      </c>
      <c r="AW33" s="109">
        <v>0</v>
      </c>
      <c r="AX33" s="109">
        <f t="shared" si="12"/>
        <v>0</v>
      </c>
      <c r="AY33" s="113">
        <v>0</v>
      </c>
      <c r="AZ33" s="115">
        <v>0</v>
      </c>
      <c r="BA33" s="109">
        <v>0</v>
      </c>
      <c r="BB33" s="109">
        <f t="shared" si="13"/>
        <v>0</v>
      </c>
      <c r="BC33" s="113">
        <v>0</v>
      </c>
      <c r="BD33" s="115">
        <v>0</v>
      </c>
      <c r="BE33" s="109">
        <v>0</v>
      </c>
      <c r="BF33" s="109">
        <f t="shared" si="14"/>
        <v>0</v>
      </c>
      <c r="BG33" s="113">
        <v>0</v>
      </c>
      <c r="BH33" s="115">
        <v>0</v>
      </c>
      <c r="BI33" s="109">
        <v>0</v>
      </c>
      <c r="BJ33" s="109">
        <f t="shared" si="15"/>
        <v>0</v>
      </c>
      <c r="BK33" s="113">
        <v>0</v>
      </c>
      <c r="BL33" s="115">
        <v>0</v>
      </c>
      <c r="BM33" s="109">
        <v>0</v>
      </c>
      <c r="BN33" s="109">
        <f t="shared" si="16"/>
        <v>0</v>
      </c>
      <c r="BO33" s="113">
        <v>0</v>
      </c>
      <c r="BP33" s="115">
        <v>0</v>
      </c>
      <c r="BQ33" s="109">
        <v>0</v>
      </c>
      <c r="BR33" s="109">
        <f t="shared" si="17"/>
        <v>0</v>
      </c>
      <c r="BS33" s="113">
        <v>0</v>
      </c>
      <c r="BT33" s="115">
        <f t="shared" si="18"/>
        <v>10</v>
      </c>
      <c r="BU33" s="109">
        <f t="shared" si="19"/>
        <v>2</v>
      </c>
      <c r="BV33" s="109">
        <f t="shared" si="20"/>
        <v>2</v>
      </c>
      <c r="BW33" s="109">
        <f t="shared" si="21"/>
        <v>0.83333333333333337</v>
      </c>
      <c r="BX33" s="109">
        <f t="shared" si="22"/>
        <v>0.83333333333333337</v>
      </c>
      <c r="BY33" s="113">
        <f t="shared" si="23"/>
        <v>0.83333333333333337</v>
      </c>
    </row>
    <row r="34" spans="1:77" ht="15" thickBot="1" x14ac:dyDescent="0.4">
      <c r="A34" s="109" t="s">
        <v>48</v>
      </c>
      <c r="B34" s="148"/>
      <c r="C34" s="113" t="s">
        <v>74</v>
      </c>
      <c r="D34" s="130">
        <v>1</v>
      </c>
      <c r="E34" s="131">
        <v>1</v>
      </c>
      <c r="F34" s="131">
        <f t="shared" si="1"/>
        <v>0</v>
      </c>
      <c r="G34" s="129">
        <v>0</v>
      </c>
      <c r="H34" s="130">
        <v>1</v>
      </c>
      <c r="I34" s="131">
        <v>1</v>
      </c>
      <c r="J34" s="131">
        <f t="shared" si="2"/>
        <v>0</v>
      </c>
      <c r="K34" s="129">
        <v>0</v>
      </c>
      <c r="L34" s="130">
        <v>0</v>
      </c>
      <c r="M34" s="131">
        <v>0</v>
      </c>
      <c r="N34" s="131">
        <f t="shared" si="3"/>
        <v>0</v>
      </c>
      <c r="O34" s="129">
        <v>0</v>
      </c>
      <c r="P34" s="130">
        <v>5</v>
      </c>
      <c r="Q34" s="131">
        <v>5</v>
      </c>
      <c r="R34" s="131">
        <f t="shared" si="4"/>
        <v>0</v>
      </c>
      <c r="S34" s="129">
        <v>0</v>
      </c>
      <c r="T34" s="130">
        <v>5</v>
      </c>
      <c r="U34" s="131">
        <v>4</v>
      </c>
      <c r="V34" s="131">
        <f t="shared" si="5"/>
        <v>1</v>
      </c>
      <c r="W34" s="129">
        <v>1</v>
      </c>
      <c r="X34" s="130">
        <v>0</v>
      </c>
      <c r="Y34" s="131">
        <v>0</v>
      </c>
      <c r="Z34" s="131">
        <f t="shared" si="6"/>
        <v>0</v>
      </c>
      <c r="AA34" s="129">
        <v>0</v>
      </c>
      <c r="AB34" s="130">
        <v>0</v>
      </c>
      <c r="AC34" s="131">
        <v>0</v>
      </c>
      <c r="AD34" s="131">
        <v>0</v>
      </c>
      <c r="AE34" s="129">
        <v>0</v>
      </c>
      <c r="AF34" s="130">
        <v>0</v>
      </c>
      <c r="AG34" s="131">
        <v>0</v>
      </c>
      <c r="AH34" s="131">
        <f t="shared" si="8"/>
        <v>0</v>
      </c>
      <c r="AI34" s="129">
        <v>0</v>
      </c>
      <c r="AJ34" s="130">
        <v>0</v>
      </c>
      <c r="AK34" s="131">
        <v>0</v>
      </c>
      <c r="AL34" s="131">
        <f t="shared" si="9"/>
        <v>0</v>
      </c>
      <c r="AM34" s="129">
        <v>0</v>
      </c>
      <c r="AN34" s="130">
        <v>0</v>
      </c>
      <c r="AO34" s="131">
        <v>0</v>
      </c>
      <c r="AP34" s="131">
        <f t="shared" si="10"/>
        <v>0</v>
      </c>
      <c r="AQ34" s="129">
        <v>0</v>
      </c>
      <c r="AR34" s="130">
        <v>0</v>
      </c>
      <c r="AS34" s="131">
        <v>0</v>
      </c>
      <c r="AT34" s="131">
        <f t="shared" si="11"/>
        <v>0</v>
      </c>
      <c r="AU34" s="129">
        <v>0</v>
      </c>
      <c r="AV34" s="130">
        <v>0</v>
      </c>
      <c r="AW34" s="131">
        <v>0</v>
      </c>
      <c r="AX34" s="131">
        <f t="shared" si="12"/>
        <v>0</v>
      </c>
      <c r="AY34" s="129">
        <v>0</v>
      </c>
      <c r="AZ34" s="130">
        <v>0</v>
      </c>
      <c r="BA34" s="131">
        <v>0</v>
      </c>
      <c r="BB34" s="131">
        <f t="shared" si="13"/>
        <v>0</v>
      </c>
      <c r="BC34" s="129">
        <v>0</v>
      </c>
      <c r="BD34" s="130">
        <v>0</v>
      </c>
      <c r="BE34" s="131">
        <v>0</v>
      </c>
      <c r="BF34" s="131">
        <f t="shared" si="14"/>
        <v>0</v>
      </c>
      <c r="BG34" s="129">
        <v>0</v>
      </c>
      <c r="BH34" s="132">
        <v>0</v>
      </c>
      <c r="BI34" s="131">
        <v>0</v>
      </c>
      <c r="BJ34" s="131">
        <f t="shared" si="15"/>
        <v>0</v>
      </c>
      <c r="BK34" s="129">
        <v>0</v>
      </c>
      <c r="BL34" s="130">
        <v>0</v>
      </c>
      <c r="BM34" s="131">
        <v>0</v>
      </c>
      <c r="BN34" s="131">
        <f t="shared" si="16"/>
        <v>0</v>
      </c>
      <c r="BO34" s="129">
        <v>0</v>
      </c>
      <c r="BP34" s="130">
        <v>0</v>
      </c>
      <c r="BQ34" s="131">
        <v>0</v>
      </c>
      <c r="BR34" s="131">
        <f t="shared" si="17"/>
        <v>0</v>
      </c>
      <c r="BS34" s="129">
        <v>0</v>
      </c>
      <c r="BT34" s="130">
        <f t="shared" si="18"/>
        <v>11</v>
      </c>
      <c r="BU34" s="131">
        <f t="shared" si="19"/>
        <v>1</v>
      </c>
      <c r="BV34" s="131">
        <f t="shared" si="20"/>
        <v>1</v>
      </c>
      <c r="BW34" s="131">
        <f t="shared" si="21"/>
        <v>0.91666666666666663</v>
      </c>
      <c r="BX34" s="131">
        <f t="shared" si="22"/>
        <v>0.91666666666666663</v>
      </c>
      <c r="BY34" s="129">
        <f t="shared" si="23"/>
        <v>0.91666666666666663</v>
      </c>
    </row>
    <row r="35" spans="1:77" ht="15" thickTop="1" x14ac:dyDescent="0.35">
      <c r="C35" s="5" t="s">
        <v>111</v>
      </c>
      <c r="D35" s="48">
        <f>SUM(D3:D34)</f>
        <v>68</v>
      </c>
      <c r="E35" s="48">
        <f t="shared" ref="E35:BP35" si="40">SUM(E3:E34)</f>
        <v>68</v>
      </c>
      <c r="F35" s="48">
        <f t="shared" si="40"/>
        <v>0</v>
      </c>
      <c r="G35" s="48">
        <f t="shared" si="40"/>
        <v>0</v>
      </c>
      <c r="H35" s="48">
        <f t="shared" si="40"/>
        <v>46</v>
      </c>
      <c r="I35" s="48">
        <f t="shared" si="40"/>
        <v>14</v>
      </c>
      <c r="J35" s="48">
        <f t="shared" si="40"/>
        <v>32</v>
      </c>
      <c r="K35" s="48">
        <f t="shared" si="40"/>
        <v>0</v>
      </c>
      <c r="L35" s="48">
        <f t="shared" si="40"/>
        <v>38</v>
      </c>
      <c r="M35" s="48">
        <f t="shared" si="40"/>
        <v>5</v>
      </c>
      <c r="N35" s="48">
        <f t="shared" si="40"/>
        <v>33</v>
      </c>
      <c r="O35" s="48">
        <f t="shared" si="40"/>
        <v>0</v>
      </c>
      <c r="P35" s="48">
        <f t="shared" si="40"/>
        <v>48</v>
      </c>
      <c r="Q35" s="48">
        <f t="shared" si="40"/>
        <v>48</v>
      </c>
      <c r="R35" s="48">
        <f t="shared" si="40"/>
        <v>0</v>
      </c>
      <c r="S35" s="48">
        <f t="shared" si="40"/>
        <v>16</v>
      </c>
      <c r="T35" s="48">
        <f t="shared" si="40"/>
        <v>48</v>
      </c>
      <c r="U35" s="48">
        <f t="shared" si="40"/>
        <v>45</v>
      </c>
      <c r="V35" s="48">
        <f t="shared" si="40"/>
        <v>3</v>
      </c>
      <c r="W35" s="48">
        <f t="shared" si="40"/>
        <v>3</v>
      </c>
      <c r="X35" s="48">
        <f t="shared" si="40"/>
        <v>72</v>
      </c>
      <c r="Y35" s="48">
        <f t="shared" si="40"/>
        <v>72</v>
      </c>
      <c r="Z35" s="48">
        <f t="shared" si="40"/>
        <v>0</v>
      </c>
      <c r="AA35" s="48">
        <f t="shared" si="40"/>
        <v>5</v>
      </c>
      <c r="AB35" s="48">
        <f t="shared" si="40"/>
        <v>20</v>
      </c>
      <c r="AC35" s="48">
        <f>SUM(AC3:AC34)</f>
        <v>20</v>
      </c>
      <c r="AD35" s="48">
        <f t="shared" si="40"/>
        <v>0</v>
      </c>
      <c r="AE35" s="48">
        <f t="shared" si="40"/>
        <v>1</v>
      </c>
      <c r="AF35" s="48">
        <f t="shared" si="40"/>
        <v>72</v>
      </c>
      <c r="AG35" s="48">
        <f t="shared" si="40"/>
        <v>72</v>
      </c>
      <c r="AH35" s="48">
        <f t="shared" si="40"/>
        <v>0</v>
      </c>
      <c r="AI35" s="48">
        <f t="shared" si="40"/>
        <v>0</v>
      </c>
      <c r="AJ35" s="48">
        <f t="shared" si="40"/>
        <v>16</v>
      </c>
      <c r="AK35" s="48">
        <f t="shared" si="40"/>
        <v>13</v>
      </c>
      <c r="AL35" s="48">
        <f t="shared" si="40"/>
        <v>3</v>
      </c>
      <c r="AM35" s="48">
        <f t="shared" si="40"/>
        <v>2</v>
      </c>
      <c r="AN35" s="48">
        <f t="shared" si="40"/>
        <v>2</v>
      </c>
      <c r="AO35" s="48">
        <f t="shared" si="40"/>
        <v>0</v>
      </c>
      <c r="AP35" s="48">
        <f t="shared" si="40"/>
        <v>2</v>
      </c>
      <c r="AQ35" s="48">
        <f t="shared" si="40"/>
        <v>2</v>
      </c>
      <c r="AR35" s="48">
        <f t="shared" si="40"/>
        <v>4</v>
      </c>
      <c r="AS35" s="48">
        <f t="shared" si="40"/>
        <v>0</v>
      </c>
      <c r="AT35" s="48">
        <f t="shared" si="40"/>
        <v>4</v>
      </c>
      <c r="AU35" s="48">
        <f t="shared" si="40"/>
        <v>6</v>
      </c>
      <c r="AV35" s="48">
        <f t="shared" si="40"/>
        <v>8</v>
      </c>
      <c r="AW35" s="48">
        <f t="shared" si="40"/>
        <v>4</v>
      </c>
      <c r="AX35" s="48">
        <f t="shared" si="40"/>
        <v>4</v>
      </c>
      <c r="AY35" s="48">
        <f t="shared" si="40"/>
        <v>10</v>
      </c>
      <c r="AZ35" s="48">
        <f t="shared" si="40"/>
        <v>36</v>
      </c>
      <c r="BA35" s="48">
        <f t="shared" si="40"/>
        <v>21</v>
      </c>
      <c r="BB35" s="48">
        <f t="shared" si="40"/>
        <v>15</v>
      </c>
      <c r="BC35" s="48">
        <f t="shared" si="40"/>
        <v>8</v>
      </c>
      <c r="BD35" s="48">
        <f t="shared" si="40"/>
        <v>8</v>
      </c>
      <c r="BE35" s="48">
        <f t="shared" si="40"/>
        <v>2</v>
      </c>
      <c r="BF35" s="48">
        <f t="shared" si="40"/>
        <v>6</v>
      </c>
      <c r="BG35" s="48">
        <f t="shared" si="40"/>
        <v>0</v>
      </c>
      <c r="BH35" s="48">
        <f t="shared" si="40"/>
        <v>2</v>
      </c>
      <c r="BI35" s="48">
        <f t="shared" si="40"/>
        <v>1</v>
      </c>
      <c r="BJ35" s="48">
        <f t="shared" si="40"/>
        <v>1</v>
      </c>
      <c r="BK35" s="48">
        <f t="shared" si="40"/>
        <v>0</v>
      </c>
      <c r="BL35" s="48">
        <f t="shared" si="40"/>
        <v>0</v>
      </c>
      <c r="BM35" s="48">
        <f t="shared" si="40"/>
        <v>0</v>
      </c>
      <c r="BN35" s="48">
        <f t="shared" si="40"/>
        <v>0</v>
      </c>
      <c r="BO35" s="48">
        <f t="shared" si="40"/>
        <v>13</v>
      </c>
      <c r="BP35" s="48">
        <f t="shared" si="40"/>
        <v>6</v>
      </c>
      <c r="BQ35" s="48">
        <f t="shared" ref="BQ35:BS35" si="41">SUM(BQ3:BQ34)</f>
        <v>1</v>
      </c>
      <c r="BR35" s="48">
        <f t="shared" si="41"/>
        <v>5</v>
      </c>
      <c r="BS35" s="48">
        <f t="shared" si="41"/>
        <v>0</v>
      </c>
    </row>
    <row r="37" spans="1:77" x14ac:dyDescent="0.35">
      <c r="C37" s="134" t="s">
        <v>23</v>
      </c>
      <c r="D37" s="143">
        <f>IFERROR(E35/(E35+F35),"")</f>
        <v>1</v>
      </c>
      <c r="E37" s="144"/>
      <c r="F37" s="144"/>
      <c r="G37" s="145"/>
      <c r="H37" s="143">
        <f t="shared" ref="H37" si="42">IFERROR(I35/(I35+J35),"")</f>
        <v>0.30434782608695654</v>
      </c>
      <c r="I37" s="144"/>
      <c r="J37" s="144"/>
      <c r="K37" s="145"/>
      <c r="L37" s="143">
        <f t="shared" ref="L37" si="43">IFERROR(M35/(M35+N35),"")</f>
        <v>0.13157894736842105</v>
      </c>
      <c r="M37" s="144"/>
      <c r="N37" s="144"/>
      <c r="O37" s="145"/>
      <c r="P37" s="143">
        <f t="shared" ref="P37" si="44">IFERROR(Q35/(Q35+R35),"")</f>
        <v>1</v>
      </c>
      <c r="Q37" s="144"/>
      <c r="R37" s="144"/>
      <c r="S37" s="145"/>
      <c r="T37" s="143">
        <f t="shared" ref="T37" si="45">IFERROR(U35/(U35+V35),"")</f>
        <v>0.9375</v>
      </c>
      <c r="U37" s="144"/>
      <c r="V37" s="144"/>
      <c r="W37" s="145"/>
      <c r="X37" s="143">
        <f t="shared" ref="X37" si="46">IFERROR(Y35/(Y35+Z35),"")</f>
        <v>1</v>
      </c>
      <c r="Y37" s="144"/>
      <c r="Z37" s="144"/>
      <c r="AA37" s="145"/>
      <c r="AB37" s="143">
        <f t="shared" ref="AB37" si="47">IFERROR(AC35/(AC35+AD35),"")</f>
        <v>1</v>
      </c>
      <c r="AC37" s="144"/>
      <c r="AD37" s="144"/>
      <c r="AE37" s="145"/>
      <c r="AF37" s="143">
        <f t="shared" ref="AF37" si="48">IFERROR(AG35/(AG35+AH35),"")</f>
        <v>1</v>
      </c>
      <c r="AG37" s="144"/>
      <c r="AH37" s="144"/>
      <c r="AI37" s="145"/>
      <c r="AJ37" s="143">
        <f t="shared" ref="AJ37" si="49">IFERROR(AK35/(AK35+AL35),"")</f>
        <v>0.8125</v>
      </c>
      <c r="AK37" s="144"/>
      <c r="AL37" s="144"/>
      <c r="AM37" s="145"/>
      <c r="AN37" s="143">
        <f t="shared" ref="AN37" si="50">IFERROR(AO35/(AO35+AP35),"")</f>
        <v>0</v>
      </c>
      <c r="AO37" s="144"/>
      <c r="AP37" s="144"/>
      <c r="AQ37" s="145"/>
      <c r="AR37" s="143">
        <f t="shared" ref="AR37" si="51">IFERROR(AS35/(AS35+AT35),"")</f>
        <v>0</v>
      </c>
      <c r="AS37" s="144"/>
      <c r="AT37" s="144"/>
      <c r="AU37" s="145"/>
      <c r="AV37" s="143">
        <f t="shared" ref="AV37" si="52">IFERROR(AW35/(AW35+AX35),"")</f>
        <v>0.5</v>
      </c>
      <c r="AW37" s="144"/>
      <c r="AX37" s="144"/>
      <c r="AY37" s="145"/>
      <c r="AZ37" s="143">
        <f t="shared" ref="AZ37" si="53">IFERROR(BA35/(BA35+BB35),"")</f>
        <v>0.58333333333333337</v>
      </c>
      <c r="BA37" s="144"/>
      <c r="BB37" s="144"/>
      <c r="BC37" s="145"/>
      <c r="BD37" s="143">
        <f t="shared" ref="BD37" si="54">IFERROR(BE35/(BE35+BF35),"")</f>
        <v>0.25</v>
      </c>
      <c r="BE37" s="144"/>
      <c r="BF37" s="144"/>
      <c r="BG37" s="145"/>
      <c r="BH37" s="143">
        <f t="shared" ref="BH37" si="55">IFERROR(BI35/(BI35+BJ35),"")</f>
        <v>0.5</v>
      </c>
      <c r="BI37" s="144"/>
      <c r="BJ37" s="144"/>
      <c r="BK37" s="145"/>
      <c r="BL37" s="143" t="str">
        <f t="shared" ref="BL37" si="56">IFERROR(BM35/(BM35+BN35),"")</f>
        <v/>
      </c>
      <c r="BM37" s="144"/>
      <c r="BN37" s="144"/>
      <c r="BO37" s="145"/>
      <c r="BP37" s="143">
        <f t="shared" ref="BP37" si="57">IFERROR(BQ35/(BQ35+BR35),"")</f>
        <v>0.16666666666666666</v>
      </c>
      <c r="BQ37" s="144"/>
      <c r="BR37" s="144"/>
      <c r="BS37" s="145"/>
    </row>
    <row r="38" spans="1:77" x14ac:dyDescent="0.35">
      <c r="C38" s="134" t="s">
        <v>141</v>
      </c>
      <c r="D38" s="143">
        <f>IFERROR(E35/(E35+G35),"")</f>
        <v>1</v>
      </c>
      <c r="E38" s="144"/>
      <c r="F38" s="144"/>
      <c r="G38" s="145"/>
      <c r="H38" s="143">
        <f t="shared" ref="H38" si="58">IFERROR(I35/(I35+K35),"")</f>
        <v>1</v>
      </c>
      <c r="I38" s="144"/>
      <c r="J38" s="144"/>
      <c r="K38" s="145"/>
      <c r="L38" s="143">
        <f t="shared" ref="L38" si="59">IFERROR(M35/(M35+O35),"")</f>
        <v>1</v>
      </c>
      <c r="M38" s="144"/>
      <c r="N38" s="144"/>
      <c r="O38" s="145"/>
      <c r="P38" s="143">
        <f t="shared" ref="P38" si="60">IFERROR(Q35/(Q35+S35),"")</f>
        <v>0.75</v>
      </c>
      <c r="Q38" s="144"/>
      <c r="R38" s="144"/>
      <c r="S38" s="145"/>
      <c r="T38" s="143">
        <f t="shared" ref="T38" si="61">IFERROR(U35/(U35+W35),"")</f>
        <v>0.9375</v>
      </c>
      <c r="U38" s="144"/>
      <c r="V38" s="144"/>
      <c r="W38" s="145"/>
      <c r="X38" s="143">
        <f t="shared" ref="X38" si="62">IFERROR(Y35/(Y35+AA35),"")</f>
        <v>0.93506493506493504</v>
      </c>
      <c r="Y38" s="144"/>
      <c r="Z38" s="144"/>
      <c r="AA38" s="145"/>
      <c r="AB38" s="143">
        <f t="shared" ref="AB38" si="63">IFERROR(AC35/(AC35+AE35),"")</f>
        <v>0.95238095238095233</v>
      </c>
      <c r="AC38" s="144"/>
      <c r="AD38" s="144"/>
      <c r="AE38" s="145"/>
      <c r="AF38" s="143">
        <f t="shared" ref="AF38" si="64">IFERROR(AG35/(AG35+AI35),"")</f>
        <v>1</v>
      </c>
      <c r="AG38" s="144"/>
      <c r="AH38" s="144"/>
      <c r="AI38" s="145"/>
      <c r="AJ38" s="143">
        <f t="shared" ref="AJ38" si="65">IFERROR(AK35/(AK35+AM35),"")</f>
        <v>0.8666666666666667</v>
      </c>
      <c r="AK38" s="144"/>
      <c r="AL38" s="144"/>
      <c r="AM38" s="145"/>
      <c r="AN38" s="143">
        <f t="shared" ref="AN38" si="66">IFERROR(AO35/(AO35+AQ35),"")</f>
        <v>0</v>
      </c>
      <c r="AO38" s="144"/>
      <c r="AP38" s="144"/>
      <c r="AQ38" s="145"/>
      <c r="AR38" s="143">
        <f t="shared" ref="AR38" si="67">IFERROR(AS35/(AS35+AU35),"")</f>
        <v>0</v>
      </c>
      <c r="AS38" s="144"/>
      <c r="AT38" s="144"/>
      <c r="AU38" s="145"/>
      <c r="AV38" s="143">
        <f t="shared" ref="AV38" si="68">IFERROR(AW35/(AW35+AY35),"")</f>
        <v>0.2857142857142857</v>
      </c>
      <c r="AW38" s="144"/>
      <c r="AX38" s="144"/>
      <c r="AY38" s="145"/>
      <c r="AZ38" s="143">
        <f t="shared" ref="AZ38" si="69">IFERROR(BA35/(BA35+BC35),"")</f>
        <v>0.72413793103448276</v>
      </c>
      <c r="BA38" s="144"/>
      <c r="BB38" s="144"/>
      <c r="BC38" s="145"/>
      <c r="BD38" s="143">
        <f t="shared" ref="BD38" si="70">IFERROR(BE35/(BE35+BG35),"")</f>
        <v>1</v>
      </c>
      <c r="BE38" s="144"/>
      <c r="BF38" s="144"/>
      <c r="BG38" s="145"/>
      <c r="BH38" s="143">
        <f t="shared" ref="BH38" si="71">IFERROR(BI35/(BI35+BK35),"")</f>
        <v>1</v>
      </c>
      <c r="BI38" s="144"/>
      <c r="BJ38" s="144"/>
      <c r="BK38" s="145"/>
      <c r="BL38" s="143">
        <f t="shared" ref="BL38" si="72">IFERROR(BM35/(BM35+BO35),"")</f>
        <v>0</v>
      </c>
      <c r="BM38" s="144"/>
      <c r="BN38" s="144"/>
      <c r="BO38" s="145"/>
      <c r="BP38" s="143">
        <f t="shared" ref="BP38" si="73">IFERROR(BQ35/(BQ35+BS35),"")</f>
        <v>1</v>
      </c>
      <c r="BQ38" s="144"/>
      <c r="BR38" s="144"/>
      <c r="BS38" s="145"/>
    </row>
    <row r="39" spans="1:77" x14ac:dyDescent="0.35">
      <c r="C39" s="134" t="s">
        <v>24</v>
      </c>
      <c r="D39" s="143">
        <f>IFERROR(2*D37*D38/(D37+D38),IF(AND(D37=0,D38=0),0,""))</f>
        <v>1</v>
      </c>
      <c r="E39" s="144"/>
      <c r="F39" s="144"/>
      <c r="G39" s="145"/>
      <c r="H39" s="143">
        <f t="shared" ref="H39" si="74">IFERROR(2*H37*H38/(H37+H38),IF(AND(H37=0,H38=0),0,""))</f>
        <v>0.46666666666666667</v>
      </c>
      <c r="I39" s="144"/>
      <c r="J39" s="144"/>
      <c r="K39" s="145"/>
      <c r="L39" s="143">
        <f t="shared" ref="L39" si="75">IFERROR(2*L37*L38/(L37+L38),IF(AND(L37=0,L38=0),0,""))</f>
        <v>0.23255813953488372</v>
      </c>
      <c r="M39" s="144"/>
      <c r="N39" s="144"/>
      <c r="O39" s="145"/>
      <c r="P39" s="143">
        <f t="shared" ref="P39" si="76">IFERROR(2*P37*P38/(P37+P38),IF(AND(P37=0,P38=0),0,""))</f>
        <v>0.8571428571428571</v>
      </c>
      <c r="Q39" s="144"/>
      <c r="R39" s="144"/>
      <c r="S39" s="145"/>
      <c r="T39" s="143">
        <f t="shared" ref="T39" si="77">IFERROR(2*T37*T38/(T37+T38),IF(AND(T37=0,T38=0),0,""))</f>
        <v>0.9375</v>
      </c>
      <c r="U39" s="144"/>
      <c r="V39" s="144"/>
      <c r="W39" s="145"/>
      <c r="X39" s="143">
        <f t="shared" ref="X39" si="78">IFERROR(2*X37*X38/(X37+X38),IF(AND(X37=0,X38=0),0,""))</f>
        <v>0.96644295302013428</v>
      </c>
      <c r="Y39" s="144"/>
      <c r="Z39" s="144"/>
      <c r="AA39" s="145"/>
      <c r="AB39" s="143">
        <f t="shared" ref="AB39" si="79">IFERROR(2*AB37*AB38/(AB37+AB38),IF(AND(AB37=0,AB38=0),0,""))</f>
        <v>0.97560975609756095</v>
      </c>
      <c r="AC39" s="144"/>
      <c r="AD39" s="144"/>
      <c r="AE39" s="145"/>
      <c r="AF39" s="143">
        <f t="shared" ref="AF39" si="80">IFERROR(2*AF37*AF38/(AF37+AF38),IF(AND(AF37=0,AF38=0),0,""))</f>
        <v>1</v>
      </c>
      <c r="AG39" s="144"/>
      <c r="AH39" s="144"/>
      <c r="AI39" s="145"/>
      <c r="AJ39" s="143">
        <f t="shared" ref="AJ39" si="81">IFERROR(2*AJ37*AJ38/(AJ37+AJ38),IF(AND(AJ37=0,AJ38=0),0,""))</f>
        <v>0.83870967741935487</v>
      </c>
      <c r="AK39" s="144"/>
      <c r="AL39" s="144"/>
      <c r="AM39" s="145"/>
      <c r="AN39" s="143">
        <f t="shared" ref="AN39" si="82">IFERROR(2*AN37*AN38/(AN37+AN38),IF(AND(AN37=0,AN38=0),0,""))</f>
        <v>0</v>
      </c>
      <c r="AO39" s="144"/>
      <c r="AP39" s="144"/>
      <c r="AQ39" s="145"/>
      <c r="AR39" s="143">
        <f t="shared" ref="AR39" si="83">IFERROR(2*AR37*AR38/(AR37+AR38),IF(AND(AR37=0,AR38=0),0,""))</f>
        <v>0</v>
      </c>
      <c r="AS39" s="144"/>
      <c r="AT39" s="144"/>
      <c r="AU39" s="145"/>
      <c r="AV39" s="143">
        <f t="shared" ref="AV39" si="84">IFERROR(2*AV37*AV38/(AV37+AV38),IF(AND(AV37=0,AV38=0),0,""))</f>
        <v>0.36363636363636365</v>
      </c>
      <c r="AW39" s="144"/>
      <c r="AX39" s="144"/>
      <c r="AY39" s="145"/>
      <c r="AZ39" s="143">
        <f t="shared" ref="AZ39" si="85">IFERROR(2*AZ37*AZ38/(AZ37+AZ38),IF(AND(AZ37=0,AZ38=0),0,""))</f>
        <v>0.64615384615384619</v>
      </c>
      <c r="BA39" s="144"/>
      <c r="BB39" s="144"/>
      <c r="BC39" s="145"/>
      <c r="BD39" s="143">
        <f t="shared" ref="BD39" si="86">IFERROR(2*BD37*BD38/(BD37+BD38),IF(AND(BD37=0,BD38=0),0,""))</f>
        <v>0.4</v>
      </c>
      <c r="BE39" s="144"/>
      <c r="BF39" s="144"/>
      <c r="BG39" s="145"/>
      <c r="BH39" s="143">
        <f t="shared" ref="BH39" si="87">IFERROR(2*BH37*BH38/(BH37+BH38),IF(AND(BH37=0,BH38=0),0,""))</f>
        <v>0.66666666666666663</v>
      </c>
      <c r="BI39" s="144"/>
      <c r="BJ39" s="144"/>
      <c r="BK39" s="145"/>
      <c r="BL39" s="143" t="str">
        <f t="shared" ref="BL39" si="88">IFERROR(2*BL37*BL38/(BL37+BL38),IF(AND(BL37=0,BL38=0),0,""))</f>
        <v/>
      </c>
      <c r="BM39" s="144"/>
      <c r="BN39" s="144"/>
      <c r="BO39" s="145"/>
      <c r="BP39" s="143">
        <f t="shared" ref="BP39" si="89">IFERROR(2*BP37*BP38/(BP37+BP38),IF(AND(BP37=0,BP38=0),0,""))</f>
        <v>0.2857142857142857</v>
      </c>
      <c r="BQ39" s="144"/>
      <c r="BR39" s="144"/>
      <c r="BS39" s="145"/>
    </row>
  </sheetData>
  <mergeCells count="82">
    <mergeCell ref="A1:A2"/>
    <mergeCell ref="B1:B2"/>
    <mergeCell ref="C1:C2"/>
    <mergeCell ref="D1:G1"/>
    <mergeCell ref="H1:K1"/>
    <mergeCell ref="AR1:AU1"/>
    <mergeCell ref="AV1:AY1"/>
    <mergeCell ref="AZ1:BC1"/>
    <mergeCell ref="BD1:BG1"/>
    <mergeCell ref="L1:O1"/>
    <mergeCell ref="P1:S1"/>
    <mergeCell ref="T1:W1"/>
    <mergeCell ref="X1:AA1"/>
    <mergeCell ref="AB1:AE1"/>
    <mergeCell ref="AF1:AI1"/>
    <mergeCell ref="CC1:CC2"/>
    <mergeCell ref="CD1:CD2"/>
    <mergeCell ref="CE1:CE2"/>
    <mergeCell ref="CF1:CF2"/>
    <mergeCell ref="B3:B34"/>
    <mergeCell ref="BX1:BX2"/>
    <mergeCell ref="BY1:BY2"/>
    <mergeCell ref="BL1:BO1"/>
    <mergeCell ref="BP1:BS1"/>
    <mergeCell ref="BT1:BT2"/>
    <mergeCell ref="BU1:BU2"/>
    <mergeCell ref="BV1:BV2"/>
    <mergeCell ref="BW1:BW2"/>
    <mergeCell ref="BH1:BK1"/>
    <mergeCell ref="AJ1:AM1"/>
    <mergeCell ref="AN1:AQ1"/>
    <mergeCell ref="D37:G37"/>
    <mergeCell ref="H37:K37"/>
    <mergeCell ref="L37:O37"/>
    <mergeCell ref="P37:S37"/>
    <mergeCell ref="T37:W37"/>
    <mergeCell ref="X37:AA37"/>
    <mergeCell ref="AB37:AE37"/>
    <mergeCell ref="AF37:AI37"/>
    <mergeCell ref="AJ37:AM37"/>
    <mergeCell ref="AN37:AQ37"/>
    <mergeCell ref="X38:AA38"/>
    <mergeCell ref="AB38:AE38"/>
    <mergeCell ref="AF38:AI38"/>
    <mergeCell ref="AJ38:AM38"/>
    <mergeCell ref="AN38:AQ38"/>
    <mergeCell ref="D38:G38"/>
    <mergeCell ref="H38:K38"/>
    <mergeCell ref="L38:O38"/>
    <mergeCell ref="P38:S38"/>
    <mergeCell ref="T38:W38"/>
    <mergeCell ref="AR39:AU39"/>
    <mergeCell ref="AV39:AY39"/>
    <mergeCell ref="AZ39:BC39"/>
    <mergeCell ref="BL37:BO37"/>
    <mergeCell ref="BP37:BS37"/>
    <mergeCell ref="AR38:AU38"/>
    <mergeCell ref="AV38:AY38"/>
    <mergeCell ref="AZ38:BC38"/>
    <mergeCell ref="BD38:BG38"/>
    <mergeCell ref="AR37:AU37"/>
    <mergeCell ref="AV37:AY37"/>
    <mergeCell ref="AZ37:BC37"/>
    <mergeCell ref="BD37:BG37"/>
    <mergeCell ref="BH37:BK37"/>
    <mergeCell ref="BD39:BG39"/>
    <mergeCell ref="BH39:BK39"/>
    <mergeCell ref="X39:AA39"/>
    <mergeCell ref="AB39:AE39"/>
    <mergeCell ref="AF39:AI39"/>
    <mergeCell ref="AJ39:AM39"/>
    <mergeCell ref="AN39:AQ39"/>
    <mergeCell ref="D39:G39"/>
    <mergeCell ref="H39:K39"/>
    <mergeCell ref="L39:O39"/>
    <mergeCell ref="P39:S39"/>
    <mergeCell ref="T39:W39"/>
    <mergeCell ref="BL39:BO39"/>
    <mergeCell ref="BP39:BS39"/>
    <mergeCell ref="BH38:BK38"/>
    <mergeCell ref="BL38:BO38"/>
    <mergeCell ref="BP38:BS38"/>
  </mergeCells>
  <phoneticPr fontId="4"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1A505-A742-4B66-9C01-20A0E938F787}">
  <dimension ref="A1:CF39"/>
  <sheetViews>
    <sheetView topLeftCell="BD1" zoomScale="75" zoomScaleNormal="75" workbookViewId="0">
      <pane ySplit="2" topLeftCell="A3" activePane="bottomLeft" state="frozen"/>
      <selection activeCell="E37" sqref="E37:BT39"/>
      <selection pane="bottomLeft" activeCell="BX1" sqref="BX1:BX2"/>
    </sheetView>
  </sheetViews>
  <sheetFormatPr defaultRowHeight="14.5" x14ac:dyDescent="0.35"/>
  <cols>
    <col min="1" max="1" width="11.1796875" customWidth="1"/>
    <col min="2" max="2" width="35.26953125" customWidth="1"/>
    <col min="3" max="3" width="13" bestFit="1" customWidth="1"/>
    <col min="4" max="4" width="7.7265625" customWidth="1"/>
    <col min="5" max="5" width="7.6328125" customWidth="1"/>
    <col min="6" max="6" width="7.26953125" customWidth="1"/>
    <col min="7" max="7" width="7.36328125" customWidth="1"/>
    <col min="8" max="8" width="6.54296875" customWidth="1"/>
    <col min="9" max="9" width="7.7265625" customWidth="1"/>
    <col min="10" max="10" width="7" customWidth="1"/>
    <col min="11" max="11" width="7.453125" customWidth="1"/>
    <col min="12" max="12" width="7.26953125" customWidth="1"/>
    <col min="13" max="13" width="7.36328125" customWidth="1"/>
    <col min="14" max="14" width="7.6328125" customWidth="1"/>
    <col min="15" max="15" width="7.81640625" customWidth="1"/>
    <col min="16" max="16" width="6" customWidth="1"/>
    <col min="17" max="17" width="5.81640625" customWidth="1"/>
    <col min="18" max="18" width="6.26953125" customWidth="1"/>
    <col min="19" max="19" width="6.6328125" customWidth="1"/>
    <col min="20" max="20" width="7.36328125" customWidth="1"/>
    <col min="21" max="21" width="6.453125" customWidth="1"/>
    <col min="22" max="22" width="6.26953125" customWidth="1"/>
    <col min="23" max="23" width="6.6328125" customWidth="1"/>
    <col min="24" max="24" width="5.81640625" customWidth="1"/>
    <col min="25" max="25" width="6.7265625" customWidth="1"/>
    <col min="26" max="26" width="6.08984375" customWidth="1"/>
    <col min="27" max="27" width="6.7265625" customWidth="1"/>
    <col min="28" max="28" width="6.26953125" customWidth="1"/>
    <col min="29" max="29" width="6.54296875" customWidth="1"/>
    <col min="30" max="30" width="6.90625" customWidth="1"/>
    <col min="31" max="31" width="7.6328125" customWidth="1"/>
    <col min="32" max="32" width="7.1796875" customWidth="1"/>
    <col min="33" max="33" width="8.54296875" customWidth="1"/>
    <col min="34" max="34" width="8.6328125" customWidth="1"/>
    <col min="35" max="35" width="7.08984375" customWidth="1"/>
    <col min="36" max="36" width="6.54296875" customWidth="1"/>
    <col min="37" max="37" width="7.08984375" customWidth="1"/>
    <col min="38" max="38" width="6.7265625" customWidth="1"/>
    <col min="39" max="39" width="7.36328125" customWidth="1"/>
    <col min="40" max="40" width="6.6328125" customWidth="1"/>
    <col min="41" max="41" width="6.81640625" customWidth="1"/>
    <col min="42" max="42" width="6.7265625" customWidth="1"/>
    <col min="43" max="43" width="6.90625" customWidth="1"/>
    <col min="44" max="44" width="6.7265625" customWidth="1"/>
    <col min="45" max="45" width="6.81640625" customWidth="1"/>
    <col min="46" max="46" width="7" customWidth="1"/>
    <col min="47" max="47" width="7.1796875" customWidth="1"/>
    <col min="48" max="48" width="9" customWidth="1"/>
    <col min="49" max="49" width="9.36328125" customWidth="1"/>
    <col min="50" max="50" width="8.6328125" customWidth="1"/>
    <col min="51" max="51" width="9.6328125" customWidth="1"/>
    <col min="52" max="52" width="7.26953125" customWidth="1"/>
    <col min="53" max="53" width="7.36328125" customWidth="1"/>
    <col min="54" max="54" width="8" customWidth="1"/>
    <col min="55" max="55" width="7.81640625" customWidth="1"/>
    <col min="56" max="56" width="6.26953125" customWidth="1"/>
    <col min="57" max="57" width="7.90625" customWidth="1"/>
    <col min="58" max="58" width="7.1796875" customWidth="1"/>
    <col min="59" max="59" width="7.453125" customWidth="1"/>
    <col min="60" max="60" width="7.36328125" customWidth="1"/>
    <col min="61" max="61" width="6.90625" customWidth="1"/>
    <col min="62" max="62" width="7.36328125" customWidth="1"/>
    <col min="63" max="63" width="7.90625" customWidth="1"/>
    <col min="64" max="64" width="6.6328125" customWidth="1"/>
    <col min="65" max="65" width="7.1796875" customWidth="1"/>
    <col min="66" max="66" width="6.54296875" customWidth="1"/>
    <col min="67" max="67" width="7.7265625" customWidth="1"/>
    <col min="68" max="68" width="6.54296875" customWidth="1"/>
    <col min="69" max="69" width="7.26953125" customWidth="1"/>
    <col min="70" max="70" width="6.90625" customWidth="1"/>
    <col min="71" max="71" width="5.453125" customWidth="1"/>
    <col min="72" max="72" width="9" customWidth="1"/>
    <col min="76" max="76" width="12.90625" bestFit="1" customWidth="1"/>
    <col min="81" max="81" width="13" bestFit="1" customWidth="1"/>
    <col min="83" max="83" width="12.90625" bestFit="1" customWidth="1"/>
  </cols>
  <sheetData>
    <row r="1" spans="1:84" ht="15.5" thickTop="1" thickBot="1" x14ac:dyDescent="0.4">
      <c r="A1" s="153" t="s">
        <v>0</v>
      </c>
      <c r="B1" s="161" t="s">
        <v>1</v>
      </c>
      <c r="C1" s="151" t="s">
        <v>2</v>
      </c>
      <c r="D1" s="164" t="s">
        <v>3</v>
      </c>
      <c r="E1" s="165"/>
      <c r="F1" s="165"/>
      <c r="G1" s="166"/>
      <c r="H1" s="158" t="s">
        <v>95</v>
      </c>
      <c r="I1" s="158"/>
      <c r="J1" s="158"/>
      <c r="K1" s="159"/>
      <c r="L1" s="153" t="s">
        <v>96</v>
      </c>
      <c r="M1" s="149"/>
      <c r="N1" s="149"/>
      <c r="O1" s="151"/>
      <c r="P1" s="153" t="s">
        <v>97</v>
      </c>
      <c r="Q1" s="149"/>
      <c r="R1" s="149"/>
      <c r="S1" s="151"/>
      <c r="T1" s="153" t="s">
        <v>98</v>
      </c>
      <c r="U1" s="149"/>
      <c r="V1" s="149"/>
      <c r="W1" s="151"/>
      <c r="X1" s="153" t="s">
        <v>99</v>
      </c>
      <c r="Y1" s="149"/>
      <c r="Z1" s="149"/>
      <c r="AA1" s="151"/>
      <c r="AB1" s="153" t="s">
        <v>100</v>
      </c>
      <c r="AC1" s="149"/>
      <c r="AD1" s="149"/>
      <c r="AE1" s="151"/>
      <c r="AF1" s="153" t="s">
        <v>101</v>
      </c>
      <c r="AG1" s="149"/>
      <c r="AH1" s="149"/>
      <c r="AI1" s="151"/>
      <c r="AJ1" s="153" t="s">
        <v>102</v>
      </c>
      <c r="AK1" s="149"/>
      <c r="AL1" s="149"/>
      <c r="AM1" s="151"/>
      <c r="AN1" s="153" t="s">
        <v>103</v>
      </c>
      <c r="AO1" s="149"/>
      <c r="AP1" s="149"/>
      <c r="AQ1" s="151"/>
      <c r="AR1" s="153" t="s">
        <v>104</v>
      </c>
      <c r="AS1" s="149"/>
      <c r="AT1" s="149"/>
      <c r="AU1" s="151"/>
      <c r="AV1" s="153" t="s">
        <v>105</v>
      </c>
      <c r="AW1" s="149"/>
      <c r="AX1" s="149"/>
      <c r="AY1" s="156"/>
      <c r="AZ1" s="157" t="s">
        <v>106</v>
      </c>
      <c r="BA1" s="158"/>
      <c r="BB1" s="158"/>
      <c r="BC1" s="159"/>
      <c r="BD1" s="153" t="s">
        <v>107</v>
      </c>
      <c r="BE1" s="149"/>
      <c r="BF1" s="149"/>
      <c r="BG1" s="151"/>
      <c r="BH1" s="153" t="s">
        <v>108</v>
      </c>
      <c r="BI1" s="149"/>
      <c r="BJ1" s="149"/>
      <c r="BK1" s="151"/>
      <c r="BL1" s="153" t="s">
        <v>109</v>
      </c>
      <c r="BM1" s="149"/>
      <c r="BN1" s="149"/>
      <c r="BO1" s="151"/>
      <c r="BP1" s="153" t="s">
        <v>110</v>
      </c>
      <c r="BQ1" s="149"/>
      <c r="BR1" s="149"/>
      <c r="BS1" s="151"/>
      <c r="BT1" s="154" t="s">
        <v>20</v>
      </c>
      <c r="BU1" s="149" t="s">
        <v>21</v>
      </c>
      <c r="BV1" s="149" t="s">
        <v>22</v>
      </c>
      <c r="BW1" s="149" t="s">
        <v>23</v>
      </c>
      <c r="BX1" s="149" t="s">
        <v>141</v>
      </c>
      <c r="BY1" s="151" t="s">
        <v>24</v>
      </c>
      <c r="CC1" s="146" t="s">
        <v>2</v>
      </c>
      <c r="CD1" s="146" t="str">
        <f>BW1</f>
        <v>Recall</v>
      </c>
      <c r="CE1" s="146" t="str">
        <f>BX1</f>
        <v>Precision</v>
      </c>
      <c r="CF1" s="146" t="str">
        <f>BY1</f>
        <v>F1</v>
      </c>
    </row>
    <row r="2" spans="1:84" ht="15.5" thickTop="1" thickBot="1" x14ac:dyDescent="0.4">
      <c r="A2" s="160"/>
      <c r="B2" s="162"/>
      <c r="C2" s="163"/>
      <c r="D2" s="6" t="s">
        <v>25</v>
      </c>
      <c r="E2" s="1" t="s">
        <v>20</v>
      </c>
      <c r="F2" s="1" t="s">
        <v>21</v>
      </c>
      <c r="G2" s="2" t="s">
        <v>22</v>
      </c>
      <c r="H2" s="1" t="s">
        <v>25</v>
      </c>
      <c r="I2" s="4" t="s">
        <v>20</v>
      </c>
      <c r="J2" s="4" t="s">
        <v>21</v>
      </c>
      <c r="K2" s="2" t="s">
        <v>22</v>
      </c>
      <c r="L2" s="1" t="s">
        <v>25</v>
      </c>
      <c r="M2" s="4" t="s">
        <v>20</v>
      </c>
      <c r="N2" s="4" t="s">
        <v>21</v>
      </c>
      <c r="O2" s="2" t="s">
        <v>22</v>
      </c>
      <c r="P2" s="1" t="s">
        <v>25</v>
      </c>
      <c r="Q2" s="4" t="s">
        <v>20</v>
      </c>
      <c r="R2" s="4" t="s">
        <v>21</v>
      </c>
      <c r="S2" s="2" t="s">
        <v>22</v>
      </c>
      <c r="T2" s="1" t="s">
        <v>25</v>
      </c>
      <c r="U2" s="4" t="s">
        <v>20</v>
      </c>
      <c r="V2" s="4" t="s">
        <v>21</v>
      </c>
      <c r="W2" s="2" t="s">
        <v>22</v>
      </c>
      <c r="X2" s="1" t="s">
        <v>25</v>
      </c>
      <c r="Y2" s="4" t="s">
        <v>20</v>
      </c>
      <c r="Z2" s="4" t="s">
        <v>21</v>
      </c>
      <c r="AA2" s="2" t="s">
        <v>22</v>
      </c>
      <c r="AB2" s="1" t="s">
        <v>25</v>
      </c>
      <c r="AC2" s="4" t="s">
        <v>20</v>
      </c>
      <c r="AD2" s="4" t="s">
        <v>21</v>
      </c>
      <c r="AE2" s="2" t="s">
        <v>22</v>
      </c>
      <c r="AF2" s="1" t="s">
        <v>25</v>
      </c>
      <c r="AG2" s="4" t="s">
        <v>20</v>
      </c>
      <c r="AH2" s="4" t="s">
        <v>21</v>
      </c>
      <c r="AI2" s="2" t="s">
        <v>22</v>
      </c>
      <c r="AJ2" s="1" t="s">
        <v>25</v>
      </c>
      <c r="AK2" s="4" t="s">
        <v>20</v>
      </c>
      <c r="AL2" s="4" t="s">
        <v>21</v>
      </c>
      <c r="AM2" s="2" t="s">
        <v>22</v>
      </c>
      <c r="AN2" s="1" t="s">
        <v>25</v>
      </c>
      <c r="AO2" s="4" t="s">
        <v>20</v>
      </c>
      <c r="AP2" s="4" t="s">
        <v>21</v>
      </c>
      <c r="AQ2" s="2" t="s">
        <v>22</v>
      </c>
      <c r="AR2" s="1" t="s">
        <v>25</v>
      </c>
      <c r="AS2" s="4" t="s">
        <v>20</v>
      </c>
      <c r="AT2" s="4" t="s">
        <v>21</v>
      </c>
      <c r="AU2" s="2" t="s">
        <v>22</v>
      </c>
      <c r="AV2" s="1" t="s">
        <v>25</v>
      </c>
      <c r="AW2" s="4" t="s">
        <v>20</v>
      </c>
      <c r="AX2" s="4" t="s">
        <v>21</v>
      </c>
      <c r="AY2" s="122" t="s">
        <v>22</v>
      </c>
      <c r="AZ2" s="121" t="s">
        <v>25</v>
      </c>
      <c r="BA2" s="3" t="s">
        <v>20</v>
      </c>
      <c r="BB2" s="3" t="s">
        <v>21</v>
      </c>
      <c r="BC2" s="122" t="s">
        <v>22</v>
      </c>
      <c r="BD2" s="6" t="s">
        <v>25</v>
      </c>
      <c r="BE2" s="4" t="s">
        <v>20</v>
      </c>
      <c r="BF2" s="4" t="s">
        <v>21</v>
      </c>
      <c r="BG2" s="2" t="s">
        <v>22</v>
      </c>
      <c r="BH2" s="1" t="s">
        <v>25</v>
      </c>
      <c r="BI2" s="4" t="s">
        <v>20</v>
      </c>
      <c r="BJ2" s="4" t="s">
        <v>21</v>
      </c>
      <c r="BK2" s="2" t="s">
        <v>22</v>
      </c>
      <c r="BL2" s="1" t="s">
        <v>25</v>
      </c>
      <c r="BM2" s="4" t="s">
        <v>20</v>
      </c>
      <c r="BN2" s="4" t="s">
        <v>21</v>
      </c>
      <c r="BO2" s="2" t="s">
        <v>22</v>
      </c>
      <c r="BP2" s="1" t="s">
        <v>25</v>
      </c>
      <c r="BQ2" s="4" t="s">
        <v>20</v>
      </c>
      <c r="BR2" s="4" t="s">
        <v>21</v>
      </c>
      <c r="BS2" s="2" t="s">
        <v>22</v>
      </c>
      <c r="BT2" s="155"/>
      <c r="BU2" s="150"/>
      <c r="BV2" s="150"/>
      <c r="BW2" s="150"/>
      <c r="BX2" s="150"/>
      <c r="BY2" s="152"/>
      <c r="CC2" s="146"/>
      <c r="CD2" s="146"/>
      <c r="CE2" s="146"/>
      <c r="CF2" s="146"/>
    </row>
    <row r="3" spans="1:84" ht="15" customHeight="1" thickTop="1" x14ac:dyDescent="0.35">
      <c r="A3" s="49" t="s">
        <v>48</v>
      </c>
      <c r="B3" s="147" t="s">
        <v>46</v>
      </c>
      <c r="C3" s="7" t="s">
        <v>26</v>
      </c>
      <c r="D3" s="8">
        <v>3</v>
      </c>
      <c r="E3" s="9">
        <v>3</v>
      </c>
      <c r="F3" s="9">
        <f>D3-E3</f>
        <v>0</v>
      </c>
      <c r="G3" s="7">
        <v>0</v>
      </c>
      <c r="H3" s="10">
        <v>3</v>
      </c>
      <c r="I3" s="9">
        <v>0</v>
      </c>
      <c r="J3" s="9">
        <f>H3-I3</f>
        <v>3</v>
      </c>
      <c r="K3" s="7">
        <v>0</v>
      </c>
      <c r="L3" s="10">
        <v>6</v>
      </c>
      <c r="M3" s="9">
        <v>0</v>
      </c>
      <c r="N3" s="9">
        <f>L3-M3</f>
        <v>6</v>
      </c>
      <c r="O3" s="7">
        <v>0</v>
      </c>
      <c r="P3" s="10">
        <v>4</v>
      </c>
      <c r="Q3" s="9">
        <v>4</v>
      </c>
      <c r="R3" s="9">
        <f>P3-Q3</f>
        <v>0</v>
      </c>
      <c r="S3" s="7">
        <v>0</v>
      </c>
      <c r="T3" s="10">
        <v>4</v>
      </c>
      <c r="U3" s="9">
        <v>4</v>
      </c>
      <c r="V3" s="9">
        <f>T3-U3</f>
        <v>0</v>
      </c>
      <c r="W3" s="7">
        <v>0</v>
      </c>
      <c r="X3" s="10">
        <v>3</v>
      </c>
      <c r="Y3" s="9">
        <v>3</v>
      </c>
      <c r="Z3" s="9">
        <f>X3-Y3</f>
        <v>0</v>
      </c>
      <c r="AA3" s="7">
        <v>0</v>
      </c>
      <c r="AB3" s="10">
        <v>0</v>
      </c>
      <c r="AC3" s="9">
        <v>0</v>
      </c>
      <c r="AD3" s="9">
        <f>AB3-AC3</f>
        <v>0</v>
      </c>
      <c r="AE3" s="7">
        <v>0</v>
      </c>
      <c r="AF3" s="10">
        <v>3</v>
      </c>
      <c r="AG3" s="9">
        <v>3</v>
      </c>
      <c r="AH3" s="9">
        <f>AF3-AG3</f>
        <v>0</v>
      </c>
      <c r="AI3" s="7">
        <v>0</v>
      </c>
      <c r="AJ3" s="10">
        <v>2</v>
      </c>
      <c r="AK3" s="9">
        <v>2</v>
      </c>
      <c r="AL3" s="9">
        <f>AJ3-AK3</f>
        <v>0</v>
      </c>
      <c r="AM3" s="7">
        <v>0</v>
      </c>
      <c r="AN3" s="10">
        <v>0</v>
      </c>
      <c r="AO3" s="9">
        <v>0</v>
      </c>
      <c r="AP3" s="9">
        <f>AN3-AO3</f>
        <v>0</v>
      </c>
      <c r="AQ3" s="7">
        <v>0</v>
      </c>
      <c r="AR3" s="10">
        <v>0</v>
      </c>
      <c r="AS3" s="9">
        <v>0</v>
      </c>
      <c r="AT3" s="9">
        <f>AR3-AS3</f>
        <v>0</v>
      </c>
      <c r="AU3" s="7">
        <v>0</v>
      </c>
      <c r="AV3" s="10">
        <v>0</v>
      </c>
      <c r="AW3" s="9">
        <v>0</v>
      </c>
      <c r="AX3" s="9">
        <f>AV3-AW3</f>
        <v>0</v>
      </c>
      <c r="AY3" s="7">
        <v>0</v>
      </c>
      <c r="AZ3" s="8">
        <v>2</v>
      </c>
      <c r="BA3" s="124">
        <v>2</v>
      </c>
      <c r="BB3" s="124">
        <f>AZ3-BA3</f>
        <v>0</v>
      </c>
      <c r="BC3" s="123">
        <v>0</v>
      </c>
      <c r="BD3" s="8">
        <v>0</v>
      </c>
      <c r="BE3" s="9">
        <v>0</v>
      </c>
      <c r="BF3" s="9">
        <f>BD3-BE3</f>
        <v>0</v>
      </c>
      <c r="BG3" s="7">
        <v>0</v>
      </c>
      <c r="BH3" s="10">
        <v>0</v>
      </c>
      <c r="BI3" s="9">
        <v>0</v>
      </c>
      <c r="BJ3" s="9">
        <f>BH3-BI3</f>
        <v>0</v>
      </c>
      <c r="BK3" s="7">
        <v>0</v>
      </c>
      <c r="BL3" s="10">
        <v>0</v>
      </c>
      <c r="BM3" s="9">
        <v>0</v>
      </c>
      <c r="BN3" s="9">
        <f>BL3-BM3</f>
        <v>0</v>
      </c>
      <c r="BO3" s="7">
        <v>0</v>
      </c>
      <c r="BP3" s="10">
        <v>0</v>
      </c>
      <c r="BQ3" s="9">
        <v>0</v>
      </c>
      <c r="BR3" s="9">
        <f>BP3-BQ3</f>
        <v>0</v>
      </c>
      <c r="BS3" s="7">
        <v>0</v>
      </c>
      <c r="BT3" s="10">
        <f>SUM(E3,I3,M3,Q3,U3,Y3,AC3,AG3,AK3,AO3,AS3,AW3,BE3,BI3,BM3,BQ3,BA3)</f>
        <v>21</v>
      </c>
      <c r="BU3" s="9">
        <f>SUM(BR3,BN3,BJ3,BF3,AX3,AT3,AP3,AL3,AH3,AD3,Z3,V3,R3,N3,J3,F3,BB3)</f>
        <v>9</v>
      </c>
      <c r="BV3" s="124">
        <f>SUM(BS3,BO3,BK3,BG3,AY3,AU3,AQ3,AM3,AI3,AE3,AA3,W3,S3,O3,K3,G3, BC3)</f>
        <v>0</v>
      </c>
      <c r="BW3" s="9">
        <f>BT3/(BT3+BU3)</f>
        <v>0.7</v>
      </c>
      <c r="BX3" s="9">
        <f>BT3/(BT3+BV3)</f>
        <v>1</v>
      </c>
      <c r="BY3" s="7">
        <f>2*(BX3*BW3)/(BX3+BW3)</f>
        <v>0.82352941176470584</v>
      </c>
      <c r="CC3" s="133" t="s">
        <v>75</v>
      </c>
      <c r="CD3">
        <f>AVERAGE(BW3:BW4)</f>
        <v>0.7</v>
      </c>
      <c r="CE3">
        <f t="shared" ref="CE3:CF3" si="0">AVERAGE(BX3:BX4)</f>
        <v>1</v>
      </c>
      <c r="CF3">
        <f t="shared" si="0"/>
        <v>0.82352941176470584</v>
      </c>
    </row>
    <row r="4" spans="1:84" x14ac:dyDescent="0.35">
      <c r="A4" s="49" t="s">
        <v>48</v>
      </c>
      <c r="B4" s="148"/>
      <c r="C4" s="123" t="s">
        <v>60</v>
      </c>
      <c r="D4" s="8">
        <v>3</v>
      </c>
      <c r="E4" s="124">
        <v>3</v>
      </c>
      <c r="F4" s="124">
        <f t="shared" ref="F4:F34" si="1">D4-E4</f>
        <v>0</v>
      </c>
      <c r="G4" s="123">
        <v>0</v>
      </c>
      <c r="H4" s="8">
        <v>3</v>
      </c>
      <c r="I4" s="124">
        <v>0</v>
      </c>
      <c r="J4" s="124">
        <f t="shared" ref="J4:J34" si="2">H4-I4</f>
        <v>3</v>
      </c>
      <c r="K4" s="123">
        <v>0</v>
      </c>
      <c r="L4" s="8">
        <v>6</v>
      </c>
      <c r="M4" s="124">
        <v>0</v>
      </c>
      <c r="N4" s="124">
        <f t="shared" ref="N4:N34" si="3">L4-M4</f>
        <v>6</v>
      </c>
      <c r="O4" s="123">
        <v>0</v>
      </c>
      <c r="P4" s="8">
        <v>4</v>
      </c>
      <c r="Q4" s="124">
        <v>4</v>
      </c>
      <c r="R4" s="124">
        <f t="shared" ref="R4:R34" si="4">P4-Q4</f>
        <v>0</v>
      </c>
      <c r="S4" s="123">
        <v>0</v>
      </c>
      <c r="T4" s="8">
        <v>4</v>
      </c>
      <c r="U4" s="124">
        <v>4</v>
      </c>
      <c r="V4" s="124">
        <f t="shared" ref="V4:V34" si="5">T4-U4</f>
        <v>0</v>
      </c>
      <c r="W4" s="123">
        <v>0</v>
      </c>
      <c r="X4" s="8">
        <v>3</v>
      </c>
      <c r="Y4" s="124">
        <v>3</v>
      </c>
      <c r="Z4" s="124">
        <f t="shared" ref="Z4:Z34" si="6">X4-Y4</f>
        <v>0</v>
      </c>
      <c r="AA4" s="123">
        <v>0</v>
      </c>
      <c r="AB4" s="8">
        <v>0</v>
      </c>
      <c r="AC4" s="124">
        <v>0</v>
      </c>
      <c r="AD4" s="124">
        <f t="shared" ref="AD4:AD29" si="7">AB4-AC4</f>
        <v>0</v>
      </c>
      <c r="AE4" s="123">
        <v>0</v>
      </c>
      <c r="AF4" s="8">
        <v>3</v>
      </c>
      <c r="AG4" s="124">
        <v>3</v>
      </c>
      <c r="AH4" s="124">
        <f t="shared" ref="AH4:AH34" si="8">AF4-AG4</f>
        <v>0</v>
      </c>
      <c r="AI4" s="123">
        <v>0</v>
      </c>
      <c r="AJ4" s="8">
        <v>2</v>
      </c>
      <c r="AK4" s="124">
        <v>2</v>
      </c>
      <c r="AL4" s="124">
        <f t="shared" ref="AL4:AL34" si="9">AJ4-AK4</f>
        <v>0</v>
      </c>
      <c r="AM4" s="123">
        <v>0</v>
      </c>
      <c r="AN4" s="8">
        <v>0</v>
      </c>
      <c r="AO4" s="124">
        <v>0</v>
      </c>
      <c r="AP4" s="124">
        <f t="shared" ref="AP4:AP34" si="10">AN4-AO4</f>
        <v>0</v>
      </c>
      <c r="AQ4" s="123">
        <v>0</v>
      </c>
      <c r="AR4" s="8">
        <v>0</v>
      </c>
      <c r="AS4" s="124">
        <v>0</v>
      </c>
      <c r="AT4" s="124">
        <f t="shared" ref="AT4:AT34" si="11">AR4-AS4</f>
        <v>0</v>
      </c>
      <c r="AU4" s="123">
        <v>0</v>
      </c>
      <c r="AV4" s="8">
        <v>0</v>
      </c>
      <c r="AW4" s="124">
        <v>0</v>
      </c>
      <c r="AX4" s="124">
        <f t="shared" ref="AX4:AX34" si="12">AV4-AW4</f>
        <v>0</v>
      </c>
      <c r="AY4" s="123">
        <v>0</v>
      </c>
      <c r="AZ4" s="8">
        <v>2</v>
      </c>
      <c r="BA4" s="124">
        <v>2</v>
      </c>
      <c r="BB4" s="124">
        <f t="shared" ref="BB4:BB34" si="13">AZ4-BA4</f>
        <v>0</v>
      </c>
      <c r="BC4" s="123">
        <v>0</v>
      </c>
      <c r="BD4" s="8">
        <v>0</v>
      </c>
      <c r="BE4" s="124">
        <v>0</v>
      </c>
      <c r="BF4" s="124">
        <f t="shared" ref="BF4:BF34" si="14">BD4-BE4</f>
        <v>0</v>
      </c>
      <c r="BG4" s="123">
        <v>0</v>
      </c>
      <c r="BH4" s="8">
        <v>0</v>
      </c>
      <c r="BI4" s="124">
        <v>0</v>
      </c>
      <c r="BJ4" s="124">
        <f t="shared" ref="BJ4:BJ34" si="15">BH4-BI4</f>
        <v>0</v>
      </c>
      <c r="BK4" s="123">
        <v>0</v>
      </c>
      <c r="BL4" s="8">
        <v>0</v>
      </c>
      <c r="BM4" s="124">
        <v>0</v>
      </c>
      <c r="BN4" s="124">
        <f t="shared" ref="BN4:BN34" si="16">BL4-BM4</f>
        <v>0</v>
      </c>
      <c r="BO4" s="123">
        <v>0</v>
      </c>
      <c r="BP4" s="8">
        <v>0</v>
      </c>
      <c r="BQ4" s="124">
        <v>0</v>
      </c>
      <c r="BR4" s="124">
        <f t="shared" ref="BR4:BR34" si="17">BP4-BQ4</f>
        <v>0</v>
      </c>
      <c r="BS4" s="123">
        <v>0</v>
      </c>
      <c r="BT4" s="8">
        <f t="shared" ref="BT4:BT34" si="18">SUM(E4,I4,M4,Q4,U4,Y4,AC4,AG4,AK4,AO4,AS4,AW4,BE4,BI4,BM4,BQ4,BA4)</f>
        <v>21</v>
      </c>
      <c r="BU4" s="124">
        <f t="shared" ref="BU4:BU34" si="19">SUM(BR4,BN4,BJ4,BF4,AX4,AT4,AP4,AL4,AH4,AD4,Z4,V4,R4,N4,J4,F4,BB4)</f>
        <v>9</v>
      </c>
      <c r="BV4" s="124">
        <f t="shared" ref="BV4:BV34" si="20">SUM(BS4,BO4,BK4,BG4,AY4,AU4,AQ4,AM4,AI4,AE4,AA4,W4,S4,O4,K4,G4, BC4)</f>
        <v>0</v>
      </c>
      <c r="BW4" s="124">
        <f t="shared" ref="BW4:BW34" si="21">BT4/(BT4+BU4)</f>
        <v>0.7</v>
      </c>
      <c r="BX4" s="124">
        <f t="shared" ref="BX4:BX34" si="22">BT4/(BT4+BV4)</f>
        <v>1</v>
      </c>
      <c r="BY4" s="123">
        <f t="shared" ref="BY4:BY34" si="23">2*(BX4*BW4)/(BX4+BW4)</f>
        <v>0.82352941176470584</v>
      </c>
      <c r="CC4" s="133" t="s">
        <v>76</v>
      </c>
      <c r="CD4">
        <f>AVERAGE(BW5:BW6)</f>
        <v>0.8</v>
      </c>
      <c r="CE4">
        <f t="shared" ref="CE4:CF4" si="24">AVERAGE(BX5:BX6)</f>
        <v>0.64102564102564097</v>
      </c>
      <c r="CF4">
        <f t="shared" si="24"/>
        <v>0.71146245059288526</v>
      </c>
    </row>
    <row r="5" spans="1:84" x14ac:dyDescent="0.35">
      <c r="A5" s="50" t="s">
        <v>48</v>
      </c>
      <c r="B5" s="148"/>
      <c r="C5" s="11" t="s">
        <v>27</v>
      </c>
      <c r="D5" s="12">
        <v>2</v>
      </c>
      <c r="E5" s="13">
        <v>2</v>
      </c>
      <c r="F5" s="13">
        <f t="shared" si="1"/>
        <v>0</v>
      </c>
      <c r="G5" s="11">
        <v>0</v>
      </c>
      <c r="H5" s="12">
        <v>2</v>
      </c>
      <c r="I5" s="13">
        <v>2</v>
      </c>
      <c r="J5" s="13">
        <f t="shared" si="2"/>
        <v>0</v>
      </c>
      <c r="K5" s="11">
        <v>0</v>
      </c>
      <c r="L5" s="12">
        <v>0</v>
      </c>
      <c r="M5" s="13">
        <v>0</v>
      </c>
      <c r="N5" s="13">
        <f t="shared" si="3"/>
        <v>0</v>
      </c>
      <c r="O5" s="11">
        <v>0</v>
      </c>
      <c r="P5" s="12">
        <v>0</v>
      </c>
      <c r="Q5" s="13">
        <v>0</v>
      </c>
      <c r="R5" s="13">
        <f t="shared" si="4"/>
        <v>0</v>
      </c>
      <c r="S5" s="11">
        <v>2</v>
      </c>
      <c r="T5" s="12">
        <v>0</v>
      </c>
      <c r="U5" s="13">
        <v>0</v>
      </c>
      <c r="V5" s="13">
        <f t="shared" si="5"/>
        <v>0</v>
      </c>
      <c r="W5" s="11">
        <v>0</v>
      </c>
      <c r="X5" s="12">
        <v>2</v>
      </c>
      <c r="Y5" s="13">
        <v>2</v>
      </c>
      <c r="Z5" s="13">
        <f t="shared" si="6"/>
        <v>0</v>
      </c>
      <c r="AA5" s="11">
        <v>0</v>
      </c>
      <c r="AB5" s="12">
        <v>0</v>
      </c>
      <c r="AC5" s="13">
        <v>0</v>
      </c>
      <c r="AD5" s="13">
        <f t="shared" si="7"/>
        <v>0</v>
      </c>
      <c r="AE5" s="11">
        <v>0</v>
      </c>
      <c r="AF5" s="12">
        <v>2</v>
      </c>
      <c r="AG5" s="13">
        <v>2</v>
      </c>
      <c r="AH5" s="13">
        <f t="shared" si="8"/>
        <v>0</v>
      </c>
      <c r="AI5" s="11">
        <v>0</v>
      </c>
      <c r="AJ5" s="12">
        <v>0</v>
      </c>
      <c r="AK5" s="13">
        <v>0</v>
      </c>
      <c r="AL5" s="13">
        <f t="shared" si="9"/>
        <v>0</v>
      </c>
      <c r="AM5" s="11">
        <v>0</v>
      </c>
      <c r="AN5" s="12">
        <v>0</v>
      </c>
      <c r="AO5" s="13">
        <v>0</v>
      </c>
      <c r="AP5" s="13">
        <f t="shared" si="10"/>
        <v>0</v>
      </c>
      <c r="AQ5" s="11">
        <v>0</v>
      </c>
      <c r="AR5" s="12">
        <v>0</v>
      </c>
      <c r="AS5" s="13">
        <v>0</v>
      </c>
      <c r="AT5" s="13">
        <f t="shared" si="11"/>
        <v>0</v>
      </c>
      <c r="AU5" s="11">
        <v>0</v>
      </c>
      <c r="AV5" s="12">
        <v>1</v>
      </c>
      <c r="AW5" s="13">
        <v>0</v>
      </c>
      <c r="AX5" s="13">
        <f t="shared" si="12"/>
        <v>1</v>
      </c>
      <c r="AY5" s="11">
        <v>1</v>
      </c>
      <c r="AZ5" s="12">
        <v>1</v>
      </c>
      <c r="BA5" s="13">
        <v>0</v>
      </c>
      <c r="BB5" s="13">
        <f t="shared" si="13"/>
        <v>1</v>
      </c>
      <c r="BC5" s="11">
        <v>1</v>
      </c>
      <c r="BD5" s="12">
        <v>0</v>
      </c>
      <c r="BE5" s="13">
        <v>0</v>
      </c>
      <c r="BF5" s="13">
        <f t="shared" si="14"/>
        <v>0</v>
      </c>
      <c r="BG5" s="11">
        <v>0</v>
      </c>
      <c r="BH5" s="12">
        <v>0</v>
      </c>
      <c r="BI5" s="13">
        <v>0</v>
      </c>
      <c r="BJ5" s="13">
        <f t="shared" si="15"/>
        <v>0</v>
      </c>
      <c r="BK5" s="11">
        <v>0</v>
      </c>
      <c r="BL5" s="12">
        <v>0</v>
      </c>
      <c r="BM5" s="13">
        <v>0</v>
      </c>
      <c r="BN5" s="13">
        <f t="shared" si="16"/>
        <v>0</v>
      </c>
      <c r="BO5" s="11">
        <v>1</v>
      </c>
      <c r="BP5" s="12">
        <v>0</v>
      </c>
      <c r="BQ5" s="13">
        <v>0</v>
      </c>
      <c r="BR5" s="13">
        <f t="shared" si="17"/>
        <v>0</v>
      </c>
      <c r="BS5" s="11">
        <v>0</v>
      </c>
      <c r="BT5" s="12">
        <f t="shared" si="18"/>
        <v>8</v>
      </c>
      <c r="BU5" s="13">
        <f t="shared" si="19"/>
        <v>2</v>
      </c>
      <c r="BV5" s="13">
        <f t="shared" si="20"/>
        <v>5</v>
      </c>
      <c r="BW5" s="13">
        <f t="shared" si="21"/>
        <v>0.8</v>
      </c>
      <c r="BX5" s="13">
        <f t="shared" si="22"/>
        <v>0.61538461538461542</v>
      </c>
      <c r="BY5" s="11">
        <f t="shared" si="23"/>
        <v>0.69565217391304346</v>
      </c>
      <c r="CC5" s="133" t="s">
        <v>77</v>
      </c>
      <c r="CD5">
        <f>AVERAGE(BW7:BW8)</f>
        <v>0.6875</v>
      </c>
      <c r="CE5">
        <f t="shared" ref="CE5:CF5" si="25">AVERAGE(BX7:BX8)</f>
        <v>0.88141025641025639</v>
      </c>
      <c r="CF5">
        <f t="shared" si="25"/>
        <v>0.77216748768472909</v>
      </c>
    </row>
    <row r="6" spans="1:84" x14ac:dyDescent="0.35">
      <c r="A6" s="50" t="s">
        <v>48</v>
      </c>
      <c r="B6" s="148"/>
      <c r="C6" s="11" t="s">
        <v>61</v>
      </c>
      <c r="D6" s="12">
        <v>2</v>
      </c>
      <c r="E6" s="13">
        <v>2</v>
      </c>
      <c r="F6" s="13">
        <f t="shared" si="1"/>
        <v>0</v>
      </c>
      <c r="G6" s="11">
        <v>0</v>
      </c>
      <c r="H6" s="12">
        <v>2</v>
      </c>
      <c r="I6" s="13">
        <v>2</v>
      </c>
      <c r="J6" s="13">
        <f t="shared" si="2"/>
        <v>0</v>
      </c>
      <c r="K6" s="11">
        <v>0</v>
      </c>
      <c r="L6" s="12">
        <v>0</v>
      </c>
      <c r="M6" s="13">
        <v>0</v>
      </c>
      <c r="N6" s="13">
        <f t="shared" si="3"/>
        <v>0</v>
      </c>
      <c r="O6" s="11">
        <v>0</v>
      </c>
      <c r="P6" s="12">
        <v>0</v>
      </c>
      <c r="Q6" s="13">
        <v>0</v>
      </c>
      <c r="R6" s="13">
        <f t="shared" si="4"/>
        <v>0</v>
      </c>
      <c r="S6" s="11">
        <v>1</v>
      </c>
      <c r="T6" s="12">
        <v>0</v>
      </c>
      <c r="U6" s="13">
        <v>0</v>
      </c>
      <c r="V6" s="13">
        <f t="shared" si="5"/>
        <v>0</v>
      </c>
      <c r="W6" s="11">
        <v>0</v>
      </c>
      <c r="X6" s="12">
        <v>2</v>
      </c>
      <c r="Y6" s="13">
        <v>2</v>
      </c>
      <c r="Z6" s="13">
        <f t="shared" si="6"/>
        <v>0</v>
      </c>
      <c r="AA6" s="11">
        <v>0</v>
      </c>
      <c r="AB6" s="12">
        <v>0</v>
      </c>
      <c r="AC6" s="13">
        <v>0</v>
      </c>
      <c r="AD6" s="13">
        <f t="shared" si="7"/>
        <v>0</v>
      </c>
      <c r="AE6" s="11">
        <v>0</v>
      </c>
      <c r="AF6" s="12">
        <v>2</v>
      </c>
      <c r="AG6" s="13">
        <v>2</v>
      </c>
      <c r="AH6" s="13">
        <f t="shared" si="8"/>
        <v>0</v>
      </c>
      <c r="AI6" s="11">
        <v>0</v>
      </c>
      <c r="AJ6" s="12">
        <v>0</v>
      </c>
      <c r="AK6" s="13">
        <v>0</v>
      </c>
      <c r="AL6" s="13">
        <f t="shared" si="9"/>
        <v>0</v>
      </c>
      <c r="AM6" s="11">
        <v>0</v>
      </c>
      <c r="AN6" s="12">
        <v>0</v>
      </c>
      <c r="AO6" s="13">
        <v>0</v>
      </c>
      <c r="AP6" s="13">
        <f t="shared" si="10"/>
        <v>0</v>
      </c>
      <c r="AQ6" s="11">
        <v>0</v>
      </c>
      <c r="AR6" s="12">
        <v>0</v>
      </c>
      <c r="AS6" s="13">
        <v>0</v>
      </c>
      <c r="AT6" s="13">
        <f t="shared" si="11"/>
        <v>0</v>
      </c>
      <c r="AU6" s="11">
        <v>0</v>
      </c>
      <c r="AV6" s="12">
        <v>1</v>
      </c>
      <c r="AW6" s="13">
        <v>0</v>
      </c>
      <c r="AX6" s="13">
        <f t="shared" si="12"/>
        <v>1</v>
      </c>
      <c r="AY6" s="11">
        <v>1</v>
      </c>
      <c r="AZ6" s="12">
        <v>1</v>
      </c>
      <c r="BA6" s="13">
        <v>0</v>
      </c>
      <c r="BB6" s="13">
        <f t="shared" si="13"/>
        <v>1</v>
      </c>
      <c r="BC6" s="11">
        <v>1</v>
      </c>
      <c r="BD6" s="12">
        <v>0</v>
      </c>
      <c r="BE6" s="13">
        <v>0</v>
      </c>
      <c r="BF6" s="13">
        <f t="shared" si="14"/>
        <v>0</v>
      </c>
      <c r="BG6" s="11">
        <v>0</v>
      </c>
      <c r="BH6" s="12">
        <v>0</v>
      </c>
      <c r="BI6" s="13">
        <v>0</v>
      </c>
      <c r="BJ6" s="13">
        <f t="shared" si="15"/>
        <v>0</v>
      </c>
      <c r="BK6" s="11">
        <v>0</v>
      </c>
      <c r="BL6" s="12">
        <v>0</v>
      </c>
      <c r="BM6" s="13">
        <v>0</v>
      </c>
      <c r="BN6" s="13">
        <f t="shared" si="16"/>
        <v>0</v>
      </c>
      <c r="BO6" s="11">
        <v>1</v>
      </c>
      <c r="BP6" s="12">
        <v>0</v>
      </c>
      <c r="BQ6" s="13">
        <v>0</v>
      </c>
      <c r="BR6" s="13">
        <f t="shared" si="17"/>
        <v>0</v>
      </c>
      <c r="BS6" s="11">
        <v>0</v>
      </c>
      <c r="BT6" s="12">
        <f t="shared" si="18"/>
        <v>8</v>
      </c>
      <c r="BU6" s="13">
        <f t="shared" si="19"/>
        <v>2</v>
      </c>
      <c r="BV6" s="13">
        <f t="shared" si="20"/>
        <v>4</v>
      </c>
      <c r="BW6" s="13">
        <f t="shared" si="21"/>
        <v>0.8</v>
      </c>
      <c r="BX6" s="13">
        <f t="shared" si="22"/>
        <v>0.66666666666666663</v>
      </c>
      <c r="BY6" s="11">
        <f t="shared" si="23"/>
        <v>0.72727272727272718</v>
      </c>
      <c r="CC6" s="133" t="s">
        <v>78</v>
      </c>
      <c r="CD6">
        <f>AVERAGE(BW9:BW10)</f>
        <v>0.79166666666666663</v>
      </c>
      <c r="CE6">
        <f t="shared" ref="CE6:CF6" si="26">AVERAGE(BX9:BX10)</f>
        <v>0.86752136752136755</v>
      </c>
      <c r="CF6">
        <f t="shared" si="26"/>
        <v>0.82095238095238088</v>
      </c>
    </row>
    <row r="7" spans="1:84" x14ac:dyDescent="0.35">
      <c r="A7" s="51" t="s">
        <v>48</v>
      </c>
      <c r="B7" s="148"/>
      <c r="C7" s="14" t="s">
        <v>28</v>
      </c>
      <c r="D7" s="15">
        <v>2</v>
      </c>
      <c r="E7" s="16">
        <v>2</v>
      </c>
      <c r="F7" s="16">
        <f t="shared" si="1"/>
        <v>0</v>
      </c>
      <c r="G7" s="14">
        <v>0</v>
      </c>
      <c r="H7" s="15">
        <v>1</v>
      </c>
      <c r="I7" s="16">
        <v>0</v>
      </c>
      <c r="J7" s="16">
        <f t="shared" si="2"/>
        <v>1</v>
      </c>
      <c r="K7" s="14">
        <v>0</v>
      </c>
      <c r="L7" s="15">
        <v>1</v>
      </c>
      <c r="M7" s="16">
        <v>0</v>
      </c>
      <c r="N7" s="16">
        <f t="shared" si="3"/>
        <v>1</v>
      </c>
      <c r="O7" s="14">
        <v>0</v>
      </c>
      <c r="P7" s="15">
        <v>1</v>
      </c>
      <c r="Q7" s="16">
        <v>1</v>
      </c>
      <c r="R7" s="16">
        <f t="shared" si="4"/>
        <v>0</v>
      </c>
      <c r="S7" s="14">
        <v>0</v>
      </c>
      <c r="T7" s="15">
        <v>1</v>
      </c>
      <c r="U7" s="16">
        <v>1</v>
      </c>
      <c r="V7" s="16">
        <f t="shared" si="5"/>
        <v>0</v>
      </c>
      <c r="W7" s="14">
        <v>0</v>
      </c>
      <c r="X7" s="15">
        <v>3</v>
      </c>
      <c r="Y7" s="16">
        <v>3</v>
      </c>
      <c r="Z7" s="16">
        <f t="shared" si="6"/>
        <v>0</v>
      </c>
      <c r="AA7" s="14">
        <v>0</v>
      </c>
      <c r="AB7" s="15">
        <v>0</v>
      </c>
      <c r="AC7" s="16">
        <v>0</v>
      </c>
      <c r="AD7" s="16">
        <f t="shared" si="7"/>
        <v>0</v>
      </c>
      <c r="AE7" s="14">
        <v>0</v>
      </c>
      <c r="AF7" s="15">
        <v>3</v>
      </c>
      <c r="AG7" s="16">
        <v>3</v>
      </c>
      <c r="AH7" s="16">
        <f t="shared" si="8"/>
        <v>0</v>
      </c>
      <c r="AI7" s="14">
        <v>0</v>
      </c>
      <c r="AJ7" s="15">
        <v>0</v>
      </c>
      <c r="AK7" s="16">
        <v>0</v>
      </c>
      <c r="AL7" s="16">
        <f t="shared" si="9"/>
        <v>0</v>
      </c>
      <c r="AM7" s="14">
        <v>1</v>
      </c>
      <c r="AN7" s="15">
        <v>1</v>
      </c>
      <c r="AO7" s="16">
        <v>0</v>
      </c>
      <c r="AP7" s="16">
        <f t="shared" si="10"/>
        <v>1</v>
      </c>
      <c r="AQ7" s="14">
        <v>0</v>
      </c>
      <c r="AR7" s="15">
        <v>0</v>
      </c>
      <c r="AS7" s="16">
        <v>0</v>
      </c>
      <c r="AT7" s="16">
        <f t="shared" si="11"/>
        <v>0</v>
      </c>
      <c r="AU7" s="14">
        <v>0</v>
      </c>
      <c r="AV7" s="15">
        <v>0</v>
      </c>
      <c r="AW7" s="16">
        <v>0</v>
      </c>
      <c r="AX7" s="16">
        <f t="shared" si="12"/>
        <v>0</v>
      </c>
      <c r="AY7" s="14">
        <v>0</v>
      </c>
      <c r="AZ7" s="15">
        <v>1</v>
      </c>
      <c r="BA7" s="16">
        <v>1</v>
      </c>
      <c r="BB7" s="16">
        <f t="shared" si="13"/>
        <v>0</v>
      </c>
      <c r="BC7" s="14">
        <v>1</v>
      </c>
      <c r="BD7" s="15">
        <v>2</v>
      </c>
      <c r="BE7" s="16">
        <v>0</v>
      </c>
      <c r="BF7" s="16">
        <f t="shared" si="14"/>
        <v>2</v>
      </c>
      <c r="BG7" s="14">
        <v>0</v>
      </c>
      <c r="BH7" s="15">
        <v>0</v>
      </c>
      <c r="BI7" s="16">
        <v>0</v>
      </c>
      <c r="BJ7" s="16">
        <f t="shared" si="15"/>
        <v>0</v>
      </c>
      <c r="BK7" s="14">
        <v>0</v>
      </c>
      <c r="BL7" s="15">
        <v>0</v>
      </c>
      <c r="BM7" s="16">
        <v>0</v>
      </c>
      <c r="BN7" s="16">
        <f t="shared" si="16"/>
        <v>0</v>
      </c>
      <c r="BO7" s="14">
        <v>0</v>
      </c>
      <c r="BP7" s="15">
        <v>0</v>
      </c>
      <c r="BQ7" s="16">
        <v>0</v>
      </c>
      <c r="BR7" s="16">
        <f t="shared" si="17"/>
        <v>0</v>
      </c>
      <c r="BS7" s="14">
        <v>0</v>
      </c>
      <c r="BT7" s="15">
        <f t="shared" si="18"/>
        <v>11</v>
      </c>
      <c r="BU7" s="16">
        <f t="shared" si="19"/>
        <v>5</v>
      </c>
      <c r="BV7" s="16">
        <f t="shared" si="20"/>
        <v>2</v>
      </c>
      <c r="BW7" s="16">
        <f t="shared" si="21"/>
        <v>0.6875</v>
      </c>
      <c r="BX7" s="16">
        <f t="shared" si="22"/>
        <v>0.84615384615384615</v>
      </c>
      <c r="BY7" s="14">
        <f t="shared" si="23"/>
        <v>0.75862068965517238</v>
      </c>
      <c r="CC7" s="133" t="s">
        <v>79</v>
      </c>
      <c r="CD7">
        <f>AVERAGE(BW11:BW12)</f>
        <v>0.9285714285714286</v>
      </c>
      <c r="CE7">
        <f t="shared" ref="CE7:CF7" si="27">AVERAGE(BX11:BX12)</f>
        <v>0.95238095238095233</v>
      </c>
      <c r="CF7">
        <f t="shared" si="27"/>
        <v>0.94018583042973281</v>
      </c>
    </row>
    <row r="8" spans="1:84" x14ac:dyDescent="0.35">
      <c r="A8" s="51" t="s">
        <v>48</v>
      </c>
      <c r="B8" s="148"/>
      <c r="C8" s="14" t="s">
        <v>62</v>
      </c>
      <c r="D8" s="15">
        <v>2</v>
      </c>
      <c r="E8" s="16">
        <v>2</v>
      </c>
      <c r="F8" s="16">
        <f t="shared" si="1"/>
        <v>0</v>
      </c>
      <c r="G8" s="14">
        <v>0</v>
      </c>
      <c r="H8" s="15">
        <v>1</v>
      </c>
      <c r="I8" s="16">
        <v>0</v>
      </c>
      <c r="J8" s="16">
        <f t="shared" si="2"/>
        <v>1</v>
      </c>
      <c r="K8" s="14">
        <v>0</v>
      </c>
      <c r="L8" s="15">
        <v>1</v>
      </c>
      <c r="M8" s="16">
        <v>0</v>
      </c>
      <c r="N8" s="16">
        <f t="shared" si="3"/>
        <v>1</v>
      </c>
      <c r="O8" s="14">
        <v>0</v>
      </c>
      <c r="P8" s="15">
        <v>1</v>
      </c>
      <c r="Q8" s="16">
        <v>1</v>
      </c>
      <c r="R8" s="16">
        <f t="shared" si="4"/>
        <v>0</v>
      </c>
      <c r="S8" s="14">
        <v>0</v>
      </c>
      <c r="T8" s="15">
        <v>1</v>
      </c>
      <c r="U8" s="16">
        <v>1</v>
      </c>
      <c r="V8" s="16">
        <f t="shared" si="5"/>
        <v>0</v>
      </c>
      <c r="W8" s="14">
        <v>0</v>
      </c>
      <c r="X8" s="15">
        <v>3</v>
      </c>
      <c r="Y8" s="16">
        <v>3</v>
      </c>
      <c r="Z8" s="16">
        <f t="shared" si="6"/>
        <v>0</v>
      </c>
      <c r="AA8" s="14">
        <v>0</v>
      </c>
      <c r="AB8" s="15">
        <v>0</v>
      </c>
      <c r="AC8" s="16">
        <v>0</v>
      </c>
      <c r="AD8" s="16">
        <f t="shared" si="7"/>
        <v>0</v>
      </c>
      <c r="AE8" s="14">
        <v>0</v>
      </c>
      <c r="AF8" s="15">
        <v>3</v>
      </c>
      <c r="AG8" s="16">
        <v>3</v>
      </c>
      <c r="AH8" s="16">
        <f t="shared" si="8"/>
        <v>0</v>
      </c>
      <c r="AI8" s="14">
        <v>0</v>
      </c>
      <c r="AJ8" s="15">
        <v>0</v>
      </c>
      <c r="AK8" s="16">
        <v>0</v>
      </c>
      <c r="AL8" s="16">
        <f t="shared" si="9"/>
        <v>0</v>
      </c>
      <c r="AM8" s="14">
        <v>1</v>
      </c>
      <c r="AN8" s="15">
        <v>1</v>
      </c>
      <c r="AO8" s="16">
        <v>0</v>
      </c>
      <c r="AP8" s="16">
        <f t="shared" si="10"/>
        <v>1</v>
      </c>
      <c r="AQ8" s="14">
        <v>0</v>
      </c>
      <c r="AR8" s="15">
        <v>0</v>
      </c>
      <c r="AS8" s="16">
        <v>0</v>
      </c>
      <c r="AT8" s="16">
        <f t="shared" si="11"/>
        <v>0</v>
      </c>
      <c r="AU8" s="14">
        <v>0</v>
      </c>
      <c r="AV8" s="15">
        <v>0</v>
      </c>
      <c r="AW8" s="16">
        <v>0</v>
      </c>
      <c r="AX8" s="16">
        <f t="shared" si="12"/>
        <v>0</v>
      </c>
      <c r="AY8" s="14">
        <v>0</v>
      </c>
      <c r="AZ8" s="15">
        <v>1</v>
      </c>
      <c r="BA8" s="16">
        <v>1</v>
      </c>
      <c r="BB8" s="16">
        <f t="shared" si="13"/>
        <v>0</v>
      </c>
      <c r="BC8" s="14">
        <v>0</v>
      </c>
      <c r="BD8" s="15">
        <v>2</v>
      </c>
      <c r="BE8" s="16">
        <v>0</v>
      </c>
      <c r="BF8" s="16">
        <f t="shared" si="14"/>
        <v>2</v>
      </c>
      <c r="BG8" s="14">
        <v>0</v>
      </c>
      <c r="BH8" s="15">
        <v>0</v>
      </c>
      <c r="BI8" s="16">
        <v>0</v>
      </c>
      <c r="BJ8" s="16">
        <f t="shared" si="15"/>
        <v>0</v>
      </c>
      <c r="BK8" s="14">
        <v>0</v>
      </c>
      <c r="BL8" s="15">
        <v>0</v>
      </c>
      <c r="BM8" s="16">
        <v>0</v>
      </c>
      <c r="BN8" s="16">
        <f t="shared" si="16"/>
        <v>0</v>
      </c>
      <c r="BO8" s="14">
        <v>0</v>
      </c>
      <c r="BP8" s="15">
        <v>0</v>
      </c>
      <c r="BQ8" s="16">
        <v>0</v>
      </c>
      <c r="BR8" s="16">
        <f t="shared" si="17"/>
        <v>0</v>
      </c>
      <c r="BS8" s="14">
        <v>0</v>
      </c>
      <c r="BT8" s="15">
        <f t="shared" si="18"/>
        <v>11</v>
      </c>
      <c r="BU8" s="16">
        <f t="shared" si="19"/>
        <v>5</v>
      </c>
      <c r="BV8" s="16">
        <f t="shared" si="20"/>
        <v>1</v>
      </c>
      <c r="BW8" s="16">
        <f t="shared" si="21"/>
        <v>0.6875</v>
      </c>
      <c r="BX8" s="16">
        <f t="shared" si="22"/>
        <v>0.91666666666666663</v>
      </c>
      <c r="BY8" s="14">
        <f t="shared" si="23"/>
        <v>0.7857142857142857</v>
      </c>
      <c r="CC8" s="133" t="s">
        <v>80</v>
      </c>
      <c r="CD8">
        <f>AVERAGE(BW13:BW14)</f>
        <v>1</v>
      </c>
      <c r="CE8">
        <f t="shared" ref="CE8:CF8" si="28">AVERAGE(BX13:BX14)</f>
        <v>1</v>
      </c>
      <c r="CF8">
        <f t="shared" si="28"/>
        <v>1</v>
      </c>
    </row>
    <row r="9" spans="1:84" x14ac:dyDescent="0.35">
      <c r="A9" s="52" t="s">
        <v>48</v>
      </c>
      <c r="B9" s="148"/>
      <c r="C9" s="17" t="s">
        <v>29</v>
      </c>
      <c r="D9" s="18">
        <v>1</v>
      </c>
      <c r="E9" s="19">
        <v>1</v>
      </c>
      <c r="F9" s="19">
        <f t="shared" si="1"/>
        <v>0</v>
      </c>
      <c r="G9" s="17">
        <v>0</v>
      </c>
      <c r="H9" s="18">
        <v>0</v>
      </c>
      <c r="I9" s="19">
        <v>0</v>
      </c>
      <c r="J9" s="19">
        <f t="shared" si="2"/>
        <v>0</v>
      </c>
      <c r="K9" s="17">
        <v>0</v>
      </c>
      <c r="L9" s="18">
        <v>0</v>
      </c>
      <c r="M9" s="19">
        <v>0</v>
      </c>
      <c r="N9" s="19">
        <f t="shared" si="3"/>
        <v>0</v>
      </c>
      <c r="O9" s="17">
        <v>0</v>
      </c>
      <c r="P9" s="18">
        <v>0</v>
      </c>
      <c r="Q9" s="19">
        <v>0</v>
      </c>
      <c r="R9" s="19">
        <f t="shared" si="4"/>
        <v>0</v>
      </c>
      <c r="S9" s="17">
        <v>0</v>
      </c>
      <c r="T9" s="18">
        <v>0</v>
      </c>
      <c r="U9" s="19">
        <v>0</v>
      </c>
      <c r="V9" s="19">
        <f t="shared" si="5"/>
        <v>0</v>
      </c>
      <c r="W9" s="17">
        <v>0</v>
      </c>
      <c r="X9" s="18">
        <v>3</v>
      </c>
      <c r="Y9" s="19">
        <v>3</v>
      </c>
      <c r="Z9" s="19">
        <f t="shared" si="6"/>
        <v>0</v>
      </c>
      <c r="AA9" s="17">
        <v>0</v>
      </c>
      <c r="AB9" s="18">
        <v>4</v>
      </c>
      <c r="AC9" s="19">
        <v>3</v>
      </c>
      <c r="AD9" s="19">
        <f t="shared" si="7"/>
        <v>1</v>
      </c>
      <c r="AE9" s="17">
        <v>0</v>
      </c>
      <c r="AF9" s="18">
        <v>3</v>
      </c>
      <c r="AG9" s="19">
        <v>3</v>
      </c>
      <c r="AH9" s="19">
        <f t="shared" si="8"/>
        <v>0</v>
      </c>
      <c r="AI9" s="17">
        <v>0</v>
      </c>
      <c r="AJ9" s="18">
        <v>0</v>
      </c>
      <c r="AK9" s="19">
        <v>0</v>
      </c>
      <c r="AL9" s="19">
        <f t="shared" si="9"/>
        <v>0</v>
      </c>
      <c r="AM9" s="17">
        <v>0</v>
      </c>
      <c r="AN9" s="18">
        <v>0</v>
      </c>
      <c r="AO9" s="19">
        <v>0</v>
      </c>
      <c r="AP9" s="19">
        <f t="shared" si="10"/>
        <v>0</v>
      </c>
      <c r="AQ9" s="17">
        <v>0</v>
      </c>
      <c r="AR9" s="18">
        <v>0</v>
      </c>
      <c r="AS9" s="19">
        <v>0</v>
      </c>
      <c r="AT9" s="19">
        <f t="shared" si="11"/>
        <v>0</v>
      </c>
      <c r="AU9" s="17">
        <v>1</v>
      </c>
      <c r="AV9" s="18">
        <v>0</v>
      </c>
      <c r="AW9" s="19">
        <v>0</v>
      </c>
      <c r="AX9" s="19">
        <f t="shared" si="12"/>
        <v>0</v>
      </c>
      <c r="AY9" s="17">
        <v>0</v>
      </c>
      <c r="AZ9" s="18">
        <v>0</v>
      </c>
      <c r="BA9" s="19">
        <v>0</v>
      </c>
      <c r="BB9" s="19">
        <f t="shared" si="13"/>
        <v>0</v>
      </c>
      <c r="BC9" s="17">
        <v>1</v>
      </c>
      <c r="BD9" s="18">
        <v>0</v>
      </c>
      <c r="BE9" s="19">
        <v>0</v>
      </c>
      <c r="BF9" s="19">
        <f t="shared" si="14"/>
        <v>0</v>
      </c>
      <c r="BG9" s="17">
        <v>0</v>
      </c>
      <c r="BH9" s="18">
        <v>1</v>
      </c>
      <c r="BI9" s="19">
        <v>1</v>
      </c>
      <c r="BJ9" s="19">
        <f t="shared" si="15"/>
        <v>0</v>
      </c>
      <c r="BK9" s="17">
        <v>0</v>
      </c>
      <c r="BL9" s="18">
        <v>0</v>
      </c>
      <c r="BM9" s="19">
        <v>0</v>
      </c>
      <c r="BN9" s="19">
        <f t="shared" si="16"/>
        <v>0</v>
      </c>
      <c r="BO9" s="17">
        <v>0</v>
      </c>
      <c r="BP9" s="18">
        <v>0</v>
      </c>
      <c r="BQ9" s="19">
        <v>0</v>
      </c>
      <c r="BR9" s="19">
        <f t="shared" si="17"/>
        <v>0</v>
      </c>
      <c r="BS9" s="17">
        <v>0</v>
      </c>
      <c r="BT9" s="18">
        <f t="shared" si="18"/>
        <v>11</v>
      </c>
      <c r="BU9" s="19">
        <f t="shared" si="19"/>
        <v>1</v>
      </c>
      <c r="BV9" s="19">
        <f t="shared" si="20"/>
        <v>2</v>
      </c>
      <c r="BW9" s="19">
        <f t="shared" si="21"/>
        <v>0.91666666666666663</v>
      </c>
      <c r="BX9" s="19">
        <f t="shared" si="22"/>
        <v>0.84615384615384615</v>
      </c>
      <c r="BY9" s="17">
        <f t="shared" si="23"/>
        <v>0.87999999999999989</v>
      </c>
      <c r="CC9" s="133" t="s">
        <v>81</v>
      </c>
      <c r="CD9">
        <f>AVERAGE(BW15:BW16)</f>
        <v>0.92307692307692313</v>
      </c>
      <c r="CE9">
        <f t="shared" ref="CE9:CF9" si="29">AVERAGE(BX15:BX16)</f>
        <v>0.92307692307692313</v>
      </c>
      <c r="CF9">
        <f t="shared" si="29"/>
        <v>0.92307692307692313</v>
      </c>
    </row>
    <row r="10" spans="1:84" x14ac:dyDescent="0.35">
      <c r="A10" s="52" t="s">
        <v>48</v>
      </c>
      <c r="B10" s="148"/>
      <c r="C10" s="17" t="s">
        <v>45</v>
      </c>
      <c r="D10" s="18">
        <v>1</v>
      </c>
      <c r="E10" s="19">
        <v>1</v>
      </c>
      <c r="F10" s="19">
        <f t="shared" si="1"/>
        <v>0</v>
      </c>
      <c r="G10" s="17">
        <v>0</v>
      </c>
      <c r="H10" s="18">
        <v>0</v>
      </c>
      <c r="I10" s="19">
        <v>0</v>
      </c>
      <c r="J10" s="19">
        <f t="shared" si="2"/>
        <v>0</v>
      </c>
      <c r="K10" s="17">
        <v>0</v>
      </c>
      <c r="L10" s="18">
        <v>0</v>
      </c>
      <c r="M10" s="19">
        <v>0</v>
      </c>
      <c r="N10" s="19">
        <f t="shared" si="3"/>
        <v>0</v>
      </c>
      <c r="O10" s="17">
        <v>0</v>
      </c>
      <c r="P10" s="18">
        <v>0</v>
      </c>
      <c r="Q10" s="19">
        <v>0</v>
      </c>
      <c r="R10" s="19">
        <f t="shared" si="4"/>
        <v>0</v>
      </c>
      <c r="S10" s="17">
        <v>0</v>
      </c>
      <c r="T10" s="18">
        <v>0</v>
      </c>
      <c r="U10" s="19">
        <v>0</v>
      </c>
      <c r="V10" s="19">
        <f t="shared" si="5"/>
        <v>0</v>
      </c>
      <c r="W10" s="17">
        <v>0</v>
      </c>
      <c r="X10" s="18">
        <v>3</v>
      </c>
      <c r="Y10" s="19">
        <v>3</v>
      </c>
      <c r="Z10" s="19">
        <f t="shared" si="6"/>
        <v>0</v>
      </c>
      <c r="AA10" s="17">
        <v>0</v>
      </c>
      <c r="AB10" s="18">
        <v>4</v>
      </c>
      <c r="AC10" s="19">
        <v>0</v>
      </c>
      <c r="AD10" s="19">
        <f t="shared" si="7"/>
        <v>4</v>
      </c>
      <c r="AE10" s="17">
        <v>0</v>
      </c>
      <c r="AF10" s="18">
        <v>3</v>
      </c>
      <c r="AG10" s="19">
        <v>3</v>
      </c>
      <c r="AH10" s="19">
        <f t="shared" si="8"/>
        <v>0</v>
      </c>
      <c r="AI10" s="17">
        <v>0</v>
      </c>
      <c r="AJ10" s="18">
        <v>0</v>
      </c>
      <c r="AK10" s="19">
        <v>0</v>
      </c>
      <c r="AL10" s="19">
        <f t="shared" si="9"/>
        <v>0</v>
      </c>
      <c r="AM10" s="17">
        <v>0</v>
      </c>
      <c r="AN10" s="18">
        <v>0</v>
      </c>
      <c r="AO10" s="19">
        <v>0</v>
      </c>
      <c r="AP10" s="19">
        <f t="shared" si="10"/>
        <v>0</v>
      </c>
      <c r="AQ10" s="17">
        <v>0</v>
      </c>
      <c r="AR10" s="18">
        <v>0</v>
      </c>
      <c r="AS10" s="19">
        <v>0</v>
      </c>
      <c r="AT10" s="19">
        <f t="shared" si="11"/>
        <v>0</v>
      </c>
      <c r="AU10" s="17">
        <v>1</v>
      </c>
      <c r="AV10" s="18">
        <v>0</v>
      </c>
      <c r="AW10" s="19">
        <v>0</v>
      </c>
      <c r="AX10" s="19">
        <f t="shared" si="12"/>
        <v>0</v>
      </c>
      <c r="AY10" s="17">
        <v>0</v>
      </c>
      <c r="AZ10" s="18">
        <v>0</v>
      </c>
      <c r="BA10" s="19">
        <v>0</v>
      </c>
      <c r="BB10" s="19">
        <f t="shared" si="13"/>
        <v>0</v>
      </c>
      <c r="BC10" s="17">
        <v>0</v>
      </c>
      <c r="BD10" s="18">
        <v>0</v>
      </c>
      <c r="BE10" s="19">
        <v>0</v>
      </c>
      <c r="BF10" s="19">
        <f t="shared" si="14"/>
        <v>0</v>
      </c>
      <c r="BG10" s="17">
        <v>0</v>
      </c>
      <c r="BH10" s="18">
        <v>1</v>
      </c>
      <c r="BI10" s="19">
        <v>1</v>
      </c>
      <c r="BJ10" s="19">
        <f t="shared" si="15"/>
        <v>0</v>
      </c>
      <c r="BK10" s="17">
        <v>0</v>
      </c>
      <c r="BL10" s="18">
        <v>0</v>
      </c>
      <c r="BM10" s="19">
        <v>0</v>
      </c>
      <c r="BN10" s="19">
        <f t="shared" si="16"/>
        <v>0</v>
      </c>
      <c r="BO10" s="17">
        <v>0</v>
      </c>
      <c r="BP10" s="18">
        <v>0</v>
      </c>
      <c r="BQ10" s="19">
        <v>0</v>
      </c>
      <c r="BR10" s="19">
        <f t="shared" si="17"/>
        <v>0</v>
      </c>
      <c r="BS10" s="17">
        <v>0</v>
      </c>
      <c r="BT10" s="18">
        <f t="shared" si="18"/>
        <v>8</v>
      </c>
      <c r="BU10" s="19">
        <f t="shared" si="19"/>
        <v>4</v>
      </c>
      <c r="BV10" s="19">
        <f t="shared" si="20"/>
        <v>1</v>
      </c>
      <c r="BW10" s="19">
        <f t="shared" si="21"/>
        <v>0.66666666666666663</v>
      </c>
      <c r="BX10" s="19">
        <f t="shared" si="22"/>
        <v>0.88888888888888884</v>
      </c>
      <c r="BY10" s="17">
        <f t="shared" si="23"/>
        <v>0.76190476190476197</v>
      </c>
      <c r="CC10" s="133" t="s">
        <v>82</v>
      </c>
      <c r="CD10">
        <f>AVERAGE(BW17:BW18)</f>
        <v>0.90909090909090906</v>
      </c>
      <c r="CE10">
        <f t="shared" ref="CE10:CF10" si="30">AVERAGE(BX17:BX18)</f>
        <v>0.83333333333333337</v>
      </c>
      <c r="CF10">
        <f t="shared" si="30"/>
        <v>0.86956521739130432</v>
      </c>
    </row>
    <row r="11" spans="1:84" x14ac:dyDescent="0.35">
      <c r="A11" s="53" t="s">
        <v>48</v>
      </c>
      <c r="B11" s="148"/>
      <c r="C11" s="20" t="s">
        <v>30</v>
      </c>
      <c r="D11" s="21">
        <v>2</v>
      </c>
      <c r="E11" s="22">
        <v>2</v>
      </c>
      <c r="F11" s="22">
        <f t="shared" si="1"/>
        <v>0</v>
      </c>
      <c r="G11" s="20">
        <v>0</v>
      </c>
      <c r="H11" s="21">
        <v>1</v>
      </c>
      <c r="I11" s="22">
        <v>1</v>
      </c>
      <c r="J11" s="22">
        <f t="shared" si="2"/>
        <v>0</v>
      </c>
      <c r="K11" s="20">
        <v>0</v>
      </c>
      <c r="L11" s="21">
        <v>2</v>
      </c>
      <c r="M11" s="22">
        <v>2</v>
      </c>
      <c r="N11" s="22">
        <f t="shared" si="3"/>
        <v>0</v>
      </c>
      <c r="O11" s="20">
        <v>0</v>
      </c>
      <c r="P11" s="21">
        <v>2</v>
      </c>
      <c r="Q11" s="22">
        <v>2</v>
      </c>
      <c r="R11" s="22">
        <f t="shared" si="4"/>
        <v>0</v>
      </c>
      <c r="S11" s="20">
        <v>0</v>
      </c>
      <c r="T11" s="21">
        <v>2</v>
      </c>
      <c r="U11" s="22">
        <v>2</v>
      </c>
      <c r="V11" s="22">
        <f t="shared" si="5"/>
        <v>0</v>
      </c>
      <c r="W11" s="20">
        <v>0</v>
      </c>
      <c r="X11" s="21">
        <v>4</v>
      </c>
      <c r="Y11" s="22">
        <v>4</v>
      </c>
      <c r="Z11" s="22">
        <f t="shared" si="6"/>
        <v>0</v>
      </c>
      <c r="AA11" s="20">
        <v>0</v>
      </c>
      <c r="AB11" s="21">
        <v>0</v>
      </c>
      <c r="AC11" s="22">
        <v>0</v>
      </c>
      <c r="AD11" s="22">
        <f t="shared" si="7"/>
        <v>0</v>
      </c>
      <c r="AE11" s="20">
        <v>0</v>
      </c>
      <c r="AF11" s="21">
        <v>4</v>
      </c>
      <c r="AG11" s="22">
        <v>4</v>
      </c>
      <c r="AH11" s="22">
        <f t="shared" si="8"/>
        <v>0</v>
      </c>
      <c r="AI11" s="20">
        <v>0</v>
      </c>
      <c r="AJ11" s="21">
        <v>1</v>
      </c>
      <c r="AK11" s="22">
        <v>1</v>
      </c>
      <c r="AL11" s="22">
        <f t="shared" si="9"/>
        <v>0</v>
      </c>
      <c r="AM11" s="20">
        <v>0</v>
      </c>
      <c r="AN11" s="21">
        <v>0</v>
      </c>
      <c r="AO11" s="22">
        <v>0</v>
      </c>
      <c r="AP11" s="22">
        <f t="shared" si="10"/>
        <v>0</v>
      </c>
      <c r="AQ11" s="20">
        <v>0</v>
      </c>
      <c r="AR11" s="21">
        <v>0</v>
      </c>
      <c r="AS11" s="22">
        <v>0</v>
      </c>
      <c r="AT11" s="22">
        <f t="shared" si="11"/>
        <v>0</v>
      </c>
      <c r="AU11" s="20">
        <v>0</v>
      </c>
      <c r="AV11" s="21">
        <v>0</v>
      </c>
      <c r="AW11" s="22">
        <v>0</v>
      </c>
      <c r="AX11" s="22">
        <f t="shared" si="12"/>
        <v>0</v>
      </c>
      <c r="AY11" s="20">
        <v>0</v>
      </c>
      <c r="AZ11" s="21">
        <v>1</v>
      </c>
      <c r="BA11" s="22">
        <v>1</v>
      </c>
      <c r="BB11" s="22">
        <f t="shared" si="13"/>
        <v>0</v>
      </c>
      <c r="BC11" s="20">
        <v>0</v>
      </c>
      <c r="BD11" s="21">
        <v>2</v>
      </c>
      <c r="BE11" s="22">
        <v>1</v>
      </c>
      <c r="BF11" s="22">
        <f t="shared" si="14"/>
        <v>1</v>
      </c>
      <c r="BG11" s="20">
        <v>0</v>
      </c>
      <c r="BH11" s="21">
        <v>0</v>
      </c>
      <c r="BI11" s="22">
        <v>0</v>
      </c>
      <c r="BJ11" s="22">
        <f t="shared" si="15"/>
        <v>0</v>
      </c>
      <c r="BK11" s="20">
        <v>0</v>
      </c>
      <c r="BL11" s="21">
        <v>0</v>
      </c>
      <c r="BM11" s="22">
        <v>0</v>
      </c>
      <c r="BN11" s="22">
        <f t="shared" si="16"/>
        <v>0</v>
      </c>
      <c r="BO11" s="20">
        <v>0</v>
      </c>
      <c r="BP11" s="21">
        <v>0</v>
      </c>
      <c r="BQ11" s="22">
        <v>0</v>
      </c>
      <c r="BR11" s="22">
        <f t="shared" si="17"/>
        <v>0</v>
      </c>
      <c r="BS11" s="20">
        <v>0</v>
      </c>
      <c r="BT11" s="21">
        <f t="shared" si="18"/>
        <v>20</v>
      </c>
      <c r="BU11" s="22">
        <f t="shared" si="19"/>
        <v>1</v>
      </c>
      <c r="BV11" s="22">
        <f t="shared" si="20"/>
        <v>0</v>
      </c>
      <c r="BW11" s="22">
        <f t="shared" si="21"/>
        <v>0.95238095238095233</v>
      </c>
      <c r="BX11" s="22">
        <f t="shared" si="22"/>
        <v>1</v>
      </c>
      <c r="BY11" s="20">
        <f t="shared" si="23"/>
        <v>0.97560975609756095</v>
      </c>
      <c r="CC11" s="133" t="s">
        <v>83</v>
      </c>
      <c r="CD11">
        <f>AVERAGE(BW19:BW20)</f>
        <v>0.875</v>
      </c>
      <c r="CE11">
        <f t="shared" ref="CE11:CF11" si="31">AVERAGE(BX19:BX20)</f>
        <v>0.70089285714285721</v>
      </c>
      <c r="CF11">
        <f t="shared" si="31"/>
        <v>0.77747252747252737</v>
      </c>
    </row>
    <row r="12" spans="1:84" x14ac:dyDescent="0.35">
      <c r="A12" s="53" t="s">
        <v>48</v>
      </c>
      <c r="B12" s="148"/>
      <c r="C12" s="20" t="s">
        <v>63</v>
      </c>
      <c r="D12" s="21">
        <v>2</v>
      </c>
      <c r="E12" s="22">
        <v>2</v>
      </c>
      <c r="F12" s="22">
        <f t="shared" si="1"/>
        <v>0</v>
      </c>
      <c r="G12" s="20">
        <v>0</v>
      </c>
      <c r="H12" s="21">
        <v>1</v>
      </c>
      <c r="I12" s="22">
        <v>1</v>
      </c>
      <c r="J12" s="22">
        <f>H12-I12</f>
        <v>0</v>
      </c>
      <c r="K12" s="20">
        <v>0</v>
      </c>
      <c r="L12" s="21">
        <v>2</v>
      </c>
      <c r="M12" s="22">
        <v>2</v>
      </c>
      <c r="N12" s="22">
        <f t="shared" si="3"/>
        <v>0</v>
      </c>
      <c r="O12" s="20">
        <v>0</v>
      </c>
      <c r="P12" s="21">
        <v>2</v>
      </c>
      <c r="Q12" s="22">
        <v>2</v>
      </c>
      <c r="R12" s="22">
        <f>P12-Q12</f>
        <v>0</v>
      </c>
      <c r="S12" s="20">
        <v>0</v>
      </c>
      <c r="T12" s="21">
        <v>2</v>
      </c>
      <c r="U12" s="22">
        <v>2</v>
      </c>
      <c r="V12" s="22">
        <f t="shared" si="5"/>
        <v>0</v>
      </c>
      <c r="W12" s="20">
        <v>0</v>
      </c>
      <c r="X12" s="21">
        <v>4</v>
      </c>
      <c r="Y12" s="22">
        <v>4</v>
      </c>
      <c r="Z12" s="22">
        <f t="shared" si="6"/>
        <v>0</v>
      </c>
      <c r="AA12" s="20">
        <v>0</v>
      </c>
      <c r="AB12" s="21">
        <v>0</v>
      </c>
      <c r="AC12" s="22">
        <v>0</v>
      </c>
      <c r="AD12" s="22">
        <f t="shared" si="7"/>
        <v>0</v>
      </c>
      <c r="AE12" s="20">
        <v>0</v>
      </c>
      <c r="AF12" s="21">
        <v>4</v>
      </c>
      <c r="AG12" s="22">
        <v>4</v>
      </c>
      <c r="AH12" s="22">
        <f t="shared" si="8"/>
        <v>0</v>
      </c>
      <c r="AI12" s="20">
        <v>0</v>
      </c>
      <c r="AJ12" s="21">
        <v>1</v>
      </c>
      <c r="AK12" s="22">
        <v>1</v>
      </c>
      <c r="AL12" s="22">
        <f t="shared" si="9"/>
        <v>0</v>
      </c>
      <c r="AM12" s="20">
        <v>0</v>
      </c>
      <c r="AN12" s="21">
        <v>0</v>
      </c>
      <c r="AO12" s="22">
        <v>0</v>
      </c>
      <c r="AP12" s="22">
        <f t="shared" si="10"/>
        <v>0</v>
      </c>
      <c r="AQ12" s="20">
        <v>1</v>
      </c>
      <c r="AR12" s="21">
        <v>0</v>
      </c>
      <c r="AS12" s="22">
        <v>0</v>
      </c>
      <c r="AT12" s="22">
        <f t="shared" si="11"/>
        <v>0</v>
      </c>
      <c r="AU12" s="20">
        <v>0</v>
      </c>
      <c r="AV12" s="21">
        <v>0</v>
      </c>
      <c r="AW12" s="22">
        <v>0</v>
      </c>
      <c r="AX12" s="22">
        <f>AV12-AW12</f>
        <v>0</v>
      </c>
      <c r="AY12" s="20">
        <v>0</v>
      </c>
      <c r="AZ12" s="21">
        <v>1</v>
      </c>
      <c r="BA12" s="22">
        <v>0</v>
      </c>
      <c r="BB12" s="22">
        <f t="shared" si="13"/>
        <v>1</v>
      </c>
      <c r="BC12" s="20">
        <v>1</v>
      </c>
      <c r="BD12" s="21">
        <v>2</v>
      </c>
      <c r="BE12" s="22">
        <v>1</v>
      </c>
      <c r="BF12" s="22">
        <f t="shared" si="14"/>
        <v>1</v>
      </c>
      <c r="BG12" s="20">
        <v>0</v>
      </c>
      <c r="BH12" s="21">
        <v>0</v>
      </c>
      <c r="BI12" s="22">
        <v>0</v>
      </c>
      <c r="BJ12" s="22">
        <f t="shared" si="15"/>
        <v>0</v>
      </c>
      <c r="BK12" s="20">
        <v>0</v>
      </c>
      <c r="BL12" s="21">
        <v>0</v>
      </c>
      <c r="BM12" s="22">
        <v>0</v>
      </c>
      <c r="BN12" s="22">
        <f t="shared" si="16"/>
        <v>0</v>
      </c>
      <c r="BO12" s="20">
        <v>0</v>
      </c>
      <c r="BP12" s="21">
        <v>0</v>
      </c>
      <c r="BQ12" s="22">
        <v>0</v>
      </c>
      <c r="BR12" s="22">
        <f t="shared" si="17"/>
        <v>0</v>
      </c>
      <c r="BS12" s="20">
        <v>0</v>
      </c>
      <c r="BT12" s="21">
        <f t="shared" si="18"/>
        <v>19</v>
      </c>
      <c r="BU12" s="22">
        <f t="shared" si="19"/>
        <v>2</v>
      </c>
      <c r="BV12" s="22">
        <f t="shared" si="20"/>
        <v>2</v>
      </c>
      <c r="BW12" s="22">
        <f t="shared" si="21"/>
        <v>0.90476190476190477</v>
      </c>
      <c r="BX12" s="22">
        <f t="shared" si="22"/>
        <v>0.90476190476190477</v>
      </c>
      <c r="BY12" s="20">
        <f t="shared" si="23"/>
        <v>0.90476190476190477</v>
      </c>
      <c r="CC12" s="133" t="s">
        <v>84</v>
      </c>
      <c r="CD12">
        <f>AVERAGE(BW21:BW22)</f>
        <v>0.73529411764705888</v>
      </c>
      <c r="CE12">
        <f t="shared" ref="CE12:CF12" si="32">AVERAGE(BX21:BX22)</f>
        <v>0.74175824175824179</v>
      </c>
      <c r="CF12">
        <f t="shared" si="32"/>
        <v>0.72807017543859653</v>
      </c>
    </row>
    <row r="13" spans="1:84" ht="13.5" customHeight="1" x14ac:dyDescent="0.35">
      <c r="A13" s="54" t="s">
        <v>48</v>
      </c>
      <c r="B13" s="148"/>
      <c r="C13" s="23" t="s">
        <v>31</v>
      </c>
      <c r="D13" s="24">
        <v>4</v>
      </c>
      <c r="E13" s="25">
        <v>4</v>
      </c>
      <c r="F13" s="25">
        <f t="shared" si="1"/>
        <v>0</v>
      </c>
      <c r="G13" s="23">
        <v>0</v>
      </c>
      <c r="H13" s="24">
        <v>0</v>
      </c>
      <c r="I13" s="25">
        <v>0</v>
      </c>
      <c r="J13" s="25">
        <f t="shared" si="2"/>
        <v>0</v>
      </c>
      <c r="K13" s="23">
        <v>0</v>
      </c>
      <c r="L13" s="24">
        <v>0</v>
      </c>
      <c r="M13" s="25">
        <v>0</v>
      </c>
      <c r="N13" s="25">
        <f t="shared" si="3"/>
        <v>0</v>
      </c>
      <c r="O13" s="23">
        <v>0</v>
      </c>
      <c r="P13" s="24">
        <v>0</v>
      </c>
      <c r="Q13" s="25">
        <v>0</v>
      </c>
      <c r="R13" s="25">
        <f t="shared" si="4"/>
        <v>0</v>
      </c>
      <c r="S13" s="23">
        <v>0</v>
      </c>
      <c r="T13" s="24">
        <v>0</v>
      </c>
      <c r="U13" s="25">
        <v>0</v>
      </c>
      <c r="V13" s="25">
        <f t="shared" si="5"/>
        <v>0</v>
      </c>
      <c r="W13" s="23">
        <v>0</v>
      </c>
      <c r="X13" s="24">
        <v>4</v>
      </c>
      <c r="Y13" s="25">
        <v>4</v>
      </c>
      <c r="Z13" s="25">
        <f t="shared" si="6"/>
        <v>0</v>
      </c>
      <c r="AA13" s="23">
        <v>0</v>
      </c>
      <c r="AB13" s="24">
        <v>0</v>
      </c>
      <c r="AC13" s="25">
        <v>0</v>
      </c>
      <c r="AD13" s="25">
        <f t="shared" si="7"/>
        <v>0</v>
      </c>
      <c r="AE13" s="23">
        <v>0</v>
      </c>
      <c r="AF13" s="24">
        <v>4</v>
      </c>
      <c r="AG13" s="25">
        <v>4</v>
      </c>
      <c r="AH13" s="25">
        <f t="shared" si="8"/>
        <v>0</v>
      </c>
      <c r="AI13" s="23">
        <v>0</v>
      </c>
      <c r="AJ13" s="24">
        <v>3</v>
      </c>
      <c r="AK13" s="25">
        <v>3</v>
      </c>
      <c r="AL13" s="25">
        <f t="shared" si="9"/>
        <v>0</v>
      </c>
      <c r="AM13" s="23">
        <v>0</v>
      </c>
      <c r="AN13" s="24">
        <v>0</v>
      </c>
      <c r="AO13" s="25">
        <v>0</v>
      </c>
      <c r="AP13" s="25">
        <f t="shared" si="10"/>
        <v>0</v>
      </c>
      <c r="AQ13" s="23">
        <v>0</v>
      </c>
      <c r="AR13" s="24">
        <v>0</v>
      </c>
      <c r="AS13" s="25">
        <v>0</v>
      </c>
      <c r="AT13" s="25">
        <f t="shared" si="11"/>
        <v>0</v>
      </c>
      <c r="AU13" s="23">
        <v>0</v>
      </c>
      <c r="AV13" s="24">
        <v>0</v>
      </c>
      <c r="AW13" s="25">
        <v>0</v>
      </c>
      <c r="AX13" s="25">
        <f t="shared" si="12"/>
        <v>0</v>
      </c>
      <c r="AY13" s="23">
        <v>0</v>
      </c>
      <c r="AZ13" s="24">
        <v>3</v>
      </c>
      <c r="BA13" s="25">
        <v>3</v>
      </c>
      <c r="BB13" s="25">
        <f t="shared" si="13"/>
        <v>0</v>
      </c>
      <c r="BC13" s="23">
        <v>0</v>
      </c>
      <c r="BD13" s="24">
        <v>0</v>
      </c>
      <c r="BE13" s="25">
        <v>0</v>
      </c>
      <c r="BF13" s="25">
        <f t="shared" si="14"/>
        <v>0</v>
      </c>
      <c r="BG13" s="23">
        <v>0</v>
      </c>
      <c r="BH13" s="24">
        <v>0</v>
      </c>
      <c r="BI13" s="25">
        <v>0</v>
      </c>
      <c r="BJ13" s="25">
        <f t="shared" si="15"/>
        <v>0</v>
      </c>
      <c r="BK13" s="23">
        <v>0</v>
      </c>
      <c r="BL13" s="24">
        <v>0</v>
      </c>
      <c r="BM13" s="25">
        <v>0</v>
      </c>
      <c r="BN13" s="25">
        <f t="shared" si="16"/>
        <v>0</v>
      </c>
      <c r="BO13" s="23">
        <v>0</v>
      </c>
      <c r="BP13" s="24">
        <v>0</v>
      </c>
      <c r="BQ13" s="25">
        <v>0</v>
      </c>
      <c r="BR13" s="25">
        <f t="shared" si="17"/>
        <v>0</v>
      </c>
      <c r="BS13" s="23">
        <v>0</v>
      </c>
      <c r="BT13" s="24">
        <f t="shared" si="18"/>
        <v>18</v>
      </c>
      <c r="BU13" s="25">
        <f t="shared" si="19"/>
        <v>0</v>
      </c>
      <c r="BV13" s="25">
        <f t="shared" si="20"/>
        <v>0</v>
      </c>
      <c r="BW13" s="25">
        <f t="shared" si="21"/>
        <v>1</v>
      </c>
      <c r="BX13" s="25">
        <f t="shared" si="22"/>
        <v>1</v>
      </c>
      <c r="BY13" s="23">
        <f t="shared" si="23"/>
        <v>1</v>
      </c>
      <c r="CC13" s="133" t="s">
        <v>85</v>
      </c>
      <c r="CD13">
        <f>AVERAGE(BW23:BW24)</f>
        <v>0.77272727272727271</v>
      </c>
      <c r="CE13">
        <f t="shared" ref="CE13:CF13" si="33">AVERAGE(BX23:BX24)</f>
        <v>0.80909090909090908</v>
      </c>
      <c r="CF13">
        <f t="shared" si="33"/>
        <v>0.7900432900432901</v>
      </c>
    </row>
    <row r="14" spans="1:84" x14ac:dyDescent="0.35">
      <c r="A14" s="54" t="s">
        <v>48</v>
      </c>
      <c r="B14" s="148"/>
      <c r="C14" s="23" t="s">
        <v>64</v>
      </c>
      <c r="D14" s="24">
        <v>4</v>
      </c>
      <c r="E14" s="25">
        <v>4</v>
      </c>
      <c r="F14" s="25">
        <f t="shared" si="1"/>
        <v>0</v>
      </c>
      <c r="G14" s="23">
        <v>0</v>
      </c>
      <c r="H14" s="24">
        <v>0</v>
      </c>
      <c r="I14" s="24">
        <v>0</v>
      </c>
      <c r="J14" s="24">
        <v>0</v>
      </c>
      <c r="K14" s="23">
        <v>0</v>
      </c>
      <c r="L14" s="24">
        <v>0</v>
      </c>
      <c r="M14" s="24">
        <v>0</v>
      </c>
      <c r="N14" s="24">
        <v>0</v>
      </c>
      <c r="O14" s="23">
        <v>0</v>
      </c>
      <c r="P14" s="24">
        <v>0</v>
      </c>
      <c r="Q14" s="25">
        <v>0</v>
      </c>
      <c r="R14" s="25">
        <f t="shared" si="4"/>
        <v>0</v>
      </c>
      <c r="S14" s="23">
        <v>0</v>
      </c>
      <c r="T14" s="24">
        <v>0</v>
      </c>
      <c r="U14" s="25">
        <v>0</v>
      </c>
      <c r="V14" s="25">
        <v>0</v>
      </c>
      <c r="W14" s="23">
        <v>0</v>
      </c>
      <c r="X14" s="24">
        <v>4</v>
      </c>
      <c r="Y14" s="24">
        <v>4</v>
      </c>
      <c r="Z14" s="24">
        <f>X14-Y14</f>
        <v>0</v>
      </c>
      <c r="AA14" s="23">
        <v>0</v>
      </c>
      <c r="AB14" s="24">
        <v>0</v>
      </c>
      <c r="AC14" s="24">
        <v>0</v>
      </c>
      <c r="AD14" s="24">
        <f>AB14-AC14</f>
        <v>0</v>
      </c>
      <c r="AE14" s="23">
        <v>0</v>
      </c>
      <c r="AF14" s="24">
        <v>4</v>
      </c>
      <c r="AG14" s="24">
        <v>4</v>
      </c>
      <c r="AH14" s="24">
        <f>AF14-AG14</f>
        <v>0</v>
      </c>
      <c r="AI14" s="23">
        <v>0</v>
      </c>
      <c r="AJ14" s="24">
        <v>3</v>
      </c>
      <c r="AK14" s="24">
        <v>3</v>
      </c>
      <c r="AL14" s="24">
        <f>AJ14-AK14</f>
        <v>0</v>
      </c>
      <c r="AM14" s="23">
        <v>0</v>
      </c>
      <c r="AN14" s="24">
        <v>0</v>
      </c>
      <c r="AO14" s="24">
        <v>0</v>
      </c>
      <c r="AP14" s="24">
        <f>AN14-AO14</f>
        <v>0</v>
      </c>
      <c r="AQ14" s="23">
        <v>0</v>
      </c>
      <c r="AR14" s="24">
        <v>0</v>
      </c>
      <c r="AS14" s="25">
        <v>0</v>
      </c>
      <c r="AT14" s="25">
        <f t="shared" si="11"/>
        <v>0</v>
      </c>
      <c r="AU14" s="23">
        <v>0</v>
      </c>
      <c r="AV14" s="24">
        <v>0</v>
      </c>
      <c r="AW14" s="25">
        <v>0</v>
      </c>
      <c r="AX14" s="25">
        <f t="shared" si="12"/>
        <v>0</v>
      </c>
      <c r="AY14" s="23">
        <v>0</v>
      </c>
      <c r="AZ14" s="24">
        <v>3</v>
      </c>
      <c r="BA14" s="25">
        <v>3</v>
      </c>
      <c r="BB14" s="25">
        <f t="shared" si="13"/>
        <v>0</v>
      </c>
      <c r="BC14" s="23">
        <v>0</v>
      </c>
      <c r="BD14" s="24">
        <v>0</v>
      </c>
      <c r="BE14" s="25">
        <v>0</v>
      </c>
      <c r="BF14" s="25">
        <f t="shared" si="14"/>
        <v>0</v>
      </c>
      <c r="BG14" s="23">
        <v>0</v>
      </c>
      <c r="BH14" s="24">
        <v>0</v>
      </c>
      <c r="BI14" s="25">
        <v>0</v>
      </c>
      <c r="BJ14" s="25">
        <f t="shared" si="15"/>
        <v>0</v>
      </c>
      <c r="BK14" s="23">
        <v>0</v>
      </c>
      <c r="BL14" s="24">
        <v>0</v>
      </c>
      <c r="BM14" s="25">
        <v>0</v>
      </c>
      <c r="BN14" s="25">
        <f t="shared" si="16"/>
        <v>0</v>
      </c>
      <c r="BO14" s="23">
        <v>0</v>
      </c>
      <c r="BP14" s="24">
        <v>0</v>
      </c>
      <c r="BQ14" s="25">
        <v>0</v>
      </c>
      <c r="BR14" s="25">
        <f t="shared" si="17"/>
        <v>0</v>
      </c>
      <c r="BS14" s="23">
        <v>0</v>
      </c>
      <c r="BT14" s="24">
        <f t="shared" si="18"/>
        <v>18</v>
      </c>
      <c r="BU14" s="25">
        <f t="shared" si="19"/>
        <v>0</v>
      </c>
      <c r="BV14" s="25">
        <f t="shared" si="20"/>
        <v>0</v>
      </c>
      <c r="BW14" s="25">
        <f t="shared" si="21"/>
        <v>1</v>
      </c>
      <c r="BX14" s="25">
        <f t="shared" si="22"/>
        <v>1</v>
      </c>
      <c r="BY14" s="23">
        <f t="shared" si="23"/>
        <v>1</v>
      </c>
      <c r="CC14" s="133" t="s">
        <v>86</v>
      </c>
      <c r="CD14">
        <f>AVERAGE(BW25:BW26)</f>
        <v>1</v>
      </c>
      <c r="CE14">
        <f t="shared" ref="CE14:CF14" si="34">AVERAGE(BX25:BX26)</f>
        <v>0.86549707602339176</v>
      </c>
      <c r="CF14">
        <f t="shared" si="34"/>
        <v>0.92773109243697482</v>
      </c>
    </row>
    <row r="15" spans="1:84" x14ac:dyDescent="0.35">
      <c r="A15" s="55" t="s">
        <v>48</v>
      </c>
      <c r="B15" s="148"/>
      <c r="C15" s="26" t="s">
        <v>32</v>
      </c>
      <c r="D15" s="27">
        <v>3</v>
      </c>
      <c r="E15" s="28">
        <v>3</v>
      </c>
      <c r="F15" s="28">
        <f t="shared" si="1"/>
        <v>0</v>
      </c>
      <c r="G15" s="26">
        <v>0</v>
      </c>
      <c r="H15" s="27">
        <v>0</v>
      </c>
      <c r="I15" s="27">
        <v>0</v>
      </c>
      <c r="J15" s="27">
        <f t="shared" si="2"/>
        <v>0</v>
      </c>
      <c r="K15" s="26">
        <v>0</v>
      </c>
      <c r="L15" s="27">
        <v>0</v>
      </c>
      <c r="M15" s="27">
        <v>0</v>
      </c>
      <c r="N15" s="27">
        <f t="shared" si="3"/>
        <v>0</v>
      </c>
      <c r="O15" s="26">
        <v>0</v>
      </c>
      <c r="P15" s="27">
        <v>0</v>
      </c>
      <c r="Q15" s="28">
        <v>0</v>
      </c>
      <c r="R15" s="28">
        <f t="shared" si="4"/>
        <v>0</v>
      </c>
      <c r="S15" s="26">
        <v>0</v>
      </c>
      <c r="T15" s="27">
        <v>0</v>
      </c>
      <c r="U15" s="28">
        <v>0</v>
      </c>
      <c r="V15" s="28">
        <f t="shared" si="5"/>
        <v>0</v>
      </c>
      <c r="W15" s="26">
        <v>0</v>
      </c>
      <c r="X15" s="27">
        <v>3</v>
      </c>
      <c r="Y15" s="27">
        <v>3</v>
      </c>
      <c r="Z15" s="27">
        <f t="shared" si="6"/>
        <v>0</v>
      </c>
      <c r="AA15" s="26">
        <v>0</v>
      </c>
      <c r="AB15" s="27">
        <v>0</v>
      </c>
      <c r="AC15" s="27">
        <v>0</v>
      </c>
      <c r="AD15" s="27">
        <f t="shared" si="7"/>
        <v>0</v>
      </c>
      <c r="AE15" s="26">
        <v>0</v>
      </c>
      <c r="AF15" s="27">
        <v>3</v>
      </c>
      <c r="AG15" s="27">
        <v>3</v>
      </c>
      <c r="AH15" s="27">
        <f t="shared" si="8"/>
        <v>0</v>
      </c>
      <c r="AI15" s="26">
        <v>0</v>
      </c>
      <c r="AJ15" s="27">
        <v>2</v>
      </c>
      <c r="AK15" s="27">
        <v>2</v>
      </c>
      <c r="AL15" s="27">
        <f t="shared" si="9"/>
        <v>0</v>
      </c>
      <c r="AM15" s="26">
        <v>0</v>
      </c>
      <c r="AN15" s="27">
        <v>0</v>
      </c>
      <c r="AO15" s="27">
        <v>0</v>
      </c>
      <c r="AP15" s="27">
        <f t="shared" si="10"/>
        <v>0</v>
      </c>
      <c r="AQ15" s="26">
        <v>0</v>
      </c>
      <c r="AR15" s="27">
        <v>0</v>
      </c>
      <c r="AS15" s="28">
        <v>0</v>
      </c>
      <c r="AT15" s="28">
        <f t="shared" si="11"/>
        <v>0</v>
      </c>
      <c r="AU15" s="26">
        <v>0</v>
      </c>
      <c r="AV15" s="27">
        <v>0</v>
      </c>
      <c r="AW15" s="28">
        <v>0</v>
      </c>
      <c r="AX15" s="28">
        <f t="shared" si="12"/>
        <v>0</v>
      </c>
      <c r="AY15" s="26">
        <v>0</v>
      </c>
      <c r="AZ15" s="27">
        <v>2</v>
      </c>
      <c r="BA15" s="28">
        <v>0</v>
      </c>
      <c r="BB15" s="28">
        <f t="shared" si="13"/>
        <v>2</v>
      </c>
      <c r="BC15" s="26">
        <v>2</v>
      </c>
      <c r="BD15" s="27">
        <v>0</v>
      </c>
      <c r="BE15" s="28">
        <v>0</v>
      </c>
      <c r="BF15" s="28">
        <f t="shared" si="14"/>
        <v>0</v>
      </c>
      <c r="BG15" s="26">
        <v>0</v>
      </c>
      <c r="BH15" s="27">
        <v>0</v>
      </c>
      <c r="BI15" s="28">
        <v>0</v>
      </c>
      <c r="BJ15" s="28">
        <f t="shared" si="15"/>
        <v>0</v>
      </c>
      <c r="BK15" s="26">
        <v>0</v>
      </c>
      <c r="BL15" s="27">
        <v>0</v>
      </c>
      <c r="BM15" s="28">
        <v>0</v>
      </c>
      <c r="BN15" s="28">
        <f t="shared" si="16"/>
        <v>0</v>
      </c>
      <c r="BO15" s="26">
        <v>0</v>
      </c>
      <c r="BP15" s="27">
        <v>0</v>
      </c>
      <c r="BQ15" s="28">
        <v>0</v>
      </c>
      <c r="BR15" s="28">
        <f t="shared" si="17"/>
        <v>0</v>
      </c>
      <c r="BS15" s="26">
        <v>0</v>
      </c>
      <c r="BT15" s="27">
        <f t="shared" si="18"/>
        <v>11</v>
      </c>
      <c r="BU15" s="28">
        <f t="shared" si="19"/>
        <v>2</v>
      </c>
      <c r="BV15" s="28">
        <f t="shared" si="20"/>
        <v>2</v>
      </c>
      <c r="BW15" s="28">
        <f t="shared" si="21"/>
        <v>0.84615384615384615</v>
      </c>
      <c r="BX15" s="28">
        <f t="shared" si="22"/>
        <v>0.84615384615384615</v>
      </c>
      <c r="BY15" s="26">
        <f t="shared" si="23"/>
        <v>0.84615384615384615</v>
      </c>
      <c r="CC15" s="133" t="s">
        <v>87</v>
      </c>
      <c r="CD15">
        <f>AVERAGE(BW27:BW28)</f>
        <v>0.85714285714285721</v>
      </c>
      <c r="CE15">
        <f t="shared" ref="CE15:CF15" si="35">AVERAGE(BX27:BX28)</f>
        <v>0.83095238095238089</v>
      </c>
      <c r="CF15">
        <f t="shared" si="35"/>
        <v>0.84359605911330049</v>
      </c>
    </row>
    <row r="16" spans="1:84" x14ac:dyDescent="0.35">
      <c r="A16" s="55" t="s">
        <v>48</v>
      </c>
      <c r="B16" s="148"/>
      <c r="C16" s="26" t="s">
        <v>65</v>
      </c>
      <c r="D16" s="27">
        <v>3</v>
      </c>
      <c r="E16" s="28">
        <v>3</v>
      </c>
      <c r="F16" s="28">
        <f t="shared" si="1"/>
        <v>0</v>
      </c>
      <c r="G16" s="26">
        <v>0</v>
      </c>
      <c r="H16" s="27">
        <v>0</v>
      </c>
      <c r="I16" s="27">
        <v>0</v>
      </c>
      <c r="J16" s="27">
        <f t="shared" si="2"/>
        <v>0</v>
      </c>
      <c r="K16" s="26">
        <v>0</v>
      </c>
      <c r="L16" s="27">
        <v>0</v>
      </c>
      <c r="M16" s="27">
        <v>0</v>
      </c>
      <c r="N16" s="27">
        <f t="shared" si="3"/>
        <v>0</v>
      </c>
      <c r="O16" s="26">
        <v>0</v>
      </c>
      <c r="P16" s="27">
        <v>0</v>
      </c>
      <c r="Q16" s="28">
        <v>0</v>
      </c>
      <c r="R16" s="28">
        <f t="shared" si="4"/>
        <v>0</v>
      </c>
      <c r="S16" s="26">
        <v>0</v>
      </c>
      <c r="T16" s="27">
        <v>0</v>
      </c>
      <c r="U16" s="28">
        <v>0</v>
      </c>
      <c r="V16" s="28">
        <f t="shared" si="5"/>
        <v>0</v>
      </c>
      <c r="W16" s="26">
        <v>0</v>
      </c>
      <c r="X16" s="27">
        <v>3</v>
      </c>
      <c r="Y16" s="27">
        <v>3</v>
      </c>
      <c r="Z16" s="27">
        <v>0</v>
      </c>
      <c r="AA16" s="26">
        <v>0</v>
      </c>
      <c r="AB16" s="27">
        <v>0</v>
      </c>
      <c r="AC16" s="27">
        <v>0</v>
      </c>
      <c r="AD16" s="27">
        <f t="shared" si="7"/>
        <v>0</v>
      </c>
      <c r="AE16" s="26">
        <v>0</v>
      </c>
      <c r="AF16" s="27">
        <v>3</v>
      </c>
      <c r="AG16" s="27">
        <v>3</v>
      </c>
      <c r="AH16" s="27">
        <f t="shared" si="8"/>
        <v>0</v>
      </c>
      <c r="AI16" s="26">
        <v>0</v>
      </c>
      <c r="AJ16" s="27">
        <v>2</v>
      </c>
      <c r="AK16" s="27">
        <v>2</v>
      </c>
      <c r="AL16" s="27">
        <f t="shared" si="9"/>
        <v>0</v>
      </c>
      <c r="AM16" s="26">
        <v>0</v>
      </c>
      <c r="AN16" s="27">
        <v>0</v>
      </c>
      <c r="AO16" s="27">
        <v>0</v>
      </c>
      <c r="AP16" s="27">
        <f t="shared" si="10"/>
        <v>0</v>
      </c>
      <c r="AQ16" s="26">
        <v>0</v>
      </c>
      <c r="AR16" s="27">
        <v>0</v>
      </c>
      <c r="AS16" s="28">
        <v>0</v>
      </c>
      <c r="AT16" s="28">
        <f t="shared" si="11"/>
        <v>0</v>
      </c>
      <c r="AU16" s="26">
        <v>0</v>
      </c>
      <c r="AV16" s="27">
        <v>0</v>
      </c>
      <c r="AW16" s="28">
        <v>0</v>
      </c>
      <c r="AX16" s="28">
        <f t="shared" si="12"/>
        <v>0</v>
      </c>
      <c r="AY16" s="26">
        <v>0</v>
      </c>
      <c r="AZ16" s="27">
        <v>2</v>
      </c>
      <c r="BA16" s="28">
        <v>2</v>
      </c>
      <c r="BB16" s="28">
        <f t="shared" si="13"/>
        <v>0</v>
      </c>
      <c r="BC16" s="26">
        <v>0</v>
      </c>
      <c r="BD16" s="27">
        <v>0</v>
      </c>
      <c r="BE16" s="28">
        <v>0</v>
      </c>
      <c r="BF16" s="28">
        <f t="shared" si="14"/>
        <v>0</v>
      </c>
      <c r="BG16" s="26">
        <v>0</v>
      </c>
      <c r="BH16" s="27">
        <v>0</v>
      </c>
      <c r="BI16" s="28">
        <v>0</v>
      </c>
      <c r="BJ16" s="28">
        <f t="shared" si="15"/>
        <v>0</v>
      </c>
      <c r="BK16" s="26">
        <v>0</v>
      </c>
      <c r="BL16" s="27">
        <v>0</v>
      </c>
      <c r="BM16" s="28">
        <v>0</v>
      </c>
      <c r="BN16" s="28">
        <f t="shared" si="16"/>
        <v>0</v>
      </c>
      <c r="BO16" s="26">
        <v>0</v>
      </c>
      <c r="BP16" s="27">
        <v>0</v>
      </c>
      <c r="BQ16" s="28">
        <v>0</v>
      </c>
      <c r="BR16" s="28">
        <f t="shared" si="17"/>
        <v>0</v>
      </c>
      <c r="BS16" s="26">
        <v>0</v>
      </c>
      <c r="BT16" s="27">
        <f t="shared" si="18"/>
        <v>13</v>
      </c>
      <c r="BU16" s="28">
        <f t="shared" si="19"/>
        <v>0</v>
      </c>
      <c r="BV16" s="28">
        <f t="shared" si="20"/>
        <v>0</v>
      </c>
      <c r="BW16" s="28">
        <f t="shared" si="21"/>
        <v>1</v>
      </c>
      <c r="BX16" s="28">
        <f t="shared" si="22"/>
        <v>1</v>
      </c>
      <c r="BY16" s="26">
        <f t="shared" si="23"/>
        <v>1</v>
      </c>
      <c r="CC16" s="133" t="s">
        <v>88</v>
      </c>
      <c r="CD16">
        <f>AVERAGE(BW29:BW30)</f>
        <v>0.81818181818181823</v>
      </c>
      <c r="CE16">
        <f t="shared" ref="CE16:CF16" si="36">AVERAGE(BX29:BX30)</f>
        <v>1</v>
      </c>
      <c r="CF16">
        <f t="shared" si="36"/>
        <v>0.9</v>
      </c>
    </row>
    <row r="17" spans="1:84" x14ac:dyDescent="0.35">
      <c r="A17" s="56" t="s">
        <v>48</v>
      </c>
      <c r="B17" s="148"/>
      <c r="C17" s="29" t="s">
        <v>33</v>
      </c>
      <c r="D17" s="30">
        <v>2</v>
      </c>
      <c r="E17" s="31">
        <v>2</v>
      </c>
      <c r="F17" s="31">
        <f t="shared" si="1"/>
        <v>0</v>
      </c>
      <c r="G17" s="29">
        <v>0</v>
      </c>
      <c r="H17" s="30">
        <v>2</v>
      </c>
      <c r="I17" s="31">
        <v>2</v>
      </c>
      <c r="J17" s="31">
        <f t="shared" si="2"/>
        <v>0</v>
      </c>
      <c r="K17" s="29">
        <v>0</v>
      </c>
      <c r="L17" s="30">
        <v>1</v>
      </c>
      <c r="M17" s="31">
        <v>1</v>
      </c>
      <c r="N17" s="31">
        <f t="shared" si="3"/>
        <v>0</v>
      </c>
      <c r="O17" s="29">
        <v>0</v>
      </c>
      <c r="P17" s="30">
        <v>1</v>
      </c>
      <c r="Q17" s="31">
        <v>1</v>
      </c>
      <c r="R17" s="31">
        <f t="shared" si="4"/>
        <v>0</v>
      </c>
      <c r="S17" s="29">
        <v>1</v>
      </c>
      <c r="T17" s="30">
        <v>1</v>
      </c>
      <c r="U17" s="31">
        <v>1</v>
      </c>
      <c r="V17" s="31">
        <f t="shared" si="5"/>
        <v>0</v>
      </c>
      <c r="W17" s="29">
        <v>0</v>
      </c>
      <c r="X17" s="30">
        <v>1</v>
      </c>
      <c r="Y17" s="31">
        <v>1</v>
      </c>
      <c r="Z17" s="31">
        <f t="shared" si="6"/>
        <v>0</v>
      </c>
      <c r="AA17" s="29">
        <v>0</v>
      </c>
      <c r="AB17" s="30">
        <v>0</v>
      </c>
      <c r="AC17" s="31">
        <v>0</v>
      </c>
      <c r="AD17" s="31">
        <f t="shared" si="7"/>
        <v>0</v>
      </c>
      <c r="AE17" s="29">
        <v>0</v>
      </c>
      <c r="AF17" s="30">
        <v>1</v>
      </c>
      <c r="AG17" s="31">
        <v>1</v>
      </c>
      <c r="AH17" s="31">
        <f t="shared" si="8"/>
        <v>0</v>
      </c>
      <c r="AI17" s="29">
        <v>0</v>
      </c>
      <c r="AJ17" s="30">
        <v>0</v>
      </c>
      <c r="AK17" s="31">
        <v>0</v>
      </c>
      <c r="AL17" s="31">
        <f t="shared" si="9"/>
        <v>0</v>
      </c>
      <c r="AM17" s="29">
        <v>0</v>
      </c>
      <c r="AN17" s="30">
        <v>0</v>
      </c>
      <c r="AO17" s="31">
        <v>0</v>
      </c>
      <c r="AP17" s="31">
        <f t="shared" si="10"/>
        <v>0</v>
      </c>
      <c r="AQ17" s="29">
        <v>0</v>
      </c>
      <c r="AR17" s="30">
        <v>0</v>
      </c>
      <c r="AS17" s="31">
        <v>0</v>
      </c>
      <c r="AT17" s="31">
        <f t="shared" si="11"/>
        <v>0</v>
      </c>
      <c r="AU17" s="29">
        <v>0</v>
      </c>
      <c r="AV17" s="30">
        <v>1</v>
      </c>
      <c r="AW17" s="31">
        <v>1</v>
      </c>
      <c r="AX17" s="31">
        <f t="shared" si="12"/>
        <v>0</v>
      </c>
      <c r="AY17" s="29">
        <v>0</v>
      </c>
      <c r="AZ17" s="30">
        <v>1</v>
      </c>
      <c r="BA17" s="31">
        <v>0</v>
      </c>
      <c r="BB17" s="31">
        <f t="shared" si="13"/>
        <v>1</v>
      </c>
      <c r="BC17" s="29">
        <v>1</v>
      </c>
      <c r="BD17" s="30">
        <v>0</v>
      </c>
      <c r="BE17" s="31">
        <v>0</v>
      </c>
      <c r="BF17" s="31">
        <f t="shared" si="14"/>
        <v>0</v>
      </c>
      <c r="BG17" s="29">
        <v>0</v>
      </c>
      <c r="BH17" s="30">
        <v>0</v>
      </c>
      <c r="BI17" s="31">
        <v>0</v>
      </c>
      <c r="BJ17" s="31">
        <f t="shared" si="15"/>
        <v>0</v>
      </c>
      <c r="BK17" s="29">
        <v>0</v>
      </c>
      <c r="BL17" s="30">
        <v>0</v>
      </c>
      <c r="BM17" s="31">
        <v>0</v>
      </c>
      <c r="BN17" s="31">
        <f t="shared" si="16"/>
        <v>0</v>
      </c>
      <c r="BO17" s="29">
        <v>0</v>
      </c>
      <c r="BP17" s="30">
        <v>0</v>
      </c>
      <c r="BQ17" s="31">
        <v>0</v>
      </c>
      <c r="BR17" s="31">
        <f t="shared" si="17"/>
        <v>0</v>
      </c>
      <c r="BS17" s="29">
        <v>0</v>
      </c>
      <c r="BT17" s="30">
        <f t="shared" si="18"/>
        <v>10</v>
      </c>
      <c r="BU17" s="31">
        <f t="shared" si="19"/>
        <v>1</v>
      </c>
      <c r="BV17" s="31">
        <f t="shared" si="20"/>
        <v>2</v>
      </c>
      <c r="BW17" s="31">
        <f t="shared" si="21"/>
        <v>0.90909090909090906</v>
      </c>
      <c r="BX17" s="31">
        <f t="shared" si="22"/>
        <v>0.83333333333333337</v>
      </c>
      <c r="BY17" s="29">
        <f t="shared" si="23"/>
        <v>0.86956521739130432</v>
      </c>
      <c r="CC17" s="133" t="s">
        <v>89</v>
      </c>
      <c r="CD17">
        <f>AVERAGE(BW31:BW32)</f>
        <v>0.79166666666666674</v>
      </c>
      <c r="CE17">
        <f t="shared" ref="CE17:CF17" si="37">AVERAGE(BX31:BX32)</f>
        <v>0.95</v>
      </c>
      <c r="CF17">
        <f t="shared" si="37"/>
        <v>0.86363636363636365</v>
      </c>
    </row>
    <row r="18" spans="1:84" x14ac:dyDescent="0.35">
      <c r="A18" s="56" t="s">
        <v>48</v>
      </c>
      <c r="B18" s="148"/>
      <c r="C18" s="29" t="s">
        <v>66</v>
      </c>
      <c r="D18" s="30">
        <v>2</v>
      </c>
      <c r="E18" s="31">
        <v>2</v>
      </c>
      <c r="F18" s="31">
        <f t="shared" si="1"/>
        <v>0</v>
      </c>
      <c r="G18" s="29">
        <v>0</v>
      </c>
      <c r="H18" s="30">
        <v>2</v>
      </c>
      <c r="I18" s="31">
        <v>2</v>
      </c>
      <c r="J18" s="31">
        <f t="shared" si="2"/>
        <v>0</v>
      </c>
      <c r="K18" s="29">
        <v>0</v>
      </c>
      <c r="L18" s="30">
        <v>1</v>
      </c>
      <c r="M18" s="31">
        <v>1</v>
      </c>
      <c r="N18" s="31">
        <f t="shared" si="3"/>
        <v>0</v>
      </c>
      <c r="O18" s="29">
        <v>0</v>
      </c>
      <c r="P18" s="30">
        <v>1</v>
      </c>
      <c r="Q18" s="31">
        <v>1</v>
      </c>
      <c r="R18" s="31">
        <f t="shared" si="4"/>
        <v>0</v>
      </c>
      <c r="S18" s="29">
        <v>1</v>
      </c>
      <c r="T18" s="30">
        <v>1</v>
      </c>
      <c r="U18" s="31">
        <v>1</v>
      </c>
      <c r="V18" s="31">
        <f t="shared" si="5"/>
        <v>0</v>
      </c>
      <c r="W18" s="29">
        <v>0</v>
      </c>
      <c r="X18" s="30">
        <v>1</v>
      </c>
      <c r="Y18" s="31">
        <v>1</v>
      </c>
      <c r="Z18" s="31">
        <f t="shared" si="6"/>
        <v>0</v>
      </c>
      <c r="AA18" s="29">
        <v>0</v>
      </c>
      <c r="AB18" s="30">
        <v>0</v>
      </c>
      <c r="AC18" s="31">
        <v>0</v>
      </c>
      <c r="AD18" s="31">
        <f t="shared" si="7"/>
        <v>0</v>
      </c>
      <c r="AE18" s="29">
        <v>0</v>
      </c>
      <c r="AF18" s="30">
        <v>1</v>
      </c>
      <c r="AG18" s="31">
        <v>1</v>
      </c>
      <c r="AH18" s="31">
        <f t="shared" si="8"/>
        <v>0</v>
      </c>
      <c r="AI18" s="29">
        <v>0</v>
      </c>
      <c r="AJ18" s="30">
        <v>0</v>
      </c>
      <c r="AK18" s="31">
        <v>0</v>
      </c>
      <c r="AL18" s="31">
        <f t="shared" si="9"/>
        <v>0</v>
      </c>
      <c r="AM18" s="29">
        <v>0</v>
      </c>
      <c r="AN18" s="30">
        <v>0</v>
      </c>
      <c r="AO18" s="31">
        <v>0</v>
      </c>
      <c r="AP18" s="31">
        <f t="shared" si="10"/>
        <v>0</v>
      </c>
      <c r="AQ18" s="29">
        <v>0</v>
      </c>
      <c r="AR18" s="30">
        <v>0</v>
      </c>
      <c r="AS18" s="31">
        <v>0</v>
      </c>
      <c r="AT18" s="31">
        <f t="shared" si="11"/>
        <v>0</v>
      </c>
      <c r="AU18" s="29">
        <v>0</v>
      </c>
      <c r="AV18" s="30">
        <v>1</v>
      </c>
      <c r="AW18" s="31">
        <v>1</v>
      </c>
      <c r="AX18" s="31">
        <f t="shared" si="12"/>
        <v>0</v>
      </c>
      <c r="AY18" s="29">
        <v>0</v>
      </c>
      <c r="AZ18" s="30">
        <v>1</v>
      </c>
      <c r="BA18" s="31">
        <v>0</v>
      </c>
      <c r="BB18" s="31">
        <f t="shared" si="13"/>
        <v>1</v>
      </c>
      <c r="BC18" s="29">
        <v>1</v>
      </c>
      <c r="BD18" s="30">
        <v>0</v>
      </c>
      <c r="BE18" s="31">
        <v>0</v>
      </c>
      <c r="BF18" s="31">
        <f t="shared" si="14"/>
        <v>0</v>
      </c>
      <c r="BG18" s="29">
        <v>0</v>
      </c>
      <c r="BH18" s="30">
        <v>0</v>
      </c>
      <c r="BI18" s="31">
        <v>0</v>
      </c>
      <c r="BJ18" s="31">
        <f t="shared" si="15"/>
        <v>0</v>
      </c>
      <c r="BK18" s="29">
        <v>0</v>
      </c>
      <c r="BL18" s="30">
        <v>0</v>
      </c>
      <c r="BM18" s="31">
        <v>0</v>
      </c>
      <c r="BN18" s="31">
        <f>BL18-BM18</f>
        <v>0</v>
      </c>
      <c r="BO18" s="29">
        <v>0</v>
      </c>
      <c r="BP18" s="30">
        <v>0</v>
      </c>
      <c r="BQ18" s="31">
        <v>0</v>
      </c>
      <c r="BR18" s="31">
        <f t="shared" si="17"/>
        <v>0</v>
      </c>
      <c r="BS18" s="29">
        <v>0</v>
      </c>
      <c r="BT18" s="30">
        <f t="shared" si="18"/>
        <v>10</v>
      </c>
      <c r="BU18" s="31">
        <f t="shared" si="19"/>
        <v>1</v>
      </c>
      <c r="BV18" s="31">
        <f t="shared" si="20"/>
        <v>2</v>
      </c>
      <c r="BW18" s="31">
        <f t="shared" si="21"/>
        <v>0.90909090909090906</v>
      </c>
      <c r="BX18" s="31">
        <f t="shared" si="22"/>
        <v>0.83333333333333337</v>
      </c>
      <c r="BY18" s="29">
        <f t="shared" si="23"/>
        <v>0.86956521739130432</v>
      </c>
      <c r="CC18" s="133" t="s">
        <v>90</v>
      </c>
      <c r="CD18">
        <f>AVERAGE(BW33:BW34)</f>
        <v>1</v>
      </c>
      <c r="CE18">
        <f t="shared" ref="CE18:CF18" si="38">AVERAGE(BX33:BX34)</f>
        <v>1</v>
      </c>
      <c r="CF18">
        <f t="shared" si="38"/>
        <v>1</v>
      </c>
    </row>
    <row r="19" spans="1:84" x14ac:dyDescent="0.35">
      <c r="A19" s="57" t="s">
        <v>48</v>
      </c>
      <c r="B19" s="148"/>
      <c r="C19" s="32" t="s">
        <v>34</v>
      </c>
      <c r="D19" s="33">
        <v>2</v>
      </c>
      <c r="E19" s="34">
        <v>2</v>
      </c>
      <c r="F19" s="34">
        <f t="shared" si="1"/>
        <v>0</v>
      </c>
      <c r="G19" s="32">
        <v>0</v>
      </c>
      <c r="H19" s="33">
        <v>2</v>
      </c>
      <c r="I19" s="34">
        <v>2</v>
      </c>
      <c r="J19" s="34">
        <f t="shared" si="2"/>
        <v>0</v>
      </c>
      <c r="K19" s="32">
        <v>0</v>
      </c>
      <c r="L19" s="33">
        <v>1</v>
      </c>
      <c r="M19" s="34">
        <v>1</v>
      </c>
      <c r="N19" s="34">
        <f t="shared" si="3"/>
        <v>0</v>
      </c>
      <c r="O19" s="32">
        <v>0</v>
      </c>
      <c r="P19" s="33">
        <v>1</v>
      </c>
      <c r="Q19" s="34">
        <v>1</v>
      </c>
      <c r="R19" s="34">
        <f t="shared" si="4"/>
        <v>0</v>
      </c>
      <c r="S19" s="32">
        <v>1</v>
      </c>
      <c r="T19" s="33">
        <v>1</v>
      </c>
      <c r="U19" s="34">
        <v>1</v>
      </c>
      <c r="V19" s="34">
        <f t="shared" si="5"/>
        <v>0</v>
      </c>
      <c r="W19" s="32">
        <v>0</v>
      </c>
      <c r="X19" s="33">
        <v>1</v>
      </c>
      <c r="Y19" s="34">
        <v>1</v>
      </c>
      <c r="Z19" s="34">
        <f t="shared" si="6"/>
        <v>0</v>
      </c>
      <c r="AA19" s="32">
        <v>0</v>
      </c>
      <c r="AB19" s="33">
        <v>1</v>
      </c>
      <c r="AC19" s="34">
        <v>1</v>
      </c>
      <c r="AD19" s="34">
        <f t="shared" si="7"/>
        <v>0</v>
      </c>
      <c r="AE19" s="32">
        <v>0</v>
      </c>
      <c r="AF19" s="33">
        <v>1</v>
      </c>
      <c r="AG19" s="34">
        <v>1</v>
      </c>
      <c r="AH19" s="34">
        <f t="shared" si="8"/>
        <v>0</v>
      </c>
      <c r="AI19" s="32">
        <v>0</v>
      </c>
      <c r="AJ19" s="33">
        <v>0</v>
      </c>
      <c r="AK19" s="34">
        <v>0</v>
      </c>
      <c r="AL19" s="34">
        <f t="shared" si="9"/>
        <v>0</v>
      </c>
      <c r="AM19" s="32">
        <v>0</v>
      </c>
      <c r="AN19" s="33">
        <v>0</v>
      </c>
      <c r="AO19" s="34">
        <v>0</v>
      </c>
      <c r="AP19" s="34">
        <f t="shared" si="10"/>
        <v>0</v>
      </c>
      <c r="AQ19" s="32">
        <v>0</v>
      </c>
      <c r="AR19" s="33">
        <v>0</v>
      </c>
      <c r="AS19" s="34">
        <v>0</v>
      </c>
      <c r="AT19" s="34">
        <f t="shared" si="11"/>
        <v>0</v>
      </c>
      <c r="AU19" s="32">
        <v>3</v>
      </c>
      <c r="AV19" s="33">
        <v>1</v>
      </c>
      <c r="AW19" s="34">
        <v>1</v>
      </c>
      <c r="AX19" s="34">
        <f t="shared" si="12"/>
        <v>0</v>
      </c>
      <c r="AY19" s="32">
        <v>0</v>
      </c>
      <c r="AZ19" s="33">
        <v>1</v>
      </c>
      <c r="BA19" s="34">
        <v>0</v>
      </c>
      <c r="BB19" s="34">
        <f t="shared" si="13"/>
        <v>1</v>
      </c>
      <c r="BC19" s="32">
        <v>1</v>
      </c>
      <c r="BD19" s="33">
        <v>0</v>
      </c>
      <c r="BE19" s="34">
        <v>0</v>
      </c>
      <c r="BF19" s="34">
        <f t="shared" si="14"/>
        <v>0</v>
      </c>
      <c r="BG19" s="32">
        <v>0</v>
      </c>
      <c r="BH19" s="33">
        <v>0</v>
      </c>
      <c r="BI19" s="34">
        <v>0</v>
      </c>
      <c r="BJ19" s="34">
        <f t="shared" si="15"/>
        <v>0</v>
      </c>
      <c r="BK19" s="32">
        <v>0</v>
      </c>
      <c r="BL19" s="33">
        <v>0</v>
      </c>
      <c r="BM19" s="34">
        <v>0</v>
      </c>
      <c r="BN19" s="34">
        <f t="shared" si="16"/>
        <v>0</v>
      </c>
      <c r="BO19" s="32">
        <v>0</v>
      </c>
      <c r="BP19" s="33">
        <v>0</v>
      </c>
      <c r="BQ19" s="34">
        <v>0</v>
      </c>
      <c r="BR19" s="34">
        <f t="shared" si="17"/>
        <v>0</v>
      </c>
      <c r="BS19" s="32">
        <v>0</v>
      </c>
      <c r="BT19" s="33">
        <f t="shared" si="18"/>
        <v>11</v>
      </c>
      <c r="BU19" s="34">
        <f t="shared" si="19"/>
        <v>1</v>
      </c>
      <c r="BV19" s="34">
        <f t="shared" si="20"/>
        <v>5</v>
      </c>
      <c r="BW19" s="34">
        <f t="shared" si="21"/>
        <v>0.91666666666666663</v>
      </c>
      <c r="BX19" s="34">
        <f t="shared" si="22"/>
        <v>0.6875</v>
      </c>
      <c r="BY19" s="32">
        <f t="shared" si="23"/>
        <v>0.7857142857142857</v>
      </c>
      <c r="CC19" s="133" t="s">
        <v>57</v>
      </c>
      <c r="CD19">
        <f>AVERAGE(CD3:CD18)</f>
        <v>0.84936991623572511</v>
      </c>
      <c r="CE19">
        <f t="shared" ref="CE19:CF19" si="39">AVERAGE(CE3:CE18)</f>
        <v>0.87480874616976589</v>
      </c>
      <c r="CF19">
        <f t="shared" si="39"/>
        <v>0.85571807562710711</v>
      </c>
    </row>
    <row r="20" spans="1:84" x14ac:dyDescent="0.35">
      <c r="A20" s="57" t="s">
        <v>48</v>
      </c>
      <c r="B20" s="148"/>
      <c r="C20" s="32" t="s">
        <v>67</v>
      </c>
      <c r="D20" s="33">
        <v>2</v>
      </c>
      <c r="E20" s="34">
        <v>2</v>
      </c>
      <c r="F20" s="34">
        <f t="shared" si="1"/>
        <v>0</v>
      </c>
      <c r="G20" s="32">
        <v>0</v>
      </c>
      <c r="H20" s="33">
        <v>2</v>
      </c>
      <c r="I20" s="34">
        <v>2</v>
      </c>
      <c r="J20" s="34">
        <f t="shared" si="2"/>
        <v>0</v>
      </c>
      <c r="K20" s="32">
        <v>0</v>
      </c>
      <c r="L20" s="33">
        <v>1</v>
      </c>
      <c r="M20" s="34">
        <v>1</v>
      </c>
      <c r="N20" s="34">
        <f t="shared" si="3"/>
        <v>0</v>
      </c>
      <c r="O20" s="32">
        <v>0</v>
      </c>
      <c r="P20" s="33">
        <v>1</v>
      </c>
      <c r="Q20" s="34">
        <v>1</v>
      </c>
      <c r="R20" s="34">
        <f t="shared" si="4"/>
        <v>0</v>
      </c>
      <c r="S20" s="32">
        <v>1</v>
      </c>
      <c r="T20" s="33">
        <v>1</v>
      </c>
      <c r="U20" s="34">
        <v>1</v>
      </c>
      <c r="V20" s="34">
        <f t="shared" si="5"/>
        <v>0</v>
      </c>
      <c r="W20" s="32">
        <v>0</v>
      </c>
      <c r="X20" s="33">
        <v>1</v>
      </c>
      <c r="Y20" s="34">
        <v>1</v>
      </c>
      <c r="Z20" s="34">
        <f t="shared" si="6"/>
        <v>0</v>
      </c>
      <c r="AA20" s="32">
        <v>0</v>
      </c>
      <c r="AB20" s="33">
        <v>1</v>
      </c>
      <c r="AC20" s="34">
        <v>1</v>
      </c>
      <c r="AD20" s="34">
        <f t="shared" si="7"/>
        <v>0</v>
      </c>
      <c r="AE20" s="32">
        <v>0</v>
      </c>
      <c r="AF20" s="33">
        <v>1</v>
      </c>
      <c r="AG20" s="34">
        <v>1</v>
      </c>
      <c r="AH20" s="34">
        <f t="shared" si="8"/>
        <v>0</v>
      </c>
      <c r="AI20" s="32">
        <v>0</v>
      </c>
      <c r="AJ20" s="33">
        <v>0</v>
      </c>
      <c r="AK20" s="34">
        <v>0</v>
      </c>
      <c r="AL20" s="34">
        <f t="shared" si="9"/>
        <v>0</v>
      </c>
      <c r="AM20" s="32">
        <v>0</v>
      </c>
      <c r="AN20" s="33">
        <v>0</v>
      </c>
      <c r="AO20" s="34">
        <v>0</v>
      </c>
      <c r="AP20" s="34">
        <f t="shared" si="10"/>
        <v>0</v>
      </c>
      <c r="AQ20" s="32">
        <v>0</v>
      </c>
      <c r="AR20" s="33">
        <v>0</v>
      </c>
      <c r="AS20" s="34">
        <v>0</v>
      </c>
      <c r="AT20" s="34">
        <f t="shared" si="11"/>
        <v>0</v>
      </c>
      <c r="AU20" s="32">
        <v>1</v>
      </c>
      <c r="AV20" s="33">
        <v>1</v>
      </c>
      <c r="AW20" s="34">
        <v>0</v>
      </c>
      <c r="AX20" s="34">
        <f t="shared" si="12"/>
        <v>1</v>
      </c>
      <c r="AY20" s="32">
        <v>1</v>
      </c>
      <c r="AZ20" s="33">
        <v>1</v>
      </c>
      <c r="BA20" s="34">
        <v>0</v>
      </c>
      <c r="BB20" s="34">
        <f t="shared" si="13"/>
        <v>1</v>
      </c>
      <c r="BC20" s="32">
        <v>1</v>
      </c>
      <c r="BD20" s="33">
        <v>0</v>
      </c>
      <c r="BE20" s="34">
        <v>0</v>
      </c>
      <c r="BF20" s="34">
        <f t="shared" si="14"/>
        <v>0</v>
      </c>
      <c r="BG20" s="32">
        <v>0</v>
      </c>
      <c r="BH20" s="33">
        <v>0</v>
      </c>
      <c r="BI20" s="34">
        <v>0</v>
      </c>
      <c r="BJ20" s="34">
        <f t="shared" si="15"/>
        <v>0</v>
      </c>
      <c r="BK20" s="32">
        <v>0</v>
      </c>
      <c r="BL20" s="33">
        <v>0</v>
      </c>
      <c r="BM20" s="34">
        <v>0</v>
      </c>
      <c r="BN20" s="34">
        <f t="shared" si="16"/>
        <v>0</v>
      </c>
      <c r="BO20" s="32">
        <v>0</v>
      </c>
      <c r="BP20" s="33">
        <v>0</v>
      </c>
      <c r="BQ20" s="34">
        <v>0</v>
      </c>
      <c r="BR20" s="34">
        <f t="shared" si="17"/>
        <v>0</v>
      </c>
      <c r="BS20" s="32">
        <v>0</v>
      </c>
      <c r="BT20" s="33">
        <f t="shared" si="18"/>
        <v>10</v>
      </c>
      <c r="BU20" s="34">
        <f t="shared" si="19"/>
        <v>2</v>
      </c>
      <c r="BV20" s="34">
        <f t="shared" si="20"/>
        <v>4</v>
      </c>
      <c r="BW20" s="34">
        <f t="shared" si="21"/>
        <v>0.83333333333333337</v>
      </c>
      <c r="BX20" s="34">
        <f t="shared" si="22"/>
        <v>0.7142857142857143</v>
      </c>
      <c r="BY20" s="32">
        <f t="shared" si="23"/>
        <v>0.76923076923076916</v>
      </c>
    </row>
    <row r="21" spans="1:84" x14ac:dyDescent="0.35">
      <c r="A21" s="58" t="s">
        <v>48</v>
      </c>
      <c r="B21" s="148"/>
      <c r="C21" s="35" t="s">
        <v>35</v>
      </c>
      <c r="D21" s="36">
        <v>2</v>
      </c>
      <c r="E21" s="37">
        <v>2</v>
      </c>
      <c r="F21" s="37">
        <f t="shared" si="1"/>
        <v>0</v>
      </c>
      <c r="G21" s="35">
        <v>0</v>
      </c>
      <c r="H21" s="36">
        <v>2</v>
      </c>
      <c r="I21" s="37">
        <v>2</v>
      </c>
      <c r="J21" s="37">
        <f t="shared" si="2"/>
        <v>0</v>
      </c>
      <c r="K21" s="35">
        <v>0</v>
      </c>
      <c r="L21" s="36">
        <v>3</v>
      </c>
      <c r="M21" s="37">
        <v>3</v>
      </c>
      <c r="N21" s="37">
        <f t="shared" si="3"/>
        <v>0</v>
      </c>
      <c r="O21" s="35">
        <v>0</v>
      </c>
      <c r="P21" s="36">
        <v>2</v>
      </c>
      <c r="Q21" s="37">
        <v>2</v>
      </c>
      <c r="R21" s="37">
        <f t="shared" si="4"/>
        <v>0</v>
      </c>
      <c r="S21" s="35">
        <v>1</v>
      </c>
      <c r="T21" s="36">
        <v>2</v>
      </c>
      <c r="U21" s="37">
        <v>2</v>
      </c>
      <c r="V21" s="37">
        <f t="shared" si="5"/>
        <v>0</v>
      </c>
      <c r="W21" s="35">
        <v>0</v>
      </c>
      <c r="X21" s="36">
        <v>2</v>
      </c>
      <c r="Y21" s="37">
        <v>2</v>
      </c>
      <c r="Z21" s="37">
        <f t="shared" si="6"/>
        <v>0</v>
      </c>
      <c r="AA21" s="35">
        <v>0</v>
      </c>
      <c r="AB21" s="36">
        <v>0</v>
      </c>
      <c r="AC21" s="37">
        <v>0</v>
      </c>
      <c r="AD21" s="37">
        <f t="shared" si="7"/>
        <v>0</v>
      </c>
      <c r="AE21" s="35">
        <v>3</v>
      </c>
      <c r="AF21" s="36">
        <v>2</v>
      </c>
      <c r="AG21" s="37">
        <v>2</v>
      </c>
      <c r="AH21" s="37">
        <f t="shared" si="8"/>
        <v>0</v>
      </c>
      <c r="AI21" s="35">
        <v>0</v>
      </c>
      <c r="AJ21" s="36">
        <v>0</v>
      </c>
      <c r="AK21" s="37">
        <v>0</v>
      </c>
      <c r="AL21" s="37">
        <f t="shared" si="9"/>
        <v>0</v>
      </c>
      <c r="AM21" s="35">
        <v>0</v>
      </c>
      <c r="AN21" s="36">
        <v>0</v>
      </c>
      <c r="AO21" s="37">
        <v>0</v>
      </c>
      <c r="AP21" s="37">
        <f t="shared" si="10"/>
        <v>0</v>
      </c>
      <c r="AQ21" s="35">
        <v>0</v>
      </c>
      <c r="AR21" s="36">
        <v>0</v>
      </c>
      <c r="AS21" s="37">
        <v>0</v>
      </c>
      <c r="AT21" s="37">
        <f t="shared" si="11"/>
        <v>0</v>
      </c>
      <c r="AU21" s="35">
        <v>1</v>
      </c>
      <c r="AV21" s="36">
        <v>1</v>
      </c>
      <c r="AW21" s="37">
        <v>0</v>
      </c>
      <c r="AX21" s="37">
        <f t="shared" si="12"/>
        <v>1</v>
      </c>
      <c r="AY21" s="35">
        <v>0</v>
      </c>
      <c r="AZ21" s="36">
        <v>1</v>
      </c>
      <c r="BA21" s="37">
        <v>0</v>
      </c>
      <c r="BB21" s="37">
        <f t="shared" si="13"/>
        <v>1</v>
      </c>
      <c r="BC21" s="35">
        <v>1</v>
      </c>
      <c r="BD21" s="36">
        <v>0</v>
      </c>
      <c r="BE21" s="37">
        <v>0</v>
      </c>
      <c r="BF21" s="37">
        <f t="shared" si="14"/>
        <v>0</v>
      </c>
      <c r="BG21" s="35">
        <v>0</v>
      </c>
      <c r="BH21" s="36">
        <v>0</v>
      </c>
      <c r="BI21" s="37">
        <v>0</v>
      </c>
      <c r="BJ21" s="37">
        <f t="shared" si="15"/>
        <v>0</v>
      </c>
      <c r="BK21" s="35">
        <v>0</v>
      </c>
      <c r="BL21" s="36">
        <v>0</v>
      </c>
      <c r="BM21" s="37">
        <v>0</v>
      </c>
      <c r="BN21" s="37">
        <f t="shared" si="16"/>
        <v>0</v>
      </c>
      <c r="BO21" s="35">
        <v>0</v>
      </c>
      <c r="BP21" s="36">
        <v>0</v>
      </c>
      <c r="BQ21" s="37">
        <v>0</v>
      </c>
      <c r="BR21" s="37">
        <f t="shared" si="17"/>
        <v>0</v>
      </c>
      <c r="BS21" s="35">
        <v>0</v>
      </c>
      <c r="BT21" s="36">
        <f t="shared" si="18"/>
        <v>15</v>
      </c>
      <c r="BU21" s="37">
        <f t="shared" si="19"/>
        <v>2</v>
      </c>
      <c r="BV21" s="37">
        <f t="shared" si="20"/>
        <v>6</v>
      </c>
      <c r="BW21" s="37">
        <f t="shared" si="21"/>
        <v>0.88235294117647056</v>
      </c>
      <c r="BX21" s="37">
        <f t="shared" si="22"/>
        <v>0.7142857142857143</v>
      </c>
      <c r="BY21" s="35">
        <f t="shared" si="23"/>
        <v>0.78947368421052622</v>
      </c>
    </row>
    <row r="22" spans="1:84" x14ac:dyDescent="0.35">
      <c r="A22" s="58" t="s">
        <v>48</v>
      </c>
      <c r="B22" s="148"/>
      <c r="C22" s="35" t="s">
        <v>68</v>
      </c>
      <c r="D22" s="36">
        <v>2</v>
      </c>
      <c r="E22" s="37">
        <v>2</v>
      </c>
      <c r="F22" s="37">
        <f t="shared" si="1"/>
        <v>0</v>
      </c>
      <c r="G22" s="35">
        <v>0</v>
      </c>
      <c r="H22" s="36">
        <v>2</v>
      </c>
      <c r="I22" s="37">
        <v>0</v>
      </c>
      <c r="J22" s="37">
        <f t="shared" si="2"/>
        <v>2</v>
      </c>
      <c r="K22" s="35">
        <v>0</v>
      </c>
      <c r="L22" s="36">
        <v>3</v>
      </c>
      <c r="M22" s="37">
        <v>0</v>
      </c>
      <c r="N22" s="37">
        <f t="shared" si="3"/>
        <v>3</v>
      </c>
      <c r="O22" s="35">
        <v>0</v>
      </c>
      <c r="P22" s="36">
        <v>2</v>
      </c>
      <c r="Q22" s="37">
        <v>2</v>
      </c>
      <c r="R22" s="37">
        <f t="shared" si="4"/>
        <v>0</v>
      </c>
      <c r="S22" s="35">
        <v>1</v>
      </c>
      <c r="T22" s="36">
        <v>2</v>
      </c>
      <c r="U22" s="37">
        <v>2</v>
      </c>
      <c r="V22" s="37">
        <f t="shared" si="5"/>
        <v>0</v>
      </c>
      <c r="W22" s="35">
        <v>0</v>
      </c>
      <c r="X22" s="36">
        <v>2</v>
      </c>
      <c r="Y22" s="37">
        <v>2</v>
      </c>
      <c r="Z22" s="37">
        <f t="shared" si="6"/>
        <v>0</v>
      </c>
      <c r="AA22" s="35">
        <v>0</v>
      </c>
      <c r="AB22" s="36">
        <v>0</v>
      </c>
      <c r="AC22" s="37">
        <v>0</v>
      </c>
      <c r="AD22" s="37">
        <f t="shared" si="7"/>
        <v>0</v>
      </c>
      <c r="AE22" s="35">
        <v>0</v>
      </c>
      <c r="AF22" s="36">
        <v>2</v>
      </c>
      <c r="AG22" s="37">
        <v>2</v>
      </c>
      <c r="AH22" s="37">
        <f t="shared" si="8"/>
        <v>0</v>
      </c>
      <c r="AI22" s="35">
        <v>0</v>
      </c>
      <c r="AJ22" s="36">
        <v>0</v>
      </c>
      <c r="AK22" s="37">
        <v>0</v>
      </c>
      <c r="AL22" s="37">
        <f t="shared" si="9"/>
        <v>0</v>
      </c>
      <c r="AM22" s="35">
        <v>0</v>
      </c>
      <c r="AN22" s="36">
        <v>0</v>
      </c>
      <c r="AO22" s="37">
        <v>0</v>
      </c>
      <c r="AP22" s="37">
        <f t="shared" si="10"/>
        <v>0</v>
      </c>
      <c r="AQ22" s="35">
        <v>0</v>
      </c>
      <c r="AR22" s="36">
        <v>0</v>
      </c>
      <c r="AS22" s="37">
        <v>0</v>
      </c>
      <c r="AT22" s="37">
        <f t="shared" si="11"/>
        <v>0</v>
      </c>
      <c r="AU22" s="35">
        <v>0</v>
      </c>
      <c r="AV22" s="36">
        <v>1</v>
      </c>
      <c r="AW22" s="37">
        <v>0</v>
      </c>
      <c r="AX22" s="37">
        <f t="shared" si="12"/>
        <v>1</v>
      </c>
      <c r="AY22" s="35">
        <v>1</v>
      </c>
      <c r="AZ22" s="36">
        <v>1</v>
      </c>
      <c r="BA22" s="37">
        <v>0</v>
      </c>
      <c r="BB22" s="37">
        <f t="shared" si="13"/>
        <v>1</v>
      </c>
      <c r="BC22" s="35">
        <v>1</v>
      </c>
      <c r="BD22" s="36">
        <v>0</v>
      </c>
      <c r="BE22" s="37">
        <v>0</v>
      </c>
      <c r="BF22" s="37">
        <f t="shared" si="14"/>
        <v>0</v>
      </c>
      <c r="BG22" s="35">
        <v>0</v>
      </c>
      <c r="BH22" s="36">
        <v>0</v>
      </c>
      <c r="BI22" s="37">
        <v>0</v>
      </c>
      <c r="BJ22" s="37">
        <f t="shared" si="15"/>
        <v>0</v>
      </c>
      <c r="BK22" s="35">
        <v>0</v>
      </c>
      <c r="BL22" s="36">
        <v>0</v>
      </c>
      <c r="BM22" s="37">
        <v>0</v>
      </c>
      <c r="BN22" s="37">
        <f t="shared" si="16"/>
        <v>0</v>
      </c>
      <c r="BO22" s="35">
        <v>0</v>
      </c>
      <c r="BP22" s="36">
        <v>0</v>
      </c>
      <c r="BQ22" s="37">
        <v>0</v>
      </c>
      <c r="BR22" s="37">
        <f t="shared" si="17"/>
        <v>0</v>
      </c>
      <c r="BS22" s="35">
        <v>0</v>
      </c>
      <c r="BT22" s="36">
        <f t="shared" si="18"/>
        <v>10</v>
      </c>
      <c r="BU22" s="37">
        <f t="shared" si="19"/>
        <v>7</v>
      </c>
      <c r="BV22" s="37">
        <f t="shared" si="20"/>
        <v>3</v>
      </c>
      <c r="BW22" s="37">
        <f t="shared" si="21"/>
        <v>0.58823529411764708</v>
      </c>
      <c r="BX22" s="37">
        <f t="shared" si="22"/>
        <v>0.76923076923076927</v>
      </c>
      <c r="BY22" s="35">
        <f t="shared" si="23"/>
        <v>0.66666666666666674</v>
      </c>
    </row>
    <row r="23" spans="1:84" x14ac:dyDescent="0.35">
      <c r="A23" s="59" t="s">
        <v>48</v>
      </c>
      <c r="B23" s="148"/>
      <c r="C23" s="38" t="s">
        <v>36</v>
      </c>
      <c r="D23" s="39">
        <v>2</v>
      </c>
      <c r="E23" s="40">
        <v>2</v>
      </c>
      <c r="F23" s="40">
        <f t="shared" si="1"/>
        <v>0</v>
      </c>
      <c r="G23" s="38">
        <v>0</v>
      </c>
      <c r="H23" s="39">
        <v>2</v>
      </c>
      <c r="I23" s="40">
        <v>0</v>
      </c>
      <c r="J23" s="40">
        <f t="shared" si="2"/>
        <v>2</v>
      </c>
      <c r="K23" s="38">
        <v>0</v>
      </c>
      <c r="L23" s="39">
        <v>0</v>
      </c>
      <c r="M23" s="40">
        <v>0</v>
      </c>
      <c r="N23" s="40">
        <f t="shared" si="3"/>
        <v>0</v>
      </c>
      <c r="O23" s="38">
        <v>0</v>
      </c>
      <c r="P23" s="39">
        <v>1</v>
      </c>
      <c r="Q23" s="40">
        <v>1</v>
      </c>
      <c r="R23" s="40">
        <f t="shared" si="4"/>
        <v>0</v>
      </c>
      <c r="S23" s="38">
        <v>1</v>
      </c>
      <c r="T23" s="39">
        <v>1</v>
      </c>
      <c r="U23" s="40">
        <v>1</v>
      </c>
      <c r="V23" s="40">
        <f t="shared" si="5"/>
        <v>0</v>
      </c>
      <c r="W23" s="38">
        <v>0</v>
      </c>
      <c r="X23" s="39">
        <v>1</v>
      </c>
      <c r="Y23" s="40">
        <v>1</v>
      </c>
      <c r="Z23" s="40">
        <f t="shared" si="6"/>
        <v>0</v>
      </c>
      <c r="AA23" s="38">
        <v>0</v>
      </c>
      <c r="AB23" s="39">
        <v>1</v>
      </c>
      <c r="AC23" s="40">
        <v>1</v>
      </c>
      <c r="AD23" s="40">
        <f t="shared" si="7"/>
        <v>0</v>
      </c>
      <c r="AE23" s="38">
        <v>0</v>
      </c>
      <c r="AF23" s="39">
        <v>1</v>
      </c>
      <c r="AG23" s="40">
        <v>1</v>
      </c>
      <c r="AH23" s="40">
        <f t="shared" si="8"/>
        <v>0</v>
      </c>
      <c r="AI23" s="38">
        <v>0</v>
      </c>
      <c r="AJ23" s="39">
        <v>0</v>
      </c>
      <c r="AK23" s="40">
        <v>0</v>
      </c>
      <c r="AL23" s="40">
        <f t="shared" si="9"/>
        <v>0</v>
      </c>
      <c r="AM23" s="38">
        <v>0</v>
      </c>
      <c r="AN23" s="39">
        <v>0</v>
      </c>
      <c r="AO23" s="40">
        <v>0</v>
      </c>
      <c r="AP23" s="40">
        <f t="shared" si="10"/>
        <v>0</v>
      </c>
      <c r="AQ23" s="38">
        <v>0</v>
      </c>
      <c r="AR23" s="39">
        <v>1</v>
      </c>
      <c r="AS23" s="40">
        <v>1</v>
      </c>
      <c r="AT23" s="40">
        <f t="shared" si="11"/>
        <v>0</v>
      </c>
      <c r="AU23" s="38">
        <v>0</v>
      </c>
      <c r="AV23" s="39">
        <v>0</v>
      </c>
      <c r="AW23" s="40">
        <v>0</v>
      </c>
      <c r="AX23" s="40">
        <f t="shared" si="12"/>
        <v>0</v>
      </c>
      <c r="AY23" s="38">
        <v>0</v>
      </c>
      <c r="AZ23" s="39">
        <v>1</v>
      </c>
      <c r="BA23" s="40">
        <v>1</v>
      </c>
      <c r="BB23" s="40">
        <f t="shared" si="13"/>
        <v>0</v>
      </c>
      <c r="BC23" s="38">
        <v>0</v>
      </c>
      <c r="BD23" s="39">
        <v>0</v>
      </c>
      <c r="BE23" s="40">
        <v>0</v>
      </c>
      <c r="BF23" s="40">
        <f t="shared" si="14"/>
        <v>0</v>
      </c>
      <c r="BG23" s="38">
        <v>0</v>
      </c>
      <c r="BH23" s="39">
        <v>0</v>
      </c>
      <c r="BI23" s="40">
        <v>0</v>
      </c>
      <c r="BJ23" s="40">
        <f t="shared" si="15"/>
        <v>0</v>
      </c>
      <c r="BK23" s="38">
        <v>0</v>
      </c>
      <c r="BL23" s="39">
        <v>0</v>
      </c>
      <c r="BM23" s="40">
        <v>0</v>
      </c>
      <c r="BN23" s="40">
        <f t="shared" si="16"/>
        <v>0</v>
      </c>
      <c r="BO23" s="38">
        <v>1</v>
      </c>
      <c r="BP23" s="39">
        <v>0</v>
      </c>
      <c r="BQ23" s="40">
        <v>0</v>
      </c>
      <c r="BR23" s="40">
        <f t="shared" si="17"/>
        <v>0</v>
      </c>
      <c r="BS23" s="38">
        <v>0</v>
      </c>
      <c r="BT23" s="39">
        <f t="shared" si="18"/>
        <v>9</v>
      </c>
      <c r="BU23" s="40">
        <f t="shared" si="19"/>
        <v>2</v>
      </c>
      <c r="BV23" s="40">
        <f t="shared" si="20"/>
        <v>2</v>
      </c>
      <c r="BW23" s="40">
        <f t="shared" si="21"/>
        <v>0.81818181818181823</v>
      </c>
      <c r="BX23" s="40">
        <f t="shared" si="22"/>
        <v>0.81818181818181823</v>
      </c>
      <c r="BY23" s="38">
        <f t="shared" si="23"/>
        <v>0.81818181818181823</v>
      </c>
    </row>
    <row r="24" spans="1:84" x14ac:dyDescent="0.35">
      <c r="A24" s="59" t="s">
        <v>48</v>
      </c>
      <c r="B24" s="148"/>
      <c r="C24" s="38" t="s">
        <v>69</v>
      </c>
      <c r="D24" s="39">
        <v>2</v>
      </c>
      <c r="E24" s="40">
        <v>2</v>
      </c>
      <c r="F24" s="40">
        <f t="shared" si="1"/>
        <v>0</v>
      </c>
      <c r="G24" s="38">
        <v>0</v>
      </c>
      <c r="H24" s="39">
        <v>2</v>
      </c>
      <c r="I24" s="40">
        <v>0</v>
      </c>
      <c r="J24" s="40">
        <f t="shared" si="2"/>
        <v>2</v>
      </c>
      <c r="K24" s="38">
        <v>0</v>
      </c>
      <c r="L24" s="39">
        <v>0</v>
      </c>
      <c r="M24" s="40">
        <v>0</v>
      </c>
      <c r="N24" s="40">
        <f t="shared" si="3"/>
        <v>0</v>
      </c>
      <c r="O24" s="38">
        <v>0</v>
      </c>
      <c r="P24" s="39">
        <v>1</v>
      </c>
      <c r="Q24" s="40">
        <v>1</v>
      </c>
      <c r="R24" s="40">
        <f t="shared" si="4"/>
        <v>0</v>
      </c>
      <c r="S24" s="38">
        <v>1</v>
      </c>
      <c r="T24" s="39">
        <v>1</v>
      </c>
      <c r="U24" s="40">
        <v>1</v>
      </c>
      <c r="V24" s="40">
        <f t="shared" si="5"/>
        <v>0</v>
      </c>
      <c r="W24" s="38">
        <v>0</v>
      </c>
      <c r="X24" s="39">
        <v>1</v>
      </c>
      <c r="Y24" s="40">
        <v>1</v>
      </c>
      <c r="Z24" s="40">
        <f t="shared" si="6"/>
        <v>0</v>
      </c>
      <c r="AA24" s="38">
        <v>0</v>
      </c>
      <c r="AB24" s="39">
        <v>1</v>
      </c>
      <c r="AC24" s="40">
        <v>1</v>
      </c>
      <c r="AD24" s="40">
        <f t="shared" si="7"/>
        <v>0</v>
      </c>
      <c r="AE24" s="38">
        <v>0</v>
      </c>
      <c r="AF24" s="39">
        <v>1</v>
      </c>
      <c r="AG24" s="40">
        <v>1</v>
      </c>
      <c r="AH24" s="40">
        <f t="shared" si="8"/>
        <v>0</v>
      </c>
      <c r="AI24" s="38">
        <v>0</v>
      </c>
      <c r="AJ24" s="39">
        <v>0</v>
      </c>
      <c r="AK24" s="40">
        <v>0</v>
      </c>
      <c r="AL24" s="40">
        <f t="shared" si="9"/>
        <v>0</v>
      </c>
      <c r="AM24" s="38">
        <v>0</v>
      </c>
      <c r="AN24" s="39">
        <v>0</v>
      </c>
      <c r="AO24" s="40">
        <v>0</v>
      </c>
      <c r="AP24" s="40">
        <f t="shared" si="10"/>
        <v>0</v>
      </c>
      <c r="AQ24" s="38">
        <v>0</v>
      </c>
      <c r="AR24" s="39">
        <v>1</v>
      </c>
      <c r="AS24" s="40">
        <v>0</v>
      </c>
      <c r="AT24" s="40">
        <f t="shared" si="11"/>
        <v>1</v>
      </c>
      <c r="AU24" s="38">
        <v>0</v>
      </c>
      <c r="AV24" s="39">
        <v>0</v>
      </c>
      <c r="AW24" s="40">
        <v>0</v>
      </c>
      <c r="AX24" s="40">
        <f t="shared" si="12"/>
        <v>0</v>
      </c>
      <c r="AY24" s="38">
        <v>1</v>
      </c>
      <c r="AZ24" s="39">
        <v>1</v>
      </c>
      <c r="BA24" s="40">
        <v>1</v>
      </c>
      <c r="BB24" s="40">
        <f t="shared" si="13"/>
        <v>0</v>
      </c>
      <c r="BC24" s="38">
        <v>0</v>
      </c>
      <c r="BD24" s="39">
        <v>0</v>
      </c>
      <c r="BE24" s="40">
        <v>0</v>
      </c>
      <c r="BF24" s="40">
        <f t="shared" si="14"/>
        <v>0</v>
      </c>
      <c r="BG24" s="38">
        <v>0</v>
      </c>
      <c r="BH24" s="39">
        <v>0</v>
      </c>
      <c r="BI24" s="40">
        <v>0</v>
      </c>
      <c r="BJ24" s="40">
        <f t="shared" si="15"/>
        <v>0</v>
      </c>
      <c r="BK24" s="38">
        <v>0</v>
      </c>
      <c r="BL24" s="39">
        <v>0</v>
      </c>
      <c r="BM24" s="40">
        <v>0</v>
      </c>
      <c r="BN24" s="40">
        <f t="shared" si="16"/>
        <v>0</v>
      </c>
      <c r="BO24" s="38">
        <v>0</v>
      </c>
      <c r="BP24" s="39">
        <v>0</v>
      </c>
      <c r="BQ24" s="40">
        <v>0</v>
      </c>
      <c r="BR24" s="40">
        <f t="shared" si="17"/>
        <v>0</v>
      </c>
      <c r="BS24" s="38">
        <v>0</v>
      </c>
      <c r="BT24" s="39">
        <f t="shared" si="18"/>
        <v>8</v>
      </c>
      <c r="BU24" s="40">
        <f t="shared" si="19"/>
        <v>3</v>
      </c>
      <c r="BV24" s="40">
        <f t="shared" si="20"/>
        <v>2</v>
      </c>
      <c r="BW24" s="40">
        <f t="shared" si="21"/>
        <v>0.72727272727272729</v>
      </c>
      <c r="BX24" s="40">
        <f t="shared" si="22"/>
        <v>0.8</v>
      </c>
      <c r="BY24" s="38">
        <f t="shared" si="23"/>
        <v>0.76190476190476197</v>
      </c>
    </row>
    <row r="25" spans="1:84" x14ac:dyDescent="0.35">
      <c r="A25" s="60" t="s">
        <v>48</v>
      </c>
      <c r="B25" s="148"/>
      <c r="C25" s="41" t="s">
        <v>37</v>
      </c>
      <c r="D25" s="42">
        <v>2</v>
      </c>
      <c r="E25" s="43">
        <v>2</v>
      </c>
      <c r="F25" s="43">
        <f t="shared" si="1"/>
        <v>0</v>
      </c>
      <c r="G25" s="41">
        <v>0</v>
      </c>
      <c r="H25" s="42">
        <v>2</v>
      </c>
      <c r="I25" s="43">
        <v>2</v>
      </c>
      <c r="J25" s="43">
        <f t="shared" si="2"/>
        <v>0</v>
      </c>
      <c r="K25" s="41">
        <v>0</v>
      </c>
      <c r="L25" s="42">
        <v>0</v>
      </c>
      <c r="M25" s="43">
        <v>0</v>
      </c>
      <c r="N25" s="43">
        <f t="shared" si="3"/>
        <v>0</v>
      </c>
      <c r="O25" s="41">
        <v>0</v>
      </c>
      <c r="P25" s="42">
        <v>2</v>
      </c>
      <c r="Q25" s="43">
        <v>2</v>
      </c>
      <c r="R25" s="43">
        <f t="shared" si="4"/>
        <v>0</v>
      </c>
      <c r="S25" s="41">
        <v>0</v>
      </c>
      <c r="T25" s="42">
        <v>2</v>
      </c>
      <c r="U25" s="43">
        <v>2</v>
      </c>
      <c r="V25" s="43">
        <f t="shared" si="5"/>
        <v>0</v>
      </c>
      <c r="W25" s="41">
        <v>0</v>
      </c>
      <c r="X25" s="42">
        <v>2</v>
      </c>
      <c r="Y25" s="43">
        <v>2</v>
      </c>
      <c r="Z25" s="43">
        <f t="shared" si="6"/>
        <v>0</v>
      </c>
      <c r="AA25" s="41">
        <v>0</v>
      </c>
      <c r="AB25" s="42">
        <v>2</v>
      </c>
      <c r="AC25" s="43">
        <v>2</v>
      </c>
      <c r="AD25" s="43">
        <f t="shared" si="7"/>
        <v>0</v>
      </c>
      <c r="AE25" s="41">
        <v>0</v>
      </c>
      <c r="AF25" s="42">
        <v>2</v>
      </c>
      <c r="AG25" s="43">
        <v>2</v>
      </c>
      <c r="AH25" s="43">
        <f t="shared" si="8"/>
        <v>0</v>
      </c>
      <c r="AI25" s="41">
        <v>0</v>
      </c>
      <c r="AJ25" s="42">
        <v>0</v>
      </c>
      <c r="AK25" s="43">
        <v>0</v>
      </c>
      <c r="AL25" s="43">
        <f t="shared" si="9"/>
        <v>0</v>
      </c>
      <c r="AM25" s="41">
        <v>0</v>
      </c>
      <c r="AN25" s="42">
        <v>0</v>
      </c>
      <c r="AO25" s="43">
        <v>0</v>
      </c>
      <c r="AP25" s="43">
        <f t="shared" si="10"/>
        <v>0</v>
      </c>
      <c r="AQ25" s="41">
        <v>0</v>
      </c>
      <c r="AR25" s="42">
        <v>1</v>
      </c>
      <c r="AS25" s="43">
        <v>1</v>
      </c>
      <c r="AT25" s="43">
        <f t="shared" si="11"/>
        <v>0</v>
      </c>
      <c r="AU25" s="41">
        <v>0</v>
      </c>
      <c r="AV25" s="42">
        <v>0</v>
      </c>
      <c r="AW25" s="43">
        <v>0</v>
      </c>
      <c r="AX25" s="43">
        <f t="shared" si="12"/>
        <v>0</v>
      </c>
      <c r="AY25" s="41">
        <v>0</v>
      </c>
      <c r="AZ25" s="42">
        <v>1</v>
      </c>
      <c r="BA25" s="43">
        <v>1</v>
      </c>
      <c r="BB25" s="43">
        <f t="shared" si="13"/>
        <v>0</v>
      </c>
      <c r="BC25" s="41">
        <v>1</v>
      </c>
      <c r="BD25" s="42">
        <v>0</v>
      </c>
      <c r="BE25" s="43">
        <v>0</v>
      </c>
      <c r="BF25" s="43">
        <f t="shared" si="14"/>
        <v>0</v>
      </c>
      <c r="BG25" s="41">
        <v>0</v>
      </c>
      <c r="BH25" s="42">
        <v>0</v>
      </c>
      <c r="BI25" s="43">
        <v>0</v>
      </c>
      <c r="BJ25" s="43">
        <f t="shared" si="15"/>
        <v>0</v>
      </c>
      <c r="BK25" s="41">
        <v>0</v>
      </c>
      <c r="BL25" s="42">
        <v>0</v>
      </c>
      <c r="BM25" s="43">
        <v>0</v>
      </c>
      <c r="BN25" s="43">
        <f t="shared" si="16"/>
        <v>0</v>
      </c>
      <c r="BO25" s="41">
        <v>1</v>
      </c>
      <c r="BP25" s="42">
        <v>0</v>
      </c>
      <c r="BQ25" s="43">
        <v>0</v>
      </c>
      <c r="BR25" s="43">
        <f t="shared" si="17"/>
        <v>0</v>
      </c>
      <c r="BS25" s="41">
        <v>0</v>
      </c>
      <c r="BT25" s="42">
        <f t="shared" si="18"/>
        <v>16</v>
      </c>
      <c r="BU25" s="43">
        <f t="shared" si="19"/>
        <v>0</v>
      </c>
      <c r="BV25" s="43">
        <f t="shared" si="20"/>
        <v>2</v>
      </c>
      <c r="BW25" s="43">
        <f t="shared" si="21"/>
        <v>1</v>
      </c>
      <c r="BX25" s="43">
        <f t="shared" si="22"/>
        <v>0.88888888888888884</v>
      </c>
      <c r="BY25" s="41">
        <f t="shared" si="23"/>
        <v>0.94117647058823528</v>
      </c>
    </row>
    <row r="26" spans="1:84" x14ac:dyDescent="0.35">
      <c r="A26" s="60" t="s">
        <v>48</v>
      </c>
      <c r="B26" s="148"/>
      <c r="C26" s="41" t="s">
        <v>70</v>
      </c>
      <c r="D26" s="42">
        <v>2</v>
      </c>
      <c r="E26" s="43">
        <v>2</v>
      </c>
      <c r="F26" s="43">
        <f t="shared" si="1"/>
        <v>0</v>
      </c>
      <c r="G26" s="41">
        <v>0</v>
      </c>
      <c r="H26" s="42">
        <v>2</v>
      </c>
      <c r="I26" s="43">
        <v>2</v>
      </c>
      <c r="J26" s="43">
        <f t="shared" si="2"/>
        <v>0</v>
      </c>
      <c r="K26" s="41">
        <v>0</v>
      </c>
      <c r="L26" s="42">
        <v>0</v>
      </c>
      <c r="M26" s="43">
        <v>0</v>
      </c>
      <c r="N26" s="43">
        <f t="shared" si="3"/>
        <v>0</v>
      </c>
      <c r="O26" s="41">
        <v>0</v>
      </c>
      <c r="P26" s="42">
        <v>2</v>
      </c>
      <c r="Q26" s="43">
        <v>2</v>
      </c>
      <c r="R26" s="43">
        <f t="shared" si="4"/>
        <v>0</v>
      </c>
      <c r="S26" s="41">
        <v>2</v>
      </c>
      <c r="T26" s="42">
        <v>2</v>
      </c>
      <c r="U26" s="43">
        <v>2</v>
      </c>
      <c r="V26" s="43">
        <f t="shared" si="5"/>
        <v>0</v>
      </c>
      <c r="W26" s="41">
        <v>0</v>
      </c>
      <c r="X26" s="42">
        <v>2</v>
      </c>
      <c r="Y26" s="43">
        <v>2</v>
      </c>
      <c r="Z26" s="43">
        <f t="shared" si="6"/>
        <v>0</v>
      </c>
      <c r="AA26" s="41">
        <v>0</v>
      </c>
      <c r="AB26" s="42">
        <v>2</v>
      </c>
      <c r="AC26" s="43">
        <v>2</v>
      </c>
      <c r="AD26" s="43">
        <f t="shared" si="7"/>
        <v>0</v>
      </c>
      <c r="AE26" s="41">
        <v>0</v>
      </c>
      <c r="AF26" s="42">
        <v>2</v>
      </c>
      <c r="AG26" s="43">
        <v>2</v>
      </c>
      <c r="AH26" s="43">
        <f t="shared" si="8"/>
        <v>0</v>
      </c>
      <c r="AI26" s="41">
        <v>0</v>
      </c>
      <c r="AJ26" s="42">
        <v>0</v>
      </c>
      <c r="AK26" s="43">
        <v>0</v>
      </c>
      <c r="AL26" s="43">
        <f t="shared" si="9"/>
        <v>0</v>
      </c>
      <c r="AM26" s="41">
        <v>0</v>
      </c>
      <c r="AN26" s="42">
        <v>0</v>
      </c>
      <c r="AO26" s="43">
        <v>0</v>
      </c>
      <c r="AP26" s="43">
        <f t="shared" si="10"/>
        <v>0</v>
      </c>
      <c r="AQ26" s="41">
        <v>0</v>
      </c>
      <c r="AR26" s="42">
        <v>1</v>
      </c>
      <c r="AS26" s="43">
        <v>1</v>
      </c>
      <c r="AT26" s="43">
        <f t="shared" si="11"/>
        <v>0</v>
      </c>
      <c r="AU26" s="41">
        <v>0</v>
      </c>
      <c r="AV26" s="42">
        <v>0</v>
      </c>
      <c r="AW26" s="43">
        <v>0</v>
      </c>
      <c r="AX26" s="43">
        <f t="shared" si="12"/>
        <v>0</v>
      </c>
      <c r="AY26" s="41">
        <v>0</v>
      </c>
      <c r="AZ26" s="42">
        <v>1</v>
      </c>
      <c r="BA26" s="43">
        <v>1</v>
      </c>
      <c r="BB26" s="43">
        <f t="shared" si="13"/>
        <v>0</v>
      </c>
      <c r="BC26" s="41">
        <v>1</v>
      </c>
      <c r="BD26" s="42">
        <v>0</v>
      </c>
      <c r="BE26" s="43">
        <v>0</v>
      </c>
      <c r="BF26" s="43">
        <f t="shared" si="14"/>
        <v>0</v>
      </c>
      <c r="BG26" s="41">
        <v>0</v>
      </c>
      <c r="BH26" s="42">
        <v>0</v>
      </c>
      <c r="BI26" s="43">
        <v>0</v>
      </c>
      <c r="BJ26" s="43">
        <f t="shared" si="15"/>
        <v>0</v>
      </c>
      <c r="BK26" s="41">
        <v>0</v>
      </c>
      <c r="BL26" s="42">
        <v>0</v>
      </c>
      <c r="BM26" s="43">
        <v>0</v>
      </c>
      <c r="BN26" s="43">
        <f t="shared" si="16"/>
        <v>0</v>
      </c>
      <c r="BO26" s="41">
        <v>0</v>
      </c>
      <c r="BP26" s="42">
        <v>0</v>
      </c>
      <c r="BQ26" s="43">
        <v>0</v>
      </c>
      <c r="BR26" s="43">
        <f t="shared" si="17"/>
        <v>0</v>
      </c>
      <c r="BS26" s="41">
        <v>0</v>
      </c>
      <c r="BT26" s="42">
        <f t="shared" si="18"/>
        <v>16</v>
      </c>
      <c r="BU26" s="43">
        <f t="shared" si="19"/>
        <v>0</v>
      </c>
      <c r="BV26" s="43">
        <f t="shared" si="20"/>
        <v>3</v>
      </c>
      <c r="BW26" s="43">
        <f t="shared" si="21"/>
        <v>1</v>
      </c>
      <c r="BX26" s="43">
        <f t="shared" si="22"/>
        <v>0.84210526315789469</v>
      </c>
      <c r="BY26" s="41">
        <f t="shared" si="23"/>
        <v>0.91428571428571426</v>
      </c>
    </row>
    <row r="27" spans="1:84" x14ac:dyDescent="0.35">
      <c r="A27" s="47" t="s">
        <v>48</v>
      </c>
      <c r="B27" s="148"/>
      <c r="C27" s="44" t="s">
        <v>38</v>
      </c>
      <c r="D27" s="45">
        <v>2</v>
      </c>
      <c r="E27" s="46">
        <v>2</v>
      </c>
      <c r="F27" s="46">
        <f t="shared" si="1"/>
        <v>0</v>
      </c>
      <c r="G27" s="44">
        <v>0</v>
      </c>
      <c r="H27" s="45">
        <v>2</v>
      </c>
      <c r="I27" s="46">
        <v>2</v>
      </c>
      <c r="J27" s="46">
        <f t="shared" si="2"/>
        <v>0</v>
      </c>
      <c r="K27" s="44">
        <v>0</v>
      </c>
      <c r="L27" s="45">
        <v>2</v>
      </c>
      <c r="M27" s="46">
        <v>2</v>
      </c>
      <c r="N27" s="46">
        <f t="shared" si="3"/>
        <v>0</v>
      </c>
      <c r="O27" s="44">
        <v>0</v>
      </c>
      <c r="P27" s="45">
        <v>2</v>
      </c>
      <c r="Q27" s="46">
        <v>2</v>
      </c>
      <c r="R27" s="46">
        <f t="shared" si="4"/>
        <v>0</v>
      </c>
      <c r="S27" s="44">
        <v>0</v>
      </c>
      <c r="T27" s="45">
        <v>2</v>
      </c>
      <c r="U27" s="46">
        <v>2</v>
      </c>
      <c r="V27" s="46">
        <f t="shared" si="5"/>
        <v>0</v>
      </c>
      <c r="W27" s="44">
        <v>0</v>
      </c>
      <c r="X27" s="45">
        <v>1</v>
      </c>
      <c r="Y27" s="46">
        <v>1</v>
      </c>
      <c r="Z27" s="46">
        <f t="shared" si="6"/>
        <v>0</v>
      </c>
      <c r="AA27" s="44">
        <v>0</v>
      </c>
      <c r="AB27" s="45">
        <v>0</v>
      </c>
      <c r="AC27" s="46">
        <v>0</v>
      </c>
      <c r="AD27" s="46">
        <f t="shared" si="7"/>
        <v>0</v>
      </c>
      <c r="AE27" s="44">
        <v>0</v>
      </c>
      <c r="AF27" s="45">
        <v>1</v>
      </c>
      <c r="AG27" s="46">
        <v>1</v>
      </c>
      <c r="AH27" s="46">
        <f t="shared" si="8"/>
        <v>0</v>
      </c>
      <c r="AI27" s="44">
        <v>0</v>
      </c>
      <c r="AJ27" s="45">
        <v>0</v>
      </c>
      <c r="AK27" s="46">
        <v>0</v>
      </c>
      <c r="AL27" s="46">
        <f t="shared" si="9"/>
        <v>0</v>
      </c>
      <c r="AM27" s="44">
        <v>0</v>
      </c>
      <c r="AN27" s="45">
        <v>0</v>
      </c>
      <c r="AO27" s="46">
        <v>0</v>
      </c>
      <c r="AP27" s="46">
        <f t="shared" si="10"/>
        <v>0</v>
      </c>
      <c r="AQ27" s="44">
        <v>1</v>
      </c>
      <c r="AR27" s="45">
        <v>0</v>
      </c>
      <c r="AS27" s="46">
        <v>0</v>
      </c>
      <c r="AT27" s="46">
        <f t="shared" si="11"/>
        <v>0</v>
      </c>
      <c r="AU27" s="44">
        <v>0</v>
      </c>
      <c r="AV27" s="45">
        <v>0</v>
      </c>
      <c r="AW27" s="46">
        <v>0</v>
      </c>
      <c r="AX27" s="46">
        <f t="shared" si="12"/>
        <v>0</v>
      </c>
      <c r="AY27" s="44">
        <v>0</v>
      </c>
      <c r="AZ27" s="45">
        <v>1</v>
      </c>
      <c r="BA27" s="46">
        <v>1</v>
      </c>
      <c r="BB27" s="46">
        <f t="shared" si="13"/>
        <v>0</v>
      </c>
      <c r="BC27" s="44">
        <v>0</v>
      </c>
      <c r="BD27" s="45">
        <v>0</v>
      </c>
      <c r="BE27" s="46">
        <v>0</v>
      </c>
      <c r="BF27" s="46">
        <f t="shared" si="14"/>
        <v>0</v>
      </c>
      <c r="BG27" s="44">
        <v>0</v>
      </c>
      <c r="BH27" s="45">
        <v>0</v>
      </c>
      <c r="BI27" s="46">
        <v>0</v>
      </c>
      <c r="BJ27" s="46">
        <f t="shared" si="15"/>
        <v>0</v>
      </c>
      <c r="BK27" s="44">
        <v>0</v>
      </c>
      <c r="BL27" s="45">
        <v>0</v>
      </c>
      <c r="BM27" s="46">
        <v>0</v>
      </c>
      <c r="BN27" s="46">
        <f t="shared" si="16"/>
        <v>0</v>
      </c>
      <c r="BO27" s="44">
        <v>0</v>
      </c>
      <c r="BP27" s="45">
        <v>1</v>
      </c>
      <c r="BQ27" s="46">
        <v>0</v>
      </c>
      <c r="BR27" s="46">
        <f t="shared" si="17"/>
        <v>1</v>
      </c>
      <c r="BS27" s="44">
        <v>0</v>
      </c>
      <c r="BT27" s="45">
        <f t="shared" si="18"/>
        <v>13</v>
      </c>
      <c r="BU27" s="46">
        <f t="shared" si="19"/>
        <v>1</v>
      </c>
      <c r="BV27" s="46">
        <f t="shared" si="20"/>
        <v>1</v>
      </c>
      <c r="BW27" s="46">
        <f t="shared" si="21"/>
        <v>0.9285714285714286</v>
      </c>
      <c r="BX27" s="46">
        <f t="shared" si="22"/>
        <v>0.9285714285714286</v>
      </c>
      <c r="BY27" s="44">
        <f t="shared" si="23"/>
        <v>0.9285714285714286</v>
      </c>
    </row>
    <row r="28" spans="1:84" x14ac:dyDescent="0.35">
      <c r="A28" s="47" t="s">
        <v>48</v>
      </c>
      <c r="B28" s="148"/>
      <c r="C28" s="44" t="s">
        <v>71</v>
      </c>
      <c r="D28" s="45">
        <v>2</v>
      </c>
      <c r="E28" s="46">
        <v>2</v>
      </c>
      <c r="F28" s="46">
        <f t="shared" si="1"/>
        <v>0</v>
      </c>
      <c r="G28" s="44">
        <v>0</v>
      </c>
      <c r="H28" s="45">
        <v>2</v>
      </c>
      <c r="I28" s="46">
        <v>1</v>
      </c>
      <c r="J28" s="46">
        <f t="shared" si="2"/>
        <v>1</v>
      </c>
      <c r="K28" s="44">
        <v>0</v>
      </c>
      <c r="L28" s="45">
        <v>2</v>
      </c>
      <c r="M28" s="46">
        <v>1</v>
      </c>
      <c r="N28" s="46">
        <f t="shared" si="3"/>
        <v>1</v>
      </c>
      <c r="O28" s="44">
        <v>0</v>
      </c>
      <c r="P28" s="45">
        <v>2</v>
      </c>
      <c r="Q28" s="46">
        <v>2</v>
      </c>
      <c r="R28" s="46">
        <f t="shared" si="4"/>
        <v>0</v>
      </c>
      <c r="S28" s="44">
        <v>0</v>
      </c>
      <c r="T28" s="45">
        <v>2</v>
      </c>
      <c r="U28" s="46">
        <v>2</v>
      </c>
      <c r="V28" s="46">
        <f t="shared" si="5"/>
        <v>0</v>
      </c>
      <c r="W28" s="44">
        <v>0</v>
      </c>
      <c r="X28" s="45">
        <v>1</v>
      </c>
      <c r="Y28" s="46">
        <v>1</v>
      </c>
      <c r="Z28" s="46">
        <f t="shared" si="6"/>
        <v>0</v>
      </c>
      <c r="AA28" s="44">
        <v>0</v>
      </c>
      <c r="AB28" s="45">
        <v>0</v>
      </c>
      <c r="AC28" s="46">
        <v>0</v>
      </c>
      <c r="AD28" s="46">
        <f t="shared" si="7"/>
        <v>0</v>
      </c>
      <c r="AE28" s="44">
        <v>0</v>
      </c>
      <c r="AF28" s="45">
        <v>1</v>
      </c>
      <c r="AG28" s="46">
        <v>1</v>
      </c>
      <c r="AH28" s="46">
        <f t="shared" si="8"/>
        <v>0</v>
      </c>
      <c r="AI28" s="44">
        <v>0</v>
      </c>
      <c r="AJ28" s="45">
        <v>0</v>
      </c>
      <c r="AK28" s="46">
        <v>0</v>
      </c>
      <c r="AL28" s="46">
        <f t="shared" si="9"/>
        <v>0</v>
      </c>
      <c r="AM28" s="44">
        <v>0</v>
      </c>
      <c r="AN28" s="45">
        <v>0</v>
      </c>
      <c r="AO28" s="46">
        <v>0</v>
      </c>
      <c r="AP28" s="46">
        <f t="shared" si="10"/>
        <v>0</v>
      </c>
      <c r="AQ28" s="44">
        <v>1</v>
      </c>
      <c r="AR28" s="45">
        <v>0</v>
      </c>
      <c r="AS28" s="46">
        <v>0</v>
      </c>
      <c r="AT28" s="46">
        <f t="shared" si="11"/>
        <v>0</v>
      </c>
      <c r="AU28" s="44">
        <v>1</v>
      </c>
      <c r="AV28" s="45">
        <v>0</v>
      </c>
      <c r="AW28" s="46">
        <v>0</v>
      </c>
      <c r="AX28" s="46">
        <f t="shared" si="12"/>
        <v>0</v>
      </c>
      <c r="AY28" s="44">
        <v>0</v>
      </c>
      <c r="AZ28" s="45">
        <v>1</v>
      </c>
      <c r="BA28" s="46">
        <v>1</v>
      </c>
      <c r="BB28" s="46">
        <f t="shared" si="13"/>
        <v>0</v>
      </c>
      <c r="BC28" s="44">
        <v>1</v>
      </c>
      <c r="BD28" s="45">
        <v>0</v>
      </c>
      <c r="BE28" s="46">
        <v>0</v>
      </c>
      <c r="BF28" s="46">
        <f t="shared" si="14"/>
        <v>0</v>
      </c>
      <c r="BG28" s="44">
        <v>0</v>
      </c>
      <c r="BH28" s="45">
        <v>0</v>
      </c>
      <c r="BI28" s="46">
        <v>0</v>
      </c>
      <c r="BJ28" s="46">
        <f t="shared" si="15"/>
        <v>0</v>
      </c>
      <c r="BK28" s="44">
        <v>0</v>
      </c>
      <c r="BL28" s="45">
        <v>0</v>
      </c>
      <c r="BM28" s="46">
        <v>0</v>
      </c>
      <c r="BN28" s="46">
        <f t="shared" si="16"/>
        <v>0</v>
      </c>
      <c r="BO28" s="44">
        <v>1</v>
      </c>
      <c r="BP28" s="45">
        <v>1</v>
      </c>
      <c r="BQ28" s="46">
        <v>0</v>
      </c>
      <c r="BR28" s="46">
        <f t="shared" si="17"/>
        <v>1</v>
      </c>
      <c r="BS28" s="44">
        <v>0</v>
      </c>
      <c r="BT28" s="45">
        <f t="shared" si="18"/>
        <v>11</v>
      </c>
      <c r="BU28" s="46">
        <f t="shared" si="19"/>
        <v>3</v>
      </c>
      <c r="BV28" s="46">
        <f t="shared" si="20"/>
        <v>4</v>
      </c>
      <c r="BW28" s="46">
        <f t="shared" si="21"/>
        <v>0.7857142857142857</v>
      </c>
      <c r="BX28" s="46">
        <f t="shared" si="22"/>
        <v>0.73333333333333328</v>
      </c>
      <c r="BY28" s="44">
        <f t="shared" si="23"/>
        <v>0.75862068965517238</v>
      </c>
    </row>
    <row r="29" spans="1:84" x14ac:dyDescent="0.35">
      <c r="A29" s="61" t="s">
        <v>48</v>
      </c>
      <c r="B29" s="148"/>
      <c r="C29" s="126" t="s">
        <v>39</v>
      </c>
      <c r="D29" s="127">
        <v>2</v>
      </c>
      <c r="E29" s="128">
        <v>2</v>
      </c>
      <c r="F29" s="128">
        <f t="shared" si="1"/>
        <v>0</v>
      </c>
      <c r="G29" s="126">
        <v>0</v>
      </c>
      <c r="H29" s="127">
        <v>2</v>
      </c>
      <c r="I29" s="128">
        <v>0</v>
      </c>
      <c r="J29" s="128">
        <f t="shared" si="2"/>
        <v>2</v>
      </c>
      <c r="K29" s="126">
        <v>0</v>
      </c>
      <c r="L29" s="127">
        <v>2</v>
      </c>
      <c r="M29" s="128">
        <v>0</v>
      </c>
      <c r="N29" s="128">
        <f t="shared" si="3"/>
        <v>2</v>
      </c>
      <c r="O29" s="126">
        <v>0</v>
      </c>
      <c r="P29" s="127">
        <v>2</v>
      </c>
      <c r="Q29" s="128">
        <v>2</v>
      </c>
      <c r="R29" s="128">
        <f t="shared" si="4"/>
        <v>0</v>
      </c>
      <c r="S29" s="126">
        <v>0</v>
      </c>
      <c r="T29" s="127">
        <v>2</v>
      </c>
      <c r="U29" s="128">
        <v>2</v>
      </c>
      <c r="V29" s="128">
        <f t="shared" si="5"/>
        <v>0</v>
      </c>
      <c r="W29" s="126">
        <v>0</v>
      </c>
      <c r="X29" s="127">
        <v>4</v>
      </c>
      <c r="Y29" s="128">
        <v>4</v>
      </c>
      <c r="Z29" s="128">
        <f t="shared" si="6"/>
        <v>0</v>
      </c>
      <c r="AA29" s="126">
        <v>0</v>
      </c>
      <c r="AB29" s="127">
        <v>2</v>
      </c>
      <c r="AC29" s="128">
        <v>2</v>
      </c>
      <c r="AD29" s="128">
        <f t="shared" si="7"/>
        <v>0</v>
      </c>
      <c r="AE29" s="126">
        <v>0</v>
      </c>
      <c r="AF29" s="127">
        <v>4</v>
      </c>
      <c r="AG29" s="128">
        <v>4</v>
      </c>
      <c r="AH29" s="128">
        <f t="shared" si="8"/>
        <v>0</v>
      </c>
      <c r="AI29" s="126">
        <v>0</v>
      </c>
      <c r="AJ29" s="127">
        <v>0</v>
      </c>
      <c r="AK29" s="128">
        <v>0</v>
      </c>
      <c r="AL29" s="128">
        <f t="shared" si="9"/>
        <v>0</v>
      </c>
      <c r="AM29" s="126">
        <v>0</v>
      </c>
      <c r="AN29" s="127">
        <v>0</v>
      </c>
      <c r="AO29" s="128">
        <v>0</v>
      </c>
      <c r="AP29" s="128">
        <f t="shared" si="10"/>
        <v>0</v>
      </c>
      <c r="AQ29" s="126">
        <v>0</v>
      </c>
      <c r="AR29" s="127">
        <v>0</v>
      </c>
      <c r="AS29" s="128">
        <v>0</v>
      </c>
      <c r="AT29" s="128">
        <f t="shared" si="11"/>
        <v>0</v>
      </c>
      <c r="AU29" s="126">
        <v>0</v>
      </c>
      <c r="AV29" s="127">
        <v>0</v>
      </c>
      <c r="AW29" s="128">
        <v>0</v>
      </c>
      <c r="AX29" s="128">
        <f t="shared" si="12"/>
        <v>0</v>
      </c>
      <c r="AY29" s="126">
        <v>0</v>
      </c>
      <c r="AZ29" s="127">
        <v>1</v>
      </c>
      <c r="BA29" s="128">
        <v>1</v>
      </c>
      <c r="BB29" s="128">
        <f t="shared" si="13"/>
        <v>0</v>
      </c>
      <c r="BC29" s="126">
        <v>0</v>
      </c>
      <c r="BD29" s="127">
        <v>0</v>
      </c>
      <c r="BE29" s="128">
        <v>0</v>
      </c>
      <c r="BF29" s="128">
        <f t="shared" si="14"/>
        <v>0</v>
      </c>
      <c r="BG29" s="126">
        <v>0</v>
      </c>
      <c r="BH29" s="127">
        <v>0</v>
      </c>
      <c r="BI29" s="128">
        <v>0</v>
      </c>
      <c r="BJ29" s="128">
        <f t="shared" si="15"/>
        <v>0</v>
      </c>
      <c r="BK29" s="126">
        <v>0</v>
      </c>
      <c r="BL29" s="127">
        <v>0</v>
      </c>
      <c r="BM29" s="128">
        <v>0</v>
      </c>
      <c r="BN29" s="128">
        <f t="shared" si="16"/>
        <v>0</v>
      </c>
      <c r="BO29" s="126">
        <v>0</v>
      </c>
      <c r="BP29" s="127">
        <v>1</v>
      </c>
      <c r="BQ29" s="128">
        <v>1</v>
      </c>
      <c r="BR29" s="128">
        <f t="shared" si="17"/>
        <v>0</v>
      </c>
      <c r="BS29" s="126">
        <v>0</v>
      </c>
      <c r="BT29" s="127">
        <f t="shared" si="18"/>
        <v>18</v>
      </c>
      <c r="BU29" s="128">
        <f t="shared" si="19"/>
        <v>4</v>
      </c>
      <c r="BV29" s="128">
        <f t="shared" si="20"/>
        <v>0</v>
      </c>
      <c r="BW29" s="128">
        <f t="shared" si="21"/>
        <v>0.81818181818181823</v>
      </c>
      <c r="BX29" s="128">
        <f t="shared" si="22"/>
        <v>1</v>
      </c>
      <c r="BY29" s="126">
        <f t="shared" si="23"/>
        <v>0.9</v>
      </c>
    </row>
    <row r="30" spans="1:84" x14ac:dyDescent="0.35">
      <c r="A30" s="128" t="s">
        <v>48</v>
      </c>
      <c r="B30" s="148"/>
      <c r="C30" s="104" t="s">
        <v>72</v>
      </c>
      <c r="D30" s="107">
        <v>2</v>
      </c>
      <c r="E30" s="61">
        <v>2</v>
      </c>
      <c r="F30" s="61">
        <f t="shared" si="1"/>
        <v>0</v>
      </c>
      <c r="G30" s="104">
        <v>0</v>
      </c>
      <c r="H30" s="107">
        <v>2</v>
      </c>
      <c r="I30" s="61">
        <v>0</v>
      </c>
      <c r="J30" s="61">
        <f t="shared" si="2"/>
        <v>2</v>
      </c>
      <c r="K30" s="104">
        <v>0</v>
      </c>
      <c r="L30" s="107">
        <v>2</v>
      </c>
      <c r="M30" s="61">
        <v>0</v>
      </c>
      <c r="N30" s="61">
        <f t="shared" si="3"/>
        <v>2</v>
      </c>
      <c r="O30" s="104">
        <v>0</v>
      </c>
      <c r="P30" s="107">
        <v>2</v>
      </c>
      <c r="Q30" s="61">
        <v>2</v>
      </c>
      <c r="R30" s="61">
        <f t="shared" si="4"/>
        <v>0</v>
      </c>
      <c r="S30" s="104">
        <v>0</v>
      </c>
      <c r="T30" s="107">
        <v>2</v>
      </c>
      <c r="U30" s="61">
        <v>2</v>
      </c>
      <c r="V30" s="61">
        <f t="shared" si="5"/>
        <v>0</v>
      </c>
      <c r="W30" s="104">
        <v>0</v>
      </c>
      <c r="X30" s="107">
        <v>4</v>
      </c>
      <c r="Y30" s="61">
        <v>4</v>
      </c>
      <c r="Z30" s="61">
        <f t="shared" si="6"/>
        <v>0</v>
      </c>
      <c r="AA30" s="104">
        <v>0</v>
      </c>
      <c r="AB30" s="107">
        <v>2</v>
      </c>
      <c r="AC30" s="61">
        <v>2</v>
      </c>
      <c r="AD30" s="61">
        <v>0</v>
      </c>
      <c r="AE30" s="104">
        <v>0</v>
      </c>
      <c r="AF30" s="107">
        <v>4</v>
      </c>
      <c r="AG30" s="61">
        <v>4</v>
      </c>
      <c r="AH30" s="61">
        <f t="shared" si="8"/>
        <v>0</v>
      </c>
      <c r="AI30" s="104">
        <v>0</v>
      </c>
      <c r="AJ30" s="107">
        <v>0</v>
      </c>
      <c r="AK30" s="61">
        <v>0</v>
      </c>
      <c r="AL30" s="61">
        <f t="shared" si="9"/>
        <v>0</v>
      </c>
      <c r="AM30" s="104">
        <v>0</v>
      </c>
      <c r="AN30" s="107">
        <v>0</v>
      </c>
      <c r="AO30" s="61">
        <v>0</v>
      </c>
      <c r="AP30" s="61">
        <f t="shared" si="10"/>
        <v>0</v>
      </c>
      <c r="AQ30" s="104">
        <v>0</v>
      </c>
      <c r="AR30" s="107">
        <v>0</v>
      </c>
      <c r="AS30" s="61">
        <v>0</v>
      </c>
      <c r="AT30" s="61">
        <f t="shared" si="11"/>
        <v>0</v>
      </c>
      <c r="AU30" s="104">
        <v>0</v>
      </c>
      <c r="AV30" s="107">
        <v>0</v>
      </c>
      <c r="AW30" s="61">
        <v>0</v>
      </c>
      <c r="AX30" s="61">
        <f t="shared" si="12"/>
        <v>0</v>
      </c>
      <c r="AY30" s="104">
        <v>0</v>
      </c>
      <c r="AZ30" s="107">
        <v>1</v>
      </c>
      <c r="BA30" s="61">
        <v>1</v>
      </c>
      <c r="BB30" s="61">
        <f t="shared" si="13"/>
        <v>0</v>
      </c>
      <c r="BC30" s="104">
        <v>0</v>
      </c>
      <c r="BD30" s="107">
        <v>0</v>
      </c>
      <c r="BE30" s="61">
        <v>0</v>
      </c>
      <c r="BF30" s="61">
        <f t="shared" si="14"/>
        <v>0</v>
      </c>
      <c r="BG30" s="104">
        <v>0</v>
      </c>
      <c r="BH30" s="107">
        <v>0</v>
      </c>
      <c r="BI30" s="61">
        <v>0</v>
      </c>
      <c r="BJ30" s="61">
        <f t="shared" si="15"/>
        <v>0</v>
      </c>
      <c r="BK30" s="104">
        <v>0</v>
      </c>
      <c r="BL30" s="107">
        <v>0</v>
      </c>
      <c r="BM30" s="61">
        <v>0</v>
      </c>
      <c r="BN30" s="61">
        <f t="shared" si="16"/>
        <v>0</v>
      </c>
      <c r="BO30" s="104">
        <v>0</v>
      </c>
      <c r="BP30" s="107">
        <v>1</v>
      </c>
      <c r="BQ30" s="61">
        <v>1</v>
      </c>
      <c r="BR30" s="61">
        <f t="shared" si="17"/>
        <v>0</v>
      </c>
      <c r="BS30" s="104">
        <v>0</v>
      </c>
      <c r="BT30" s="107">
        <f t="shared" si="18"/>
        <v>18</v>
      </c>
      <c r="BU30" s="61">
        <f t="shared" si="19"/>
        <v>4</v>
      </c>
      <c r="BV30" s="61">
        <f t="shared" si="20"/>
        <v>0</v>
      </c>
      <c r="BW30" s="61">
        <f t="shared" si="21"/>
        <v>0.81818181818181823</v>
      </c>
      <c r="BX30" s="61">
        <f t="shared" si="22"/>
        <v>1</v>
      </c>
      <c r="BY30" s="104">
        <f t="shared" si="23"/>
        <v>0.9</v>
      </c>
    </row>
    <row r="31" spans="1:84" x14ac:dyDescent="0.35">
      <c r="A31" s="108" t="s">
        <v>48</v>
      </c>
      <c r="B31" s="148"/>
      <c r="C31" s="112" t="s">
        <v>42</v>
      </c>
      <c r="D31" s="114">
        <v>2</v>
      </c>
      <c r="E31" s="108">
        <v>2</v>
      </c>
      <c r="F31" s="108">
        <f t="shared" si="1"/>
        <v>0</v>
      </c>
      <c r="G31" s="112">
        <v>0</v>
      </c>
      <c r="H31" s="114">
        <v>1</v>
      </c>
      <c r="I31" s="108">
        <v>0</v>
      </c>
      <c r="J31" s="108">
        <f t="shared" si="2"/>
        <v>1</v>
      </c>
      <c r="K31" s="112">
        <v>0</v>
      </c>
      <c r="L31" s="114">
        <v>1</v>
      </c>
      <c r="M31" s="108">
        <v>0</v>
      </c>
      <c r="N31" s="108">
        <f t="shared" si="3"/>
        <v>1</v>
      </c>
      <c r="O31" s="112">
        <v>0</v>
      </c>
      <c r="P31" s="114">
        <v>1</v>
      </c>
      <c r="Q31" s="108">
        <v>1</v>
      </c>
      <c r="R31" s="108">
        <f t="shared" si="4"/>
        <v>0</v>
      </c>
      <c r="S31" s="112">
        <v>0</v>
      </c>
      <c r="T31" s="114">
        <v>1</v>
      </c>
      <c r="U31" s="108">
        <v>1</v>
      </c>
      <c r="V31" s="108">
        <f t="shared" si="5"/>
        <v>0</v>
      </c>
      <c r="W31" s="112">
        <v>0</v>
      </c>
      <c r="X31" s="114">
        <v>2</v>
      </c>
      <c r="Y31" s="108">
        <v>2</v>
      </c>
      <c r="Z31" s="108">
        <f t="shared" si="6"/>
        <v>0</v>
      </c>
      <c r="AA31" s="112">
        <v>0</v>
      </c>
      <c r="AB31" s="114">
        <v>0</v>
      </c>
      <c r="AC31" s="108">
        <v>0</v>
      </c>
      <c r="AD31" s="108">
        <v>0</v>
      </c>
      <c r="AE31" s="112">
        <v>0</v>
      </c>
      <c r="AF31" s="114">
        <v>2</v>
      </c>
      <c r="AG31" s="108">
        <v>2</v>
      </c>
      <c r="AH31" s="108">
        <f t="shared" si="8"/>
        <v>0</v>
      </c>
      <c r="AI31" s="112">
        <v>0</v>
      </c>
      <c r="AJ31" s="114">
        <v>0</v>
      </c>
      <c r="AK31" s="108">
        <v>0</v>
      </c>
      <c r="AL31" s="108">
        <f t="shared" si="9"/>
        <v>0</v>
      </c>
      <c r="AM31" s="112">
        <v>0</v>
      </c>
      <c r="AN31" s="114">
        <v>0</v>
      </c>
      <c r="AO31" s="108">
        <v>0</v>
      </c>
      <c r="AP31" s="108">
        <f t="shared" si="10"/>
        <v>0</v>
      </c>
      <c r="AQ31" s="112">
        <v>1</v>
      </c>
      <c r="AR31" s="114">
        <v>0</v>
      </c>
      <c r="AS31" s="108">
        <v>0</v>
      </c>
      <c r="AT31" s="108">
        <f t="shared" si="11"/>
        <v>0</v>
      </c>
      <c r="AU31" s="112">
        <v>0</v>
      </c>
      <c r="AV31" s="114">
        <v>0</v>
      </c>
      <c r="AW31" s="108">
        <v>0</v>
      </c>
      <c r="AX31" s="108">
        <f t="shared" si="12"/>
        <v>0</v>
      </c>
      <c r="AY31" s="112">
        <v>0</v>
      </c>
      <c r="AZ31" s="114">
        <v>1</v>
      </c>
      <c r="BA31" s="108">
        <v>1</v>
      </c>
      <c r="BB31" s="108">
        <f t="shared" si="13"/>
        <v>0</v>
      </c>
      <c r="BC31" s="112">
        <v>0</v>
      </c>
      <c r="BD31" s="114">
        <v>0</v>
      </c>
      <c r="BE31" s="108">
        <v>0</v>
      </c>
      <c r="BF31" s="108">
        <f t="shared" si="14"/>
        <v>0</v>
      </c>
      <c r="BG31" s="112">
        <v>0</v>
      </c>
      <c r="BH31" s="114">
        <v>0</v>
      </c>
      <c r="BI31" s="108">
        <v>0</v>
      </c>
      <c r="BJ31" s="108">
        <f t="shared" si="15"/>
        <v>0</v>
      </c>
      <c r="BK31" s="112">
        <v>0</v>
      </c>
      <c r="BL31" s="114">
        <v>0</v>
      </c>
      <c r="BM31" s="108">
        <v>0</v>
      </c>
      <c r="BN31" s="108">
        <f t="shared" si="16"/>
        <v>0</v>
      </c>
      <c r="BO31" s="112">
        <v>0</v>
      </c>
      <c r="BP31" s="114">
        <v>1</v>
      </c>
      <c r="BQ31" s="108">
        <v>0</v>
      </c>
      <c r="BR31" s="108">
        <f t="shared" si="17"/>
        <v>1</v>
      </c>
      <c r="BS31" s="112">
        <v>0</v>
      </c>
      <c r="BT31" s="114">
        <f t="shared" si="18"/>
        <v>9</v>
      </c>
      <c r="BU31" s="108">
        <f t="shared" si="19"/>
        <v>3</v>
      </c>
      <c r="BV31" s="108">
        <f t="shared" si="20"/>
        <v>1</v>
      </c>
      <c r="BW31" s="108">
        <f t="shared" si="21"/>
        <v>0.75</v>
      </c>
      <c r="BX31" s="108">
        <f t="shared" si="22"/>
        <v>0.9</v>
      </c>
      <c r="BY31" s="112">
        <f t="shared" si="23"/>
        <v>0.81818181818181823</v>
      </c>
    </row>
    <row r="32" spans="1:84" x14ac:dyDescent="0.35">
      <c r="A32" s="108" t="s">
        <v>48</v>
      </c>
      <c r="B32" s="148"/>
      <c r="C32" s="112" t="s">
        <v>73</v>
      </c>
      <c r="D32" s="114">
        <v>2</v>
      </c>
      <c r="E32" s="108">
        <v>2</v>
      </c>
      <c r="F32" s="108">
        <f t="shared" si="1"/>
        <v>0</v>
      </c>
      <c r="G32" s="112">
        <v>0</v>
      </c>
      <c r="H32" s="114">
        <v>1</v>
      </c>
      <c r="I32" s="108">
        <v>0</v>
      </c>
      <c r="J32" s="108">
        <f t="shared" si="2"/>
        <v>1</v>
      </c>
      <c r="K32" s="112">
        <v>0</v>
      </c>
      <c r="L32" s="114">
        <v>1</v>
      </c>
      <c r="M32" s="108">
        <v>0</v>
      </c>
      <c r="N32" s="108">
        <f t="shared" si="3"/>
        <v>1</v>
      </c>
      <c r="O32" s="112">
        <v>0</v>
      </c>
      <c r="P32" s="114">
        <v>1</v>
      </c>
      <c r="Q32" s="108">
        <v>1</v>
      </c>
      <c r="R32" s="108">
        <f t="shared" si="4"/>
        <v>0</v>
      </c>
      <c r="S32" s="112">
        <v>0</v>
      </c>
      <c r="T32" s="114">
        <v>1</v>
      </c>
      <c r="U32" s="108">
        <v>1</v>
      </c>
      <c r="V32" s="108">
        <f t="shared" si="5"/>
        <v>0</v>
      </c>
      <c r="W32" s="112">
        <v>0</v>
      </c>
      <c r="X32" s="114">
        <v>2</v>
      </c>
      <c r="Y32" s="108">
        <v>2</v>
      </c>
      <c r="Z32" s="108">
        <f t="shared" si="6"/>
        <v>0</v>
      </c>
      <c r="AA32" s="112">
        <v>0</v>
      </c>
      <c r="AB32" s="114">
        <v>0</v>
      </c>
      <c r="AC32" s="108">
        <v>0</v>
      </c>
      <c r="AD32" s="108">
        <v>0</v>
      </c>
      <c r="AE32" s="112">
        <v>0</v>
      </c>
      <c r="AF32" s="114">
        <v>2</v>
      </c>
      <c r="AG32" s="108">
        <v>2</v>
      </c>
      <c r="AH32" s="108">
        <f t="shared" si="8"/>
        <v>0</v>
      </c>
      <c r="AI32" s="112">
        <v>0</v>
      </c>
      <c r="AJ32" s="114">
        <v>0</v>
      </c>
      <c r="AK32" s="108">
        <v>0</v>
      </c>
      <c r="AL32" s="108">
        <f t="shared" si="9"/>
        <v>0</v>
      </c>
      <c r="AM32" s="112">
        <v>0</v>
      </c>
      <c r="AN32" s="114">
        <v>0</v>
      </c>
      <c r="AO32" s="108">
        <v>0</v>
      </c>
      <c r="AP32" s="108">
        <f t="shared" si="10"/>
        <v>0</v>
      </c>
      <c r="AQ32" s="112">
        <v>0</v>
      </c>
      <c r="AR32" s="114">
        <v>0</v>
      </c>
      <c r="AS32" s="108">
        <v>0</v>
      </c>
      <c r="AT32" s="108">
        <f t="shared" si="11"/>
        <v>0</v>
      </c>
      <c r="AU32" s="112">
        <v>0</v>
      </c>
      <c r="AV32" s="114">
        <v>0</v>
      </c>
      <c r="AW32" s="108">
        <v>0</v>
      </c>
      <c r="AX32" s="108">
        <f t="shared" si="12"/>
        <v>0</v>
      </c>
      <c r="AY32" s="112">
        <v>0</v>
      </c>
      <c r="AZ32" s="114">
        <v>1</v>
      </c>
      <c r="BA32" s="108">
        <v>1</v>
      </c>
      <c r="BB32" s="108">
        <f t="shared" si="13"/>
        <v>0</v>
      </c>
      <c r="BC32" s="112">
        <v>0</v>
      </c>
      <c r="BD32" s="114">
        <v>0</v>
      </c>
      <c r="BE32" s="108">
        <v>0</v>
      </c>
      <c r="BF32" s="108">
        <f t="shared" si="14"/>
        <v>0</v>
      </c>
      <c r="BG32" s="112">
        <v>0</v>
      </c>
      <c r="BH32" s="114">
        <v>0</v>
      </c>
      <c r="BI32" s="108">
        <v>0</v>
      </c>
      <c r="BJ32" s="108">
        <f t="shared" si="15"/>
        <v>0</v>
      </c>
      <c r="BK32" s="112">
        <v>0</v>
      </c>
      <c r="BL32" s="114">
        <v>0</v>
      </c>
      <c r="BM32" s="108">
        <v>0</v>
      </c>
      <c r="BN32" s="108">
        <f t="shared" si="16"/>
        <v>0</v>
      </c>
      <c r="BO32" s="112">
        <v>0</v>
      </c>
      <c r="BP32" s="114">
        <v>1</v>
      </c>
      <c r="BQ32" s="108">
        <v>1</v>
      </c>
      <c r="BR32" s="108">
        <f t="shared" si="17"/>
        <v>0</v>
      </c>
      <c r="BS32" s="112">
        <v>0</v>
      </c>
      <c r="BT32" s="114">
        <f t="shared" si="18"/>
        <v>10</v>
      </c>
      <c r="BU32" s="108">
        <f t="shared" si="19"/>
        <v>2</v>
      </c>
      <c r="BV32" s="108">
        <f t="shared" si="20"/>
        <v>0</v>
      </c>
      <c r="BW32" s="108">
        <f t="shared" si="21"/>
        <v>0.83333333333333337</v>
      </c>
      <c r="BX32" s="108">
        <f t="shared" si="22"/>
        <v>1</v>
      </c>
      <c r="BY32" s="112">
        <f t="shared" si="23"/>
        <v>0.90909090909090906</v>
      </c>
    </row>
    <row r="33" spans="1:77" x14ac:dyDescent="0.35">
      <c r="A33" s="109" t="s">
        <v>48</v>
      </c>
      <c r="B33" s="148"/>
      <c r="C33" s="113" t="s">
        <v>43</v>
      </c>
      <c r="D33" s="115">
        <v>1</v>
      </c>
      <c r="E33" s="109">
        <v>1</v>
      </c>
      <c r="F33" s="109">
        <f t="shared" si="1"/>
        <v>0</v>
      </c>
      <c r="G33" s="113">
        <v>0</v>
      </c>
      <c r="H33" s="115">
        <v>1</v>
      </c>
      <c r="I33" s="109">
        <v>1</v>
      </c>
      <c r="J33" s="109">
        <f t="shared" si="2"/>
        <v>0</v>
      </c>
      <c r="K33" s="113">
        <v>0</v>
      </c>
      <c r="L33" s="115">
        <v>0</v>
      </c>
      <c r="M33" s="109">
        <v>0</v>
      </c>
      <c r="N33" s="109">
        <f t="shared" si="3"/>
        <v>0</v>
      </c>
      <c r="O33" s="113">
        <v>0</v>
      </c>
      <c r="P33" s="115">
        <v>5</v>
      </c>
      <c r="Q33" s="109">
        <v>5</v>
      </c>
      <c r="R33" s="109">
        <f t="shared" si="4"/>
        <v>0</v>
      </c>
      <c r="S33" s="113">
        <v>0</v>
      </c>
      <c r="T33" s="115">
        <v>5</v>
      </c>
      <c r="U33" s="109">
        <v>5</v>
      </c>
      <c r="V33" s="109">
        <f t="shared" si="5"/>
        <v>0</v>
      </c>
      <c r="W33" s="113">
        <v>0</v>
      </c>
      <c r="X33" s="115">
        <v>0</v>
      </c>
      <c r="Y33" s="109">
        <v>0</v>
      </c>
      <c r="Z33" s="109">
        <f t="shared" si="6"/>
        <v>0</v>
      </c>
      <c r="AA33" s="113">
        <v>0</v>
      </c>
      <c r="AB33" s="115">
        <v>0</v>
      </c>
      <c r="AC33" s="109">
        <v>0</v>
      </c>
      <c r="AD33" s="109">
        <v>0</v>
      </c>
      <c r="AE33" s="113">
        <v>0</v>
      </c>
      <c r="AF33" s="115">
        <v>0</v>
      </c>
      <c r="AG33" s="109">
        <v>0</v>
      </c>
      <c r="AH33" s="109">
        <f t="shared" si="8"/>
        <v>0</v>
      </c>
      <c r="AI33" s="113">
        <v>0</v>
      </c>
      <c r="AJ33" s="115">
        <v>0</v>
      </c>
      <c r="AK33" s="109">
        <v>0</v>
      </c>
      <c r="AL33" s="109">
        <f t="shared" si="9"/>
        <v>0</v>
      </c>
      <c r="AM33" s="113">
        <v>0</v>
      </c>
      <c r="AN33" s="115">
        <v>0</v>
      </c>
      <c r="AO33" s="109">
        <v>0</v>
      </c>
      <c r="AP33" s="109">
        <f t="shared" si="10"/>
        <v>0</v>
      </c>
      <c r="AQ33" s="113">
        <v>0</v>
      </c>
      <c r="AR33" s="115">
        <v>0</v>
      </c>
      <c r="AS33" s="109">
        <v>0</v>
      </c>
      <c r="AT33" s="109">
        <f t="shared" si="11"/>
        <v>0</v>
      </c>
      <c r="AU33" s="113">
        <v>0</v>
      </c>
      <c r="AV33" s="115">
        <v>0</v>
      </c>
      <c r="AW33" s="109">
        <v>0</v>
      </c>
      <c r="AX33" s="109">
        <f t="shared" si="12"/>
        <v>0</v>
      </c>
      <c r="AY33" s="113">
        <v>0</v>
      </c>
      <c r="AZ33" s="115">
        <v>0</v>
      </c>
      <c r="BA33" s="109">
        <v>0</v>
      </c>
      <c r="BB33" s="109">
        <f t="shared" si="13"/>
        <v>0</v>
      </c>
      <c r="BC33" s="113">
        <v>0</v>
      </c>
      <c r="BD33" s="115">
        <v>0</v>
      </c>
      <c r="BE33" s="109">
        <v>0</v>
      </c>
      <c r="BF33" s="109">
        <f t="shared" si="14"/>
        <v>0</v>
      </c>
      <c r="BG33" s="113">
        <v>0</v>
      </c>
      <c r="BH33" s="115">
        <v>0</v>
      </c>
      <c r="BI33" s="109">
        <v>0</v>
      </c>
      <c r="BJ33" s="109">
        <f t="shared" si="15"/>
        <v>0</v>
      </c>
      <c r="BK33" s="113">
        <v>0</v>
      </c>
      <c r="BL33" s="115">
        <v>0</v>
      </c>
      <c r="BM33" s="109">
        <v>0</v>
      </c>
      <c r="BN33" s="109">
        <f t="shared" si="16"/>
        <v>0</v>
      </c>
      <c r="BO33" s="113">
        <v>0</v>
      </c>
      <c r="BP33" s="115">
        <v>0</v>
      </c>
      <c r="BQ33" s="109">
        <v>0</v>
      </c>
      <c r="BR33" s="109">
        <f t="shared" si="17"/>
        <v>0</v>
      </c>
      <c r="BS33" s="113">
        <v>0</v>
      </c>
      <c r="BT33" s="115">
        <f t="shared" si="18"/>
        <v>12</v>
      </c>
      <c r="BU33" s="109">
        <f t="shared" si="19"/>
        <v>0</v>
      </c>
      <c r="BV33" s="109">
        <f t="shared" si="20"/>
        <v>0</v>
      </c>
      <c r="BW33" s="109">
        <f t="shared" si="21"/>
        <v>1</v>
      </c>
      <c r="BX33" s="109">
        <f t="shared" si="22"/>
        <v>1</v>
      </c>
      <c r="BY33" s="113">
        <f t="shared" si="23"/>
        <v>1</v>
      </c>
    </row>
    <row r="34" spans="1:77" ht="15" thickBot="1" x14ac:dyDescent="0.4">
      <c r="A34" s="109" t="s">
        <v>48</v>
      </c>
      <c r="B34" s="148"/>
      <c r="C34" s="113" t="s">
        <v>74</v>
      </c>
      <c r="D34" s="130">
        <v>1</v>
      </c>
      <c r="E34" s="131">
        <v>1</v>
      </c>
      <c r="F34" s="131">
        <f t="shared" si="1"/>
        <v>0</v>
      </c>
      <c r="G34" s="129">
        <v>0</v>
      </c>
      <c r="H34" s="130">
        <v>1</v>
      </c>
      <c r="I34" s="131">
        <v>1</v>
      </c>
      <c r="J34" s="131">
        <f t="shared" si="2"/>
        <v>0</v>
      </c>
      <c r="K34" s="129">
        <v>0</v>
      </c>
      <c r="L34" s="130">
        <v>0</v>
      </c>
      <c r="M34" s="131">
        <v>0</v>
      </c>
      <c r="N34" s="131">
        <f t="shared" si="3"/>
        <v>0</v>
      </c>
      <c r="O34" s="129">
        <v>0</v>
      </c>
      <c r="P34" s="130">
        <v>5</v>
      </c>
      <c r="Q34" s="131">
        <v>5</v>
      </c>
      <c r="R34" s="131">
        <f t="shared" si="4"/>
        <v>0</v>
      </c>
      <c r="S34" s="129">
        <v>0</v>
      </c>
      <c r="T34" s="130">
        <v>5</v>
      </c>
      <c r="U34" s="131">
        <v>5</v>
      </c>
      <c r="V34" s="131">
        <f t="shared" si="5"/>
        <v>0</v>
      </c>
      <c r="W34" s="129">
        <v>0</v>
      </c>
      <c r="X34" s="130">
        <v>0</v>
      </c>
      <c r="Y34" s="131">
        <v>0</v>
      </c>
      <c r="Z34" s="131">
        <f t="shared" si="6"/>
        <v>0</v>
      </c>
      <c r="AA34" s="129">
        <v>0</v>
      </c>
      <c r="AB34" s="130">
        <v>0</v>
      </c>
      <c r="AC34" s="131">
        <v>0</v>
      </c>
      <c r="AD34" s="131">
        <v>0</v>
      </c>
      <c r="AE34" s="129">
        <v>0</v>
      </c>
      <c r="AF34" s="130">
        <v>0</v>
      </c>
      <c r="AG34" s="131">
        <v>0</v>
      </c>
      <c r="AH34" s="131">
        <f t="shared" si="8"/>
        <v>0</v>
      </c>
      <c r="AI34" s="129">
        <v>0</v>
      </c>
      <c r="AJ34" s="130">
        <v>0</v>
      </c>
      <c r="AK34" s="131">
        <v>0</v>
      </c>
      <c r="AL34" s="131">
        <f t="shared" si="9"/>
        <v>0</v>
      </c>
      <c r="AM34" s="129">
        <v>0</v>
      </c>
      <c r="AN34" s="130">
        <v>0</v>
      </c>
      <c r="AO34" s="131">
        <v>0</v>
      </c>
      <c r="AP34" s="131">
        <f t="shared" si="10"/>
        <v>0</v>
      </c>
      <c r="AQ34" s="129">
        <v>0</v>
      </c>
      <c r="AR34" s="130">
        <v>0</v>
      </c>
      <c r="AS34" s="131">
        <v>0</v>
      </c>
      <c r="AT34" s="131">
        <f t="shared" si="11"/>
        <v>0</v>
      </c>
      <c r="AU34" s="129">
        <v>0</v>
      </c>
      <c r="AV34" s="130">
        <v>0</v>
      </c>
      <c r="AW34" s="131">
        <v>0</v>
      </c>
      <c r="AX34" s="131">
        <f t="shared" si="12"/>
        <v>0</v>
      </c>
      <c r="AY34" s="129">
        <v>0</v>
      </c>
      <c r="AZ34" s="130">
        <v>0</v>
      </c>
      <c r="BA34" s="131">
        <v>0</v>
      </c>
      <c r="BB34" s="131">
        <f t="shared" si="13"/>
        <v>0</v>
      </c>
      <c r="BC34" s="129">
        <v>0</v>
      </c>
      <c r="BD34" s="130">
        <v>0</v>
      </c>
      <c r="BE34" s="131">
        <v>0</v>
      </c>
      <c r="BF34" s="131">
        <f t="shared" si="14"/>
        <v>0</v>
      </c>
      <c r="BG34" s="129">
        <v>0</v>
      </c>
      <c r="BH34" s="132">
        <v>0</v>
      </c>
      <c r="BI34" s="131">
        <v>0</v>
      </c>
      <c r="BJ34" s="131">
        <f t="shared" si="15"/>
        <v>0</v>
      </c>
      <c r="BK34" s="129">
        <v>0</v>
      </c>
      <c r="BL34" s="130">
        <v>0</v>
      </c>
      <c r="BM34" s="131">
        <v>0</v>
      </c>
      <c r="BN34" s="131">
        <f t="shared" si="16"/>
        <v>0</v>
      </c>
      <c r="BO34" s="129">
        <v>0</v>
      </c>
      <c r="BP34" s="130">
        <v>0</v>
      </c>
      <c r="BQ34" s="131">
        <v>0</v>
      </c>
      <c r="BR34" s="131">
        <f t="shared" si="17"/>
        <v>0</v>
      </c>
      <c r="BS34" s="129">
        <v>0</v>
      </c>
      <c r="BT34" s="130">
        <f t="shared" si="18"/>
        <v>12</v>
      </c>
      <c r="BU34" s="131">
        <f t="shared" si="19"/>
        <v>0</v>
      </c>
      <c r="BV34" s="131">
        <f t="shared" si="20"/>
        <v>0</v>
      </c>
      <c r="BW34" s="131">
        <f t="shared" si="21"/>
        <v>1</v>
      </c>
      <c r="BX34" s="131">
        <f t="shared" si="22"/>
        <v>1</v>
      </c>
      <c r="BY34" s="129">
        <f t="shared" si="23"/>
        <v>1</v>
      </c>
    </row>
    <row r="35" spans="1:77" ht="15" thickTop="1" x14ac:dyDescent="0.35">
      <c r="C35" s="5" t="s">
        <v>111</v>
      </c>
      <c r="D35" s="48">
        <f>SUM(D3:D34)</f>
        <v>68</v>
      </c>
      <c r="E35" s="48">
        <f t="shared" ref="E35:BP35" si="40">SUM(E3:E34)</f>
        <v>68</v>
      </c>
      <c r="F35" s="48">
        <f t="shared" si="40"/>
        <v>0</v>
      </c>
      <c r="G35" s="48">
        <f t="shared" si="40"/>
        <v>0</v>
      </c>
      <c r="H35" s="48">
        <f t="shared" si="40"/>
        <v>46</v>
      </c>
      <c r="I35" s="48">
        <f t="shared" si="40"/>
        <v>25</v>
      </c>
      <c r="J35" s="48">
        <f t="shared" si="40"/>
        <v>21</v>
      </c>
      <c r="K35" s="48">
        <f t="shared" si="40"/>
        <v>0</v>
      </c>
      <c r="L35" s="48">
        <f t="shared" si="40"/>
        <v>38</v>
      </c>
      <c r="M35" s="48">
        <f t="shared" si="40"/>
        <v>14</v>
      </c>
      <c r="N35" s="48">
        <f t="shared" si="40"/>
        <v>24</v>
      </c>
      <c r="O35" s="48">
        <f t="shared" si="40"/>
        <v>0</v>
      </c>
      <c r="P35" s="48">
        <f t="shared" si="40"/>
        <v>48</v>
      </c>
      <c r="Q35" s="48">
        <f t="shared" si="40"/>
        <v>48</v>
      </c>
      <c r="R35" s="48">
        <f t="shared" si="40"/>
        <v>0</v>
      </c>
      <c r="S35" s="48">
        <f t="shared" si="40"/>
        <v>13</v>
      </c>
      <c r="T35" s="48">
        <f t="shared" si="40"/>
        <v>48</v>
      </c>
      <c r="U35" s="48">
        <f t="shared" si="40"/>
        <v>48</v>
      </c>
      <c r="V35" s="48">
        <f t="shared" si="40"/>
        <v>0</v>
      </c>
      <c r="W35" s="48">
        <f t="shared" si="40"/>
        <v>0</v>
      </c>
      <c r="X35" s="48">
        <f t="shared" si="40"/>
        <v>72</v>
      </c>
      <c r="Y35" s="48">
        <f t="shared" si="40"/>
        <v>72</v>
      </c>
      <c r="Z35" s="48">
        <f t="shared" si="40"/>
        <v>0</v>
      </c>
      <c r="AA35" s="48">
        <f t="shared" si="40"/>
        <v>0</v>
      </c>
      <c r="AB35" s="48">
        <f t="shared" si="40"/>
        <v>20</v>
      </c>
      <c r="AC35" s="48">
        <f>SUM(AC3:AC34)</f>
        <v>15</v>
      </c>
      <c r="AD35" s="48">
        <f t="shared" si="40"/>
        <v>5</v>
      </c>
      <c r="AE35" s="48">
        <f t="shared" si="40"/>
        <v>3</v>
      </c>
      <c r="AF35" s="48">
        <f t="shared" si="40"/>
        <v>72</v>
      </c>
      <c r="AG35" s="48">
        <f t="shared" si="40"/>
        <v>72</v>
      </c>
      <c r="AH35" s="48">
        <f t="shared" si="40"/>
        <v>0</v>
      </c>
      <c r="AI35" s="48">
        <f t="shared" si="40"/>
        <v>0</v>
      </c>
      <c r="AJ35" s="48">
        <f t="shared" si="40"/>
        <v>16</v>
      </c>
      <c r="AK35" s="48">
        <f t="shared" si="40"/>
        <v>16</v>
      </c>
      <c r="AL35" s="48">
        <f t="shared" si="40"/>
        <v>0</v>
      </c>
      <c r="AM35" s="48">
        <f t="shared" si="40"/>
        <v>2</v>
      </c>
      <c r="AN35" s="48">
        <f t="shared" si="40"/>
        <v>2</v>
      </c>
      <c r="AO35" s="48">
        <f t="shared" si="40"/>
        <v>0</v>
      </c>
      <c r="AP35" s="48">
        <f t="shared" si="40"/>
        <v>2</v>
      </c>
      <c r="AQ35" s="48">
        <f t="shared" si="40"/>
        <v>4</v>
      </c>
      <c r="AR35" s="48">
        <f t="shared" si="40"/>
        <v>4</v>
      </c>
      <c r="AS35" s="48">
        <f t="shared" si="40"/>
        <v>3</v>
      </c>
      <c r="AT35" s="48">
        <f t="shared" si="40"/>
        <v>1</v>
      </c>
      <c r="AU35" s="48">
        <f t="shared" si="40"/>
        <v>8</v>
      </c>
      <c r="AV35" s="48">
        <f t="shared" si="40"/>
        <v>8</v>
      </c>
      <c r="AW35" s="48">
        <f t="shared" si="40"/>
        <v>3</v>
      </c>
      <c r="AX35" s="48">
        <f t="shared" si="40"/>
        <v>5</v>
      </c>
      <c r="AY35" s="48">
        <f t="shared" si="40"/>
        <v>5</v>
      </c>
      <c r="AZ35" s="48">
        <f t="shared" si="40"/>
        <v>36</v>
      </c>
      <c r="BA35" s="48">
        <f t="shared" si="40"/>
        <v>25</v>
      </c>
      <c r="BB35" s="48">
        <f t="shared" si="40"/>
        <v>11</v>
      </c>
      <c r="BC35" s="48">
        <f t="shared" si="40"/>
        <v>16</v>
      </c>
      <c r="BD35" s="48">
        <f t="shared" si="40"/>
        <v>8</v>
      </c>
      <c r="BE35" s="48">
        <f t="shared" si="40"/>
        <v>2</v>
      </c>
      <c r="BF35" s="48">
        <f t="shared" si="40"/>
        <v>6</v>
      </c>
      <c r="BG35" s="48">
        <f t="shared" si="40"/>
        <v>0</v>
      </c>
      <c r="BH35" s="48">
        <f t="shared" si="40"/>
        <v>2</v>
      </c>
      <c r="BI35" s="48">
        <f t="shared" si="40"/>
        <v>2</v>
      </c>
      <c r="BJ35" s="48">
        <f t="shared" si="40"/>
        <v>0</v>
      </c>
      <c r="BK35" s="48">
        <f t="shared" si="40"/>
        <v>0</v>
      </c>
      <c r="BL35" s="48">
        <f t="shared" si="40"/>
        <v>0</v>
      </c>
      <c r="BM35" s="48">
        <f t="shared" si="40"/>
        <v>0</v>
      </c>
      <c r="BN35" s="48">
        <f t="shared" si="40"/>
        <v>0</v>
      </c>
      <c r="BO35" s="48">
        <f t="shared" si="40"/>
        <v>5</v>
      </c>
      <c r="BP35" s="48">
        <f t="shared" si="40"/>
        <v>6</v>
      </c>
      <c r="BQ35" s="48">
        <f t="shared" ref="BQ35:BS35" si="41">SUM(BQ3:BQ34)</f>
        <v>3</v>
      </c>
      <c r="BR35" s="48">
        <f t="shared" si="41"/>
        <v>3</v>
      </c>
      <c r="BS35" s="48">
        <f t="shared" si="41"/>
        <v>0</v>
      </c>
    </row>
    <row r="37" spans="1:77" x14ac:dyDescent="0.35">
      <c r="C37" s="134" t="s">
        <v>23</v>
      </c>
      <c r="D37" s="143">
        <f>IFERROR(E35/(E35+F35),"")</f>
        <v>1</v>
      </c>
      <c r="E37" s="144"/>
      <c r="F37" s="144"/>
      <c r="G37" s="145"/>
      <c r="H37" s="143">
        <f t="shared" ref="H37" si="42">IFERROR(I35/(I35+J35),"")</f>
        <v>0.54347826086956519</v>
      </c>
      <c r="I37" s="144"/>
      <c r="J37" s="144"/>
      <c r="K37" s="145"/>
      <c r="L37" s="143">
        <f t="shared" ref="L37" si="43">IFERROR(M35/(M35+N35),"")</f>
        <v>0.36842105263157893</v>
      </c>
      <c r="M37" s="144"/>
      <c r="N37" s="144"/>
      <c r="O37" s="145"/>
      <c r="P37" s="143">
        <f t="shared" ref="P37" si="44">IFERROR(Q35/(Q35+R35),"")</f>
        <v>1</v>
      </c>
      <c r="Q37" s="144"/>
      <c r="R37" s="144"/>
      <c r="S37" s="145"/>
      <c r="T37" s="143">
        <f t="shared" ref="T37" si="45">IFERROR(U35/(U35+V35),"")</f>
        <v>1</v>
      </c>
      <c r="U37" s="144"/>
      <c r="V37" s="144"/>
      <c r="W37" s="145"/>
      <c r="X37" s="143">
        <f t="shared" ref="X37" si="46">IFERROR(Y35/(Y35+Z35),"")</f>
        <v>1</v>
      </c>
      <c r="Y37" s="144"/>
      <c r="Z37" s="144"/>
      <c r="AA37" s="145"/>
      <c r="AB37" s="143">
        <f t="shared" ref="AB37" si="47">IFERROR(AC35/(AC35+AD35),"")</f>
        <v>0.75</v>
      </c>
      <c r="AC37" s="144"/>
      <c r="AD37" s="144"/>
      <c r="AE37" s="145"/>
      <c r="AF37" s="143">
        <f t="shared" ref="AF37" si="48">IFERROR(AG35/(AG35+AH35),"")</f>
        <v>1</v>
      </c>
      <c r="AG37" s="144"/>
      <c r="AH37" s="144"/>
      <c r="AI37" s="145"/>
      <c r="AJ37" s="143">
        <f t="shared" ref="AJ37" si="49">IFERROR(AK35/(AK35+AL35),"")</f>
        <v>1</v>
      </c>
      <c r="AK37" s="144"/>
      <c r="AL37" s="144"/>
      <c r="AM37" s="145"/>
      <c r="AN37" s="143">
        <f t="shared" ref="AN37" si="50">IFERROR(AO35/(AO35+AP35),"")</f>
        <v>0</v>
      </c>
      <c r="AO37" s="144"/>
      <c r="AP37" s="144"/>
      <c r="AQ37" s="145"/>
      <c r="AR37" s="143">
        <f t="shared" ref="AR37" si="51">IFERROR(AS35/(AS35+AT35),"")</f>
        <v>0.75</v>
      </c>
      <c r="AS37" s="144"/>
      <c r="AT37" s="144"/>
      <c r="AU37" s="145"/>
      <c r="AV37" s="143">
        <f t="shared" ref="AV37" si="52">IFERROR(AW35/(AW35+AX35),"")</f>
        <v>0.375</v>
      </c>
      <c r="AW37" s="144"/>
      <c r="AX37" s="144"/>
      <c r="AY37" s="145"/>
      <c r="AZ37" s="143">
        <f t="shared" ref="AZ37" si="53">IFERROR(BA35/(BA35+BB35),"")</f>
        <v>0.69444444444444442</v>
      </c>
      <c r="BA37" s="144"/>
      <c r="BB37" s="144"/>
      <c r="BC37" s="145"/>
      <c r="BD37" s="143">
        <f t="shared" ref="BD37" si="54">IFERROR(BE35/(BE35+BF35),"")</f>
        <v>0.25</v>
      </c>
      <c r="BE37" s="144"/>
      <c r="BF37" s="144"/>
      <c r="BG37" s="145"/>
      <c r="BH37" s="143">
        <f t="shared" ref="BH37" si="55">IFERROR(BI35/(BI35+BJ35),"")</f>
        <v>1</v>
      </c>
      <c r="BI37" s="144"/>
      <c r="BJ37" s="144"/>
      <c r="BK37" s="145"/>
      <c r="BL37" s="143" t="str">
        <f t="shared" ref="BL37" si="56">IFERROR(BM35/(BM35+BN35),"")</f>
        <v/>
      </c>
      <c r="BM37" s="144"/>
      <c r="BN37" s="144"/>
      <c r="BO37" s="145"/>
      <c r="BP37" s="143">
        <f t="shared" ref="BP37" si="57">IFERROR(BQ35/(BQ35+BR35),"")</f>
        <v>0.5</v>
      </c>
      <c r="BQ37" s="144"/>
      <c r="BR37" s="144"/>
      <c r="BS37" s="145"/>
    </row>
    <row r="38" spans="1:77" x14ac:dyDescent="0.35">
      <c r="C38" s="134" t="s">
        <v>141</v>
      </c>
      <c r="D38" s="143">
        <f>IFERROR(E35/(E35+G35),"")</f>
        <v>1</v>
      </c>
      <c r="E38" s="144"/>
      <c r="F38" s="144"/>
      <c r="G38" s="145"/>
      <c r="H38" s="143">
        <f t="shared" ref="H38" si="58">IFERROR(I35/(I35+K35),"")</f>
        <v>1</v>
      </c>
      <c r="I38" s="144"/>
      <c r="J38" s="144"/>
      <c r="K38" s="145"/>
      <c r="L38" s="143">
        <f t="shared" ref="L38" si="59">IFERROR(M35/(M35+O35),"")</f>
        <v>1</v>
      </c>
      <c r="M38" s="144"/>
      <c r="N38" s="144"/>
      <c r="O38" s="145"/>
      <c r="P38" s="143">
        <f t="shared" ref="P38" si="60">IFERROR(Q35/(Q35+S35),"")</f>
        <v>0.78688524590163933</v>
      </c>
      <c r="Q38" s="144"/>
      <c r="R38" s="144"/>
      <c r="S38" s="145"/>
      <c r="T38" s="143">
        <f t="shared" ref="T38" si="61">IFERROR(U35/(U35+W35),"")</f>
        <v>1</v>
      </c>
      <c r="U38" s="144"/>
      <c r="V38" s="144"/>
      <c r="W38" s="145"/>
      <c r="X38" s="143">
        <f t="shared" ref="X38" si="62">IFERROR(Y35/(Y35+AA35),"")</f>
        <v>1</v>
      </c>
      <c r="Y38" s="144"/>
      <c r="Z38" s="144"/>
      <c r="AA38" s="145"/>
      <c r="AB38" s="143">
        <f t="shared" ref="AB38" si="63">IFERROR(AC35/(AC35+AE35),"")</f>
        <v>0.83333333333333337</v>
      </c>
      <c r="AC38" s="144"/>
      <c r="AD38" s="144"/>
      <c r="AE38" s="145"/>
      <c r="AF38" s="143">
        <f t="shared" ref="AF38" si="64">IFERROR(AG35/(AG35+AI35),"")</f>
        <v>1</v>
      </c>
      <c r="AG38" s="144"/>
      <c r="AH38" s="144"/>
      <c r="AI38" s="145"/>
      <c r="AJ38" s="143">
        <f t="shared" ref="AJ38" si="65">IFERROR(AK35/(AK35+AM35),"")</f>
        <v>0.88888888888888884</v>
      </c>
      <c r="AK38" s="144"/>
      <c r="AL38" s="144"/>
      <c r="AM38" s="145"/>
      <c r="AN38" s="143">
        <f t="shared" ref="AN38" si="66">IFERROR(AO35/(AO35+AQ35),"")</f>
        <v>0</v>
      </c>
      <c r="AO38" s="144"/>
      <c r="AP38" s="144"/>
      <c r="AQ38" s="145"/>
      <c r="AR38" s="143">
        <f t="shared" ref="AR38" si="67">IFERROR(AS35/(AS35+AU35),"")</f>
        <v>0.27272727272727271</v>
      </c>
      <c r="AS38" s="144"/>
      <c r="AT38" s="144"/>
      <c r="AU38" s="145"/>
      <c r="AV38" s="143">
        <f t="shared" ref="AV38" si="68">IFERROR(AW35/(AW35+AY35),"")</f>
        <v>0.375</v>
      </c>
      <c r="AW38" s="144"/>
      <c r="AX38" s="144"/>
      <c r="AY38" s="145"/>
      <c r="AZ38" s="143">
        <f t="shared" ref="AZ38" si="69">IFERROR(BA35/(BA35+BC35),"")</f>
        <v>0.6097560975609756</v>
      </c>
      <c r="BA38" s="144"/>
      <c r="BB38" s="144"/>
      <c r="BC38" s="145"/>
      <c r="BD38" s="143">
        <f t="shared" ref="BD38" si="70">IFERROR(BE35/(BE35+BG35),"")</f>
        <v>1</v>
      </c>
      <c r="BE38" s="144"/>
      <c r="BF38" s="144"/>
      <c r="BG38" s="145"/>
      <c r="BH38" s="143">
        <f t="shared" ref="BH38" si="71">IFERROR(BI35/(BI35+BK35),"")</f>
        <v>1</v>
      </c>
      <c r="BI38" s="144"/>
      <c r="BJ38" s="144"/>
      <c r="BK38" s="145"/>
      <c r="BL38" s="143">
        <f t="shared" ref="BL38" si="72">IFERROR(BM35/(BM35+BO35),"")</f>
        <v>0</v>
      </c>
      <c r="BM38" s="144"/>
      <c r="BN38" s="144"/>
      <c r="BO38" s="145"/>
      <c r="BP38" s="143">
        <f t="shared" ref="BP38" si="73">IFERROR(BQ35/(BQ35+BS35),"")</f>
        <v>1</v>
      </c>
      <c r="BQ38" s="144"/>
      <c r="BR38" s="144"/>
      <c r="BS38" s="145"/>
    </row>
    <row r="39" spans="1:77" x14ac:dyDescent="0.35">
      <c r="C39" s="134" t="s">
        <v>24</v>
      </c>
      <c r="D39" s="143">
        <f>IFERROR(2*D37*D38/(D37+D38),IF(AND(D37=0,D38=0),0,""))</f>
        <v>1</v>
      </c>
      <c r="E39" s="144"/>
      <c r="F39" s="144"/>
      <c r="G39" s="145"/>
      <c r="H39" s="143">
        <f t="shared" ref="H39" si="74">IFERROR(2*H37*H38/(H37+H38),IF(AND(H37=0,H38=0),0,""))</f>
        <v>0.70422535211267601</v>
      </c>
      <c r="I39" s="144"/>
      <c r="J39" s="144"/>
      <c r="K39" s="145"/>
      <c r="L39" s="143">
        <f t="shared" ref="L39" si="75">IFERROR(2*L37*L38/(L37+L38),IF(AND(L37=0,L38=0),0,""))</f>
        <v>0.53846153846153844</v>
      </c>
      <c r="M39" s="144"/>
      <c r="N39" s="144"/>
      <c r="O39" s="145"/>
      <c r="P39" s="143">
        <f t="shared" ref="P39" si="76">IFERROR(2*P37*P38/(P37+P38),IF(AND(P37=0,P38=0),0,""))</f>
        <v>0.88073394495412838</v>
      </c>
      <c r="Q39" s="144"/>
      <c r="R39" s="144"/>
      <c r="S39" s="145"/>
      <c r="T39" s="143">
        <f t="shared" ref="T39" si="77">IFERROR(2*T37*T38/(T37+T38),IF(AND(T37=0,T38=0),0,""))</f>
        <v>1</v>
      </c>
      <c r="U39" s="144"/>
      <c r="V39" s="144"/>
      <c r="W39" s="145"/>
      <c r="X39" s="143">
        <f t="shared" ref="X39" si="78">IFERROR(2*X37*X38/(X37+X38),IF(AND(X37=0,X38=0),0,""))</f>
        <v>1</v>
      </c>
      <c r="Y39" s="144"/>
      <c r="Z39" s="144"/>
      <c r="AA39" s="145"/>
      <c r="AB39" s="143">
        <f t="shared" ref="AB39" si="79">IFERROR(2*AB37*AB38/(AB37+AB38),IF(AND(AB37=0,AB38=0),0,""))</f>
        <v>0.78947368421052622</v>
      </c>
      <c r="AC39" s="144"/>
      <c r="AD39" s="144"/>
      <c r="AE39" s="145"/>
      <c r="AF39" s="143">
        <f t="shared" ref="AF39" si="80">IFERROR(2*AF37*AF38/(AF37+AF38),IF(AND(AF37=0,AF38=0),0,""))</f>
        <v>1</v>
      </c>
      <c r="AG39" s="144"/>
      <c r="AH39" s="144"/>
      <c r="AI39" s="145"/>
      <c r="AJ39" s="143">
        <f t="shared" ref="AJ39" si="81">IFERROR(2*AJ37*AJ38/(AJ37+AJ38),IF(AND(AJ37=0,AJ38=0),0,""))</f>
        <v>0.94117647058823528</v>
      </c>
      <c r="AK39" s="144"/>
      <c r="AL39" s="144"/>
      <c r="AM39" s="145"/>
      <c r="AN39" s="143">
        <f t="shared" ref="AN39" si="82">IFERROR(2*AN37*AN38/(AN37+AN38),IF(AND(AN37=0,AN38=0),0,""))</f>
        <v>0</v>
      </c>
      <c r="AO39" s="144"/>
      <c r="AP39" s="144"/>
      <c r="AQ39" s="145"/>
      <c r="AR39" s="143">
        <f t="shared" ref="AR39" si="83">IFERROR(2*AR37*AR38/(AR37+AR38),IF(AND(AR37=0,AR38=0),0,""))</f>
        <v>0.39999999999999997</v>
      </c>
      <c r="AS39" s="144"/>
      <c r="AT39" s="144"/>
      <c r="AU39" s="145"/>
      <c r="AV39" s="143">
        <f t="shared" ref="AV39" si="84">IFERROR(2*AV37*AV38/(AV37+AV38),IF(AND(AV37=0,AV38=0),0,""))</f>
        <v>0.375</v>
      </c>
      <c r="AW39" s="144"/>
      <c r="AX39" s="144"/>
      <c r="AY39" s="145"/>
      <c r="AZ39" s="143">
        <f t="shared" ref="AZ39" si="85">IFERROR(2*AZ37*AZ38/(AZ37+AZ38),IF(AND(AZ37=0,AZ38=0),0,""))</f>
        <v>0.64935064935064946</v>
      </c>
      <c r="BA39" s="144"/>
      <c r="BB39" s="144"/>
      <c r="BC39" s="145"/>
      <c r="BD39" s="143">
        <f t="shared" ref="BD39" si="86">IFERROR(2*BD37*BD38/(BD37+BD38),IF(AND(BD37=0,BD38=0),0,""))</f>
        <v>0.4</v>
      </c>
      <c r="BE39" s="144"/>
      <c r="BF39" s="144"/>
      <c r="BG39" s="145"/>
      <c r="BH39" s="143">
        <f t="shared" ref="BH39" si="87">IFERROR(2*BH37*BH38/(BH37+BH38),IF(AND(BH37=0,BH38=0),0,""))</f>
        <v>1</v>
      </c>
      <c r="BI39" s="144"/>
      <c r="BJ39" s="144"/>
      <c r="BK39" s="145"/>
      <c r="BL39" s="143" t="str">
        <f t="shared" ref="BL39" si="88">IFERROR(2*BL37*BL38/(BL37+BL38),IF(AND(BL37=0,BL38=0),0,""))</f>
        <v/>
      </c>
      <c r="BM39" s="144"/>
      <c r="BN39" s="144"/>
      <c r="BO39" s="145"/>
      <c r="BP39" s="143">
        <f t="shared" ref="BP39" si="89">IFERROR(2*BP37*BP38/(BP37+BP38),IF(AND(BP37=0,BP38=0),0,""))</f>
        <v>0.66666666666666663</v>
      </c>
      <c r="BQ39" s="144"/>
      <c r="BR39" s="144"/>
      <c r="BS39" s="145"/>
    </row>
  </sheetData>
  <mergeCells count="82">
    <mergeCell ref="A1:A2"/>
    <mergeCell ref="B1:B2"/>
    <mergeCell ref="C1:C2"/>
    <mergeCell ref="D1:G1"/>
    <mergeCell ref="H1:K1"/>
    <mergeCell ref="BX1:BX2"/>
    <mergeCell ref="AZ1:BC1"/>
    <mergeCell ref="BD1:BG1"/>
    <mergeCell ref="BH1:BK1"/>
    <mergeCell ref="BL1:BO1"/>
    <mergeCell ref="BP1:BS1"/>
    <mergeCell ref="B3:B34"/>
    <mergeCell ref="BT1:BT2"/>
    <mergeCell ref="BU1:BU2"/>
    <mergeCell ref="BV1:BV2"/>
    <mergeCell ref="BW1:BW2"/>
    <mergeCell ref="AF1:AI1"/>
    <mergeCell ref="AJ1:AM1"/>
    <mergeCell ref="AN1:AQ1"/>
    <mergeCell ref="AR1:AU1"/>
    <mergeCell ref="AV1:AY1"/>
    <mergeCell ref="L1:O1"/>
    <mergeCell ref="P1:S1"/>
    <mergeCell ref="T1:W1"/>
    <mergeCell ref="X1:AA1"/>
    <mergeCell ref="AB1:AE1"/>
    <mergeCell ref="CC1:CC2"/>
    <mergeCell ref="CD1:CD2"/>
    <mergeCell ref="CE1:CE2"/>
    <mergeCell ref="CF1:CF2"/>
    <mergeCell ref="BY1:BY2"/>
    <mergeCell ref="D37:G37"/>
    <mergeCell ref="H37:K37"/>
    <mergeCell ref="L37:O37"/>
    <mergeCell ref="P37:S37"/>
    <mergeCell ref="T37:W37"/>
    <mergeCell ref="X37:AA37"/>
    <mergeCell ref="AB37:AE37"/>
    <mergeCell ref="AF37:AI37"/>
    <mergeCell ref="AJ37:AM37"/>
    <mergeCell ref="AN37:AQ37"/>
    <mergeCell ref="X38:AA38"/>
    <mergeCell ref="AB38:AE38"/>
    <mergeCell ref="AF38:AI38"/>
    <mergeCell ref="AJ38:AM38"/>
    <mergeCell ref="AN38:AQ38"/>
    <mergeCell ref="D38:G38"/>
    <mergeCell ref="H38:K38"/>
    <mergeCell ref="L38:O38"/>
    <mergeCell ref="P38:S38"/>
    <mergeCell ref="T38:W38"/>
    <mergeCell ref="AR39:AU39"/>
    <mergeCell ref="AV39:AY39"/>
    <mergeCell ref="AZ39:BC39"/>
    <mergeCell ref="BL37:BO37"/>
    <mergeCell ref="BP37:BS37"/>
    <mergeCell ref="AR38:AU38"/>
    <mergeCell ref="AV38:AY38"/>
    <mergeCell ref="AZ38:BC38"/>
    <mergeCell ref="BD38:BG38"/>
    <mergeCell ref="AR37:AU37"/>
    <mergeCell ref="AV37:AY37"/>
    <mergeCell ref="AZ37:BC37"/>
    <mergeCell ref="BD37:BG37"/>
    <mergeCell ref="BH37:BK37"/>
    <mergeCell ref="BD39:BG39"/>
    <mergeCell ref="BH39:BK39"/>
    <mergeCell ref="X39:AA39"/>
    <mergeCell ref="AB39:AE39"/>
    <mergeCell ref="AF39:AI39"/>
    <mergeCell ref="AJ39:AM39"/>
    <mergeCell ref="AN39:AQ39"/>
    <mergeCell ref="D39:G39"/>
    <mergeCell ref="H39:K39"/>
    <mergeCell ref="L39:O39"/>
    <mergeCell ref="P39:S39"/>
    <mergeCell ref="T39:W39"/>
    <mergeCell ref="BL39:BO39"/>
    <mergeCell ref="BP39:BS39"/>
    <mergeCell ref="BH38:BK38"/>
    <mergeCell ref="BL38:BO38"/>
    <mergeCell ref="BP38:BS38"/>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8BD10-C0FB-4CA1-9C58-DF8A90A9D4BE}">
  <dimension ref="A1:CF39"/>
  <sheetViews>
    <sheetView topLeftCell="BD1" zoomScale="75" zoomScaleNormal="75" workbookViewId="0">
      <pane ySplit="2" topLeftCell="A3" activePane="bottomLeft" state="frozen"/>
      <selection activeCell="E37" sqref="E37:BT39"/>
      <selection pane="bottomLeft" activeCell="BX1" sqref="BX1:BX2"/>
    </sheetView>
  </sheetViews>
  <sheetFormatPr defaultRowHeight="14.5" x14ac:dyDescent="0.35"/>
  <cols>
    <col min="1" max="1" width="11.1796875" customWidth="1"/>
    <col min="2" max="2" width="35.26953125" customWidth="1"/>
    <col min="3" max="3" width="12.90625" bestFit="1" customWidth="1"/>
    <col min="4" max="4" width="7.7265625" customWidth="1"/>
    <col min="5" max="5" width="7.6328125" customWidth="1"/>
    <col min="6" max="6" width="7.26953125" customWidth="1"/>
    <col min="7" max="7" width="7.36328125" customWidth="1"/>
    <col min="8" max="8" width="6.54296875" customWidth="1"/>
    <col min="9" max="9" width="7.7265625" customWidth="1"/>
    <col min="10" max="10" width="7" customWidth="1"/>
    <col min="11" max="11" width="7.453125" customWidth="1"/>
    <col min="12" max="12" width="7.26953125" customWidth="1"/>
    <col min="13" max="13" width="7.36328125" customWidth="1"/>
    <col min="14" max="14" width="7.6328125" customWidth="1"/>
    <col min="15" max="15" width="7.81640625" customWidth="1"/>
    <col min="16" max="16" width="6" customWidth="1"/>
    <col min="17" max="17" width="5.81640625" customWidth="1"/>
    <col min="18" max="18" width="6.26953125" customWidth="1"/>
    <col min="19" max="19" width="6.6328125" customWidth="1"/>
    <col min="20" max="20" width="7.36328125" customWidth="1"/>
    <col min="21" max="21" width="6.453125" customWidth="1"/>
    <col min="22" max="22" width="6.26953125" customWidth="1"/>
    <col min="23" max="23" width="6.6328125" customWidth="1"/>
    <col min="24" max="24" width="5.81640625" customWidth="1"/>
    <col min="25" max="25" width="6.7265625" customWidth="1"/>
    <col min="26" max="26" width="6.08984375" customWidth="1"/>
    <col min="27" max="27" width="6.7265625" customWidth="1"/>
    <col min="28" max="28" width="6.26953125" customWidth="1"/>
    <col min="29" max="29" width="6.54296875" customWidth="1"/>
    <col min="30" max="30" width="6.90625" customWidth="1"/>
    <col min="31" max="31" width="7.6328125" customWidth="1"/>
    <col min="32" max="32" width="7.1796875" customWidth="1"/>
    <col min="33" max="33" width="8.54296875" customWidth="1"/>
    <col min="34" max="34" width="8.6328125" customWidth="1"/>
    <col min="35" max="35" width="7.08984375" customWidth="1"/>
    <col min="36" max="36" width="6.54296875" customWidth="1"/>
    <col min="37" max="37" width="7.08984375" customWidth="1"/>
    <col min="38" max="38" width="6.7265625" customWidth="1"/>
    <col min="39" max="39" width="7.36328125" customWidth="1"/>
    <col min="40" max="40" width="6.6328125" customWidth="1"/>
    <col min="41" max="41" width="6.81640625" customWidth="1"/>
    <col min="42" max="42" width="6.7265625" customWidth="1"/>
    <col min="43" max="43" width="6.90625" customWidth="1"/>
    <col min="44" max="44" width="6.7265625" customWidth="1"/>
    <col min="45" max="45" width="6.81640625" customWidth="1"/>
    <col min="46" max="46" width="7" customWidth="1"/>
    <col min="47" max="47" width="7.1796875" customWidth="1"/>
    <col min="48" max="48" width="9" customWidth="1"/>
    <col min="49" max="49" width="9.36328125" customWidth="1"/>
    <col min="50" max="50" width="8.6328125" customWidth="1"/>
    <col min="51" max="51" width="9.6328125" customWidth="1"/>
    <col min="52" max="52" width="7.26953125" customWidth="1"/>
    <col min="53" max="53" width="7.36328125" customWidth="1"/>
    <col min="54" max="54" width="8" customWidth="1"/>
    <col min="55" max="55" width="7.81640625" customWidth="1"/>
    <col min="56" max="56" width="6.26953125" customWidth="1"/>
    <col min="57" max="57" width="7.90625" customWidth="1"/>
    <col min="58" max="58" width="7.1796875" customWidth="1"/>
    <col min="59" max="59" width="7.453125" customWidth="1"/>
    <col min="60" max="60" width="7.36328125" customWidth="1"/>
    <col min="61" max="61" width="6.90625" customWidth="1"/>
    <col min="62" max="62" width="7.36328125" customWidth="1"/>
    <col min="63" max="63" width="7.90625" customWidth="1"/>
    <col min="64" max="64" width="6.6328125" customWidth="1"/>
    <col min="65" max="65" width="7.1796875" customWidth="1"/>
    <col min="66" max="66" width="6.54296875" customWidth="1"/>
    <col min="67" max="67" width="7.7265625" customWidth="1"/>
    <col min="68" max="68" width="6.54296875" customWidth="1"/>
    <col min="69" max="69" width="7.26953125" customWidth="1"/>
    <col min="70" max="70" width="6.90625" customWidth="1"/>
    <col min="71" max="71" width="5.453125" customWidth="1"/>
    <col min="72" max="72" width="9" customWidth="1"/>
    <col min="76" max="76" width="12.453125" bestFit="1" customWidth="1"/>
    <col min="81" max="81" width="12.90625" bestFit="1" customWidth="1"/>
    <col min="83" max="83" width="12.453125" bestFit="1" customWidth="1"/>
  </cols>
  <sheetData>
    <row r="1" spans="1:84" ht="15.5" thickTop="1" thickBot="1" x14ac:dyDescent="0.4">
      <c r="A1" s="153" t="s">
        <v>0</v>
      </c>
      <c r="B1" s="161" t="s">
        <v>1</v>
      </c>
      <c r="C1" s="151" t="s">
        <v>2</v>
      </c>
      <c r="D1" s="164" t="s">
        <v>3</v>
      </c>
      <c r="E1" s="165"/>
      <c r="F1" s="165"/>
      <c r="G1" s="166"/>
      <c r="H1" s="158" t="s">
        <v>95</v>
      </c>
      <c r="I1" s="158"/>
      <c r="J1" s="158"/>
      <c r="K1" s="159"/>
      <c r="L1" s="153" t="s">
        <v>96</v>
      </c>
      <c r="M1" s="149"/>
      <c r="N1" s="149"/>
      <c r="O1" s="151"/>
      <c r="P1" s="153" t="s">
        <v>97</v>
      </c>
      <c r="Q1" s="149"/>
      <c r="R1" s="149"/>
      <c r="S1" s="151"/>
      <c r="T1" s="153" t="s">
        <v>98</v>
      </c>
      <c r="U1" s="149"/>
      <c r="V1" s="149"/>
      <c r="W1" s="151"/>
      <c r="X1" s="153" t="s">
        <v>99</v>
      </c>
      <c r="Y1" s="149"/>
      <c r="Z1" s="149"/>
      <c r="AA1" s="151"/>
      <c r="AB1" s="153" t="s">
        <v>100</v>
      </c>
      <c r="AC1" s="149"/>
      <c r="AD1" s="149"/>
      <c r="AE1" s="151"/>
      <c r="AF1" s="153" t="s">
        <v>101</v>
      </c>
      <c r="AG1" s="149"/>
      <c r="AH1" s="149"/>
      <c r="AI1" s="151"/>
      <c r="AJ1" s="153" t="s">
        <v>102</v>
      </c>
      <c r="AK1" s="149"/>
      <c r="AL1" s="149"/>
      <c r="AM1" s="151"/>
      <c r="AN1" s="153" t="s">
        <v>103</v>
      </c>
      <c r="AO1" s="149"/>
      <c r="AP1" s="149"/>
      <c r="AQ1" s="151"/>
      <c r="AR1" s="153" t="s">
        <v>104</v>
      </c>
      <c r="AS1" s="149"/>
      <c r="AT1" s="149"/>
      <c r="AU1" s="151"/>
      <c r="AV1" s="153" t="s">
        <v>105</v>
      </c>
      <c r="AW1" s="149"/>
      <c r="AX1" s="149"/>
      <c r="AY1" s="156"/>
      <c r="AZ1" s="157" t="s">
        <v>106</v>
      </c>
      <c r="BA1" s="158"/>
      <c r="BB1" s="158"/>
      <c r="BC1" s="159"/>
      <c r="BD1" s="153" t="s">
        <v>107</v>
      </c>
      <c r="BE1" s="149"/>
      <c r="BF1" s="149"/>
      <c r="BG1" s="151"/>
      <c r="BH1" s="153" t="s">
        <v>108</v>
      </c>
      <c r="BI1" s="149"/>
      <c r="BJ1" s="149"/>
      <c r="BK1" s="151"/>
      <c r="BL1" s="153" t="s">
        <v>109</v>
      </c>
      <c r="BM1" s="149"/>
      <c r="BN1" s="149"/>
      <c r="BO1" s="151"/>
      <c r="BP1" s="153" t="s">
        <v>110</v>
      </c>
      <c r="BQ1" s="149"/>
      <c r="BR1" s="149"/>
      <c r="BS1" s="151"/>
      <c r="BT1" s="154" t="s">
        <v>20</v>
      </c>
      <c r="BU1" s="149" t="s">
        <v>21</v>
      </c>
      <c r="BV1" s="149" t="s">
        <v>22</v>
      </c>
      <c r="BW1" s="149" t="s">
        <v>23</v>
      </c>
      <c r="BX1" s="149" t="s">
        <v>141</v>
      </c>
      <c r="BY1" s="151" t="s">
        <v>24</v>
      </c>
      <c r="CC1" s="146" t="s">
        <v>2</v>
      </c>
      <c r="CD1" s="146" t="str">
        <f>BW1</f>
        <v>Recall</v>
      </c>
      <c r="CE1" s="146" t="str">
        <f>BX1</f>
        <v>Precision</v>
      </c>
      <c r="CF1" s="146" t="str">
        <f>BY1</f>
        <v>F1</v>
      </c>
    </row>
    <row r="2" spans="1:84" ht="15.5" thickTop="1" thickBot="1" x14ac:dyDescent="0.4">
      <c r="A2" s="160"/>
      <c r="B2" s="162"/>
      <c r="C2" s="163"/>
      <c r="D2" s="6" t="s">
        <v>25</v>
      </c>
      <c r="E2" s="1" t="s">
        <v>20</v>
      </c>
      <c r="F2" s="1" t="s">
        <v>21</v>
      </c>
      <c r="G2" s="2" t="s">
        <v>22</v>
      </c>
      <c r="H2" s="1" t="s">
        <v>25</v>
      </c>
      <c r="I2" s="4" t="s">
        <v>20</v>
      </c>
      <c r="J2" s="4" t="s">
        <v>21</v>
      </c>
      <c r="K2" s="2" t="s">
        <v>22</v>
      </c>
      <c r="L2" s="1" t="s">
        <v>25</v>
      </c>
      <c r="M2" s="4" t="s">
        <v>20</v>
      </c>
      <c r="N2" s="4" t="s">
        <v>21</v>
      </c>
      <c r="O2" s="2" t="s">
        <v>22</v>
      </c>
      <c r="P2" s="1" t="s">
        <v>25</v>
      </c>
      <c r="Q2" s="4" t="s">
        <v>20</v>
      </c>
      <c r="R2" s="4" t="s">
        <v>21</v>
      </c>
      <c r="S2" s="2" t="s">
        <v>22</v>
      </c>
      <c r="T2" s="1" t="s">
        <v>25</v>
      </c>
      <c r="U2" s="4" t="s">
        <v>20</v>
      </c>
      <c r="V2" s="4" t="s">
        <v>21</v>
      </c>
      <c r="W2" s="2" t="s">
        <v>22</v>
      </c>
      <c r="X2" s="1" t="s">
        <v>25</v>
      </c>
      <c r="Y2" s="4" t="s">
        <v>20</v>
      </c>
      <c r="Z2" s="4" t="s">
        <v>21</v>
      </c>
      <c r="AA2" s="2" t="s">
        <v>22</v>
      </c>
      <c r="AB2" s="1" t="s">
        <v>25</v>
      </c>
      <c r="AC2" s="4" t="s">
        <v>20</v>
      </c>
      <c r="AD2" s="4" t="s">
        <v>21</v>
      </c>
      <c r="AE2" s="2" t="s">
        <v>22</v>
      </c>
      <c r="AF2" s="1" t="s">
        <v>25</v>
      </c>
      <c r="AG2" s="4" t="s">
        <v>20</v>
      </c>
      <c r="AH2" s="4" t="s">
        <v>21</v>
      </c>
      <c r="AI2" s="2" t="s">
        <v>22</v>
      </c>
      <c r="AJ2" s="1" t="s">
        <v>25</v>
      </c>
      <c r="AK2" s="4" t="s">
        <v>20</v>
      </c>
      <c r="AL2" s="4" t="s">
        <v>21</v>
      </c>
      <c r="AM2" s="2" t="s">
        <v>22</v>
      </c>
      <c r="AN2" s="1" t="s">
        <v>25</v>
      </c>
      <c r="AO2" s="4" t="s">
        <v>20</v>
      </c>
      <c r="AP2" s="4" t="s">
        <v>21</v>
      </c>
      <c r="AQ2" s="2" t="s">
        <v>22</v>
      </c>
      <c r="AR2" s="1" t="s">
        <v>25</v>
      </c>
      <c r="AS2" s="4" t="s">
        <v>20</v>
      </c>
      <c r="AT2" s="4" t="s">
        <v>21</v>
      </c>
      <c r="AU2" s="2" t="s">
        <v>22</v>
      </c>
      <c r="AV2" s="1" t="s">
        <v>25</v>
      </c>
      <c r="AW2" s="4" t="s">
        <v>20</v>
      </c>
      <c r="AX2" s="4" t="s">
        <v>21</v>
      </c>
      <c r="AY2" s="122" t="s">
        <v>22</v>
      </c>
      <c r="AZ2" s="121" t="s">
        <v>25</v>
      </c>
      <c r="BA2" s="3" t="s">
        <v>20</v>
      </c>
      <c r="BB2" s="3" t="s">
        <v>21</v>
      </c>
      <c r="BC2" s="122" t="s">
        <v>22</v>
      </c>
      <c r="BD2" s="6" t="s">
        <v>25</v>
      </c>
      <c r="BE2" s="4" t="s">
        <v>20</v>
      </c>
      <c r="BF2" s="4" t="s">
        <v>21</v>
      </c>
      <c r="BG2" s="2" t="s">
        <v>22</v>
      </c>
      <c r="BH2" s="1" t="s">
        <v>25</v>
      </c>
      <c r="BI2" s="4" t="s">
        <v>20</v>
      </c>
      <c r="BJ2" s="4" t="s">
        <v>21</v>
      </c>
      <c r="BK2" s="2" t="s">
        <v>22</v>
      </c>
      <c r="BL2" s="1" t="s">
        <v>25</v>
      </c>
      <c r="BM2" s="4" t="s">
        <v>20</v>
      </c>
      <c r="BN2" s="4" t="s">
        <v>21</v>
      </c>
      <c r="BO2" s="2" t="s">
        <v>22</v>
      </c>
      <c r="BP2" s="1" t="s">
        <v>25</v>
      </c>
      <c r="BQ2" s="4" t="s">
        <v>20</v>
      </c>
      <c r="BR2" s="4" t="s">
        <v>21</v>
      </c>
      <c r="BS2" s="2" t="s">
        <v>22</v>
      </c>
      <c r="BT2" s="155"/>
      <c r="BU2" s="150"/>
      <c r="BV2" s="150"/>
      <c r="BW2" s="150"/>
      <c r="BX2" s="150"/>
      <c r="BY2" s="152"/>
      <c r="CC2" s="146"/>
      <c r="CD2" s="146"/>
      <c r="CE2" s="146"/>
      <c r="CF2" s="146"/>
    </row>
    <row r="3" spans="1:84" ht="15" customHeight="1" thickTop="1" x14ac:dyDescent="0.35">
      <c r="A3" s="49" t="s">
        <v>48</v>
      </c>
      <c r="B3" s="147" t="s">
        <v>47</v>
      </c>
      <c r="C3" s="7" t="s">
        <v>26</v>
      </c>
      <c r="D3" s="8">
        <v>3</v>
      </c>
      <c r="E3" s="9">
        <v>3</v>
      </c>
      <c r="F3" s="9">
        <f>D3-E3</f>
        <v>0</v>
      </c>
      <c r="G3" s="7">
        <v>0</v>
      </c>
      <c r="H3" s="10">
        <v>3</v>
      </c>
      <c r="I3" s="9">
        <v>0</v>
      </c>
      <c r="J3" s="9">
        <f>H3-I3</f>
        <v>3</v>
      </c>
      <c r="K3" s="7">
        <v>0</v>
      </c>
      <c r="L3" s="10">
        <v>6</v>
      </c>
      <c r="M3" s="9">
        <v>0</v>
      </c>
      <c r="N3" s="9">
        <f>L3-M3</f>
        <v>6</v>
      </c>
      <c r="O3" s="7">
        <v>0</v>
      </c>
      <c r="P3" s="10">
        <v>4</v>
      </c>
      <c r="Q3" s="9">
        <v>4</v>
      </c>
      <c r="R3" s="9">
        <f>P3-Q3</f>
        <v>0</v>
      </c>
      <c r="S3" s="7">
        <v>0</v>
      </c>
      <c r="T3" s="10">
        <v>4</v>
      </c>
      <c r="U3" s="9">
        <v>4</v>
      </c>
      <c r="V3" s="9">
        <f>T3-U3</f>
        <v>0</v>
      </c>
      <c r="W3" s="7">
        <v>0</v>
      </c>
      <c r="X3" s="10">
        <v>3</v>
      </c>
      <c r="Y3" s="9">
        <v>3</v>
      </c>
      <c r="Z3" s="9">
        <f>X3-Y3</f>
        <v>0</v>
      </c>
      <c r="AA3" s="7">
        <v>0</v>
      </c>
      <c r="AB3" s="10">
        <v>0</v>
      </c>
      <c r="AC3" s="9">
        <v>0</v>
      </c>
      <c r="AD3" s="9">
        <f>AB3-AC3</f>
        <v>0</v>
      </c>
      <c r="AE3" s="7">
        <v>0</v>
      </c>
      <c r="AF3" s="10">
        <v>3</v>
      </c>
      <c r="AG3" s="9">
        <v>3</v>
      </c>
      <c r="AH3" s="9">
        <f>AF3-AG3</f>
        <v>0</v>
      </c>
      <c r="AI3" s="7">
        <v>0</v>
      </c>
      <c r="AJ3" s="10">
        <v>2</v>
      </c>
      <c r="AK3" s="9">
        <v>2</v>
      </c>
      <c r="AL3" s="9">
        <f>AJ3-AK3</f>
        <v>0</v>
      </c>
      <c r="AM3" s="7">
        <v>0</v>
      </c>
      <c r="AN3" s="10">
        <v>0</v>
      </c>
      <c r="AO3" s="9">
        <v>0</v>
      </c>
      <c r="AP3" s="9">
        <f>AN3-AO3</f>
        <v>0</v>
      </c>
      <c r="AQ3" s="7">
        <v>0</v>
      </c>
      <c r="AR3" s="10">
        <v>0</v>
      </c>
      <c r="AS3" s="9">
        <v>0</v>
      </c>
      <c r="AT3" s="9">
        <f>AR3-AS3</f>
        <v>0</v>
      </c>
      <c r="AU3" s="7">
        <v>0</v>
      </c>
      <c r="AV3" s="10">
        <v>0</v>
      </c>
      <c r="AW3" s="9">
        <v>0</v>
      </c>
      <c r="AX3" s="9">
        <f>AV3-AW3</f>
        <v>0</v>
      </c>
      <c r="AY3" s="7">
        <v>0</v>
      </c>
      <c r="AZ3" s="8">
        <v>2</v>
      </c>
      <c r="BA3" s="124">
        <v>2</v>
      </c>
      <c r="BB3" s="124">
        <f>AZ3-BA3</f>
        <v>0</v>
      </c>
      <c r="BC3" s="123">
        <v>0</v>
      </c>
      <c r="BD3" s="8">
        <v>0</v>
      </c>
      <c r="BE3" s="9">
        <v>0</v>
      </c>
      <c r="BF3" s="9">
        <f>BD3-BE3</f>
        <v>0</v>
      </c>
      <c r="BG3" s="7">
        <v>0</v>
      </c>
      <c r="BH3" s="10">
        <v>0</v>
      </c>
      <c r="BI3" s="9">
        <v>0</v>
      </c>
      <c r="BJ3" s="9">
        <f>BH3-BI3</f>
        <v>0</v>
      </c>
      <c r="BK3" s="7">
        <v>0</v>
      </c>
      <c r="BL3" s="10">
        <v>0</v>
      </c>
      <c r="BM3" s="9">
        <v>0</v>
      </c>
      <c r="BN3" s="9">
        <f>BL3-BM3</f>
        <v>0</v>
      </c>
      <c r="BO3" s="7">
        <v>0</v>
      </c>
      <c r="BP3" s="10">
        <v>0</v>
      </c>
      <c r="BQ3" s="9">
        <v>0</v>
      </c>
      <c r="BR3" s="9">
        <f>BP3-BQ3</f>
        <v>0</v>
      </c>
      <c r="BS3" s="7">
        <v>0</v>
      </c>
      <c r="BT3" s="10">
        <f>SUM(E3,I3,M3,Q3,U3,Y3,AC3,AG3,AK3,AO3,AS3,AW3,BE3,BI3,BM3,BQ3,BA3)</f>
        <v>21</v>
      </c>
      <c r="BU3" s="9">
        <f>SUM(BR3,BN3,BJ3,BF3,AX3,AT3,AP3,AL3,AH3,AD3,Z3,V3,R3,N3,J3,F3,BB3)</f>
        <v>9</v>
      </c>
      <c r="BV3" s="124">
        <f>SUM(BS3,BO3,BK3,BG3,AY3,AU3,AQ3,AM3,AI3,AE3,AA3,W3,S3,O3,K3,G3, BC3)</f>
        <v>0</v>
      </c>
      <c r="BW3" s="9">
        <f>BT3/(BT3+BU3)</f>
        <v>0.7</v>
      </c>
      <c r="BX3" s="9">
        <f>BT3/(BT3+BV3)</f>
        <v>1</v>
      </c>
      <c r="BY3" s="7">
        <f>2*(BX3*BW3)/(BX3+BW3)</f>
        <v>0.82352941176470584</v>
      </c>
      <c r="CC3" s="133" t="s">
        <v>75</v>
      </c>
      <c r="CD3">
        <f>AVERAGE(BW3:BW4)</f>
        <v>0.7</v>
      </c>
      <c r="CE3">
        <f t="shared" ref="CE3:CF3" si="0">AVERAGE(BX3:BX4)</f>
        <v>1</v>
      </c>
      <c r="CF3">
        <f t="shared" si="0"/>
        <v>0.82352941176470584</v>
      </c>
    </row>
    <row r="4" spans="1:84" x14ac:dyDescent="0.35">
      <c r="A4" s="49" t="s">
        <v>48</v>
      </c>
      <c r="B4" s="148"/>
      <c r="C4" s="123" t="s">
        <v>60</v>
      </c>
      <c r="D4" s="8">
        <v>3</v>
      </c>
      <c r="E4" s="124">
        <v>3</v>
      </c>
      <c r="F4" s="124">
        <f t="shared" ref="F4:F34" si="1">D4-E4</f>
        <v>0</v>
      </c>
      <c r="G4" s="123">
        <v>0</v>
      </c>
      <c r="H4" s="8">
        <v>3</v>
      </c>
      <c r="I4" s="124">
        <v>0</v>
      </c>
      <c r="J4" s="124">
        <f t="shared" ref="J4:J34" si="2">H4-I4</f>
        <v>3</v>
      </c>
      <c r="K4" s="123">
        <v>0</v>
      </c>
      <c r="L4" s="8">
        <v>6</v>
      </c>
      <c r="M4" s="124">
        <v>0</v>
      </c>
      <c r="N4" s="124">
        <f t="shared" ref="N4:N34" si="3">L4-M4</f>
        <v>6</v>
      </c>
      <c r="O4" s="123">
        <v>0</v>
      </c>
      <c r="P4" s="8">
        <v>4</v>
      </c>
      <c r="Q4" s="124">
        <v>4</v>
      </c>
      <c r="R4" s="124">
        <f t="shared" ref="R4:R34" si="4">P4-Q4</f>
        <v>0</v>
      </c>
      <c r="S4" s="123">
        <v>0</v>
      </c>
      <c r="T4" s="8">
        <v>4</v>
      </c>
      <c r="U4" s="124">
        <v>4</v>
      </c>
      <c r="V4" s="124">
        <f t="shared" ref="V4:V34" si="5">T4-U4</f>
        <v>0</v>
      </c>
      <c r="W4" s="123">
        <v>0</v>
      </c>
      <c r="X4" s="8">
        <v>3</v>
      </c>
      <c r="Y4" s="124">
        <v>3</v>
      </c>
      <c r="Z4" s="124">
        <f t="shared" ref="Z4:Z34" si="6">X4-Y4</f>
        <v>0</v>
      </c>
      <c r="AA4" s="123">
        <v>0</v>
      </c>
      <c r="AB4" s="8">
        <v>0</v>
      </c>
      <c r="AC4" s="124">
        <v>0</v>
      </c>
      <c r="AD4" s="124">
        <f t="shared" ref="AD4:AD29" si="7">AB4-AC4</f>
        <v>0</v>
      </c>
      <c r="AE4" s="123">
        <v>0</v>
      </c>
      <c r="AF4" s="8">
        <v>3</v>
      </c>
      <c r="AG4" s="124">
        <v>3</v>
      </c>
      <c r="AH4" s="124">
        <f t="shared" ref="AH4:AH34" si="8">AF4-AG4</f>
        <v>0</v>
      </c>
      <c r="AI4" s="123">
        <v>0</v>
      </c>
      <c r="AJ4" s="8">
        <v>2</v>
      </c>
      <c r="AK4" s="124">
        <v>2</v>
      </c>
      <c r="AL4" s="124">
        <f t="shared" ref="AL4:AL34" si="9">AJ4-AK4</f>
        <v>0</v>
      </c>
      <c r="AM4" s="123">
        <v>0</v>
      </c>
      <c r="AN4" s="8">
        <v>0</v>
      </c>
      <c r="AO4" s="124">
        <v>0</v>
      </c>
      <c r="AP4" s="124">
        <f t="shared" ref="AP4:AP34" si="10">AN4-AO4</f>
        <v>0</v>
      </c>
      <c r="AQ4" s="123">
        <v>0</v>
      </c>
      <c r="AR4" s="8">
        <v>0</v>
      </c>
      <c r="AS4" s="124">
        <v>0</v>
      </c>
      <c r="AT4" s="124">
        <f t="shared" ref="AT4:AT34" si="11">AR4-AS4</f>
        <v>0</v>
      </c>
      <c r="AU4" s="123">
        <v>0</v>
      </c>
      <c r="AV4" s="8">
        <v>0</v>
      </c>
      <c r="AW4" s="124">
        <v>0</v>
      </c>
      <c r="AX4" s="124">
        <f t="shared" ref="AX4:AX34" si="12">AV4-AW4</f>
        <v>0</v>
      </c>
      <c r="AY4" s="123">
        <v>0</v>
      </c>
      <c r="AZ4" s="8">
        <v>2</v>
      </c>
      <c r="BA4" s="124">
        <v>2</v>
      </c>
      <c r="BB4" s="124">
        <f t="shared" ref="BB4:BB34" si="13">AZ4-BA4</f>
        <v>0</v>
      </c>
      <c r="BC4" s="123">
        <v>0</v>
      </c>
      <c r="BD4" s="8">
        <v>0</v>
      </c>
      <c r="BE4" s="124">
        <v>0</v>
      </c>
      <c r="BF4" s="124">
        <f t="shared" ref="BF4:BF34" si="14">BD4-BE4</f>
        <v>0</v>
      </c>
      <c r="BG4" s="123">
        <v>0</v>
      </c>
      <c r="BH4" s="8">
        <v>0</v>
      </c>
      <c r="BI4" s="124">
        <v>0</v>
      </c>
      <c r="BJ4" s="124">
        <f t="shared" ref="BJ4:BJ34" si="15">BH4-BI4</f>
        <v>0</v>
      </c>
      <c r="BK4" s="123">
        <v>0</v>
      </c>
      <c r="BL4" s="8">
        <v>0</v>
      </c>
      <c r="BM4" s="124">
        <v>0</v>
      </c>
      <c r="BN4" s="124">
        <f t="shared" ref="BN4:BN34" si="16">BL4-BM4</f>
        <v>0</v>
      </c>
      <c r="BO4" s="123">
        <v>0</v>
      </c>
      <c r="BP4" s="8">
        <v>0</v>
      </c>
      <c r="BQ4" s="124">
        <v>0</v>
      </c>
      <c r="BR4" s="124">
        <f t="shared" ref="BR4:BR34" si="17">BP4-BQ4</f>
        <v>0</v>
      </c>
      <c r="BS4" s="123">
        <v>0</v>
      </c>
      <c r="BT4" s="8">
        <f t="shared" ref="BT4:BT34" si="18">SUM(E4,I4,M4,Q4,U4,Y4,AC4,AG4,AK4,AO4,AS4,AW4,BE4,BI4,BM4,BQ4,BA4)</f>
        <v>21</v>
      </c>
      <c r="BU4" s="124">
        <f t="shared" ref="BU4:BU34" si="19">SUM(BR4,BN4,BJ4,BF4,AX4,AT4,AP4,AL4,AH4,AD4,Z4,V4,R4,N4,J4,F4,BB4)</f>
        <v>9</v>
      </c>
      <c r="BV4" s="124">
        <f t="shared" ref="BV4:BV34" si="20">SUM(BS4,BO4,BK4,BG4,AY4,AU4,AQ4,AM4,AI4,AE4,AA4,W4,S4,O4,K4,G4, BC4)</f>
        <v>0</v>
      </c>
      <c r="BW4" s="124">
        <f t="shared" ref="BW4:BW34" si="21">BT4/(BT4+BU4)</f>
        <v>0.7</v>
      </c>
      <c r="BX4" s="124">
        <f t="shared" ref="BX4:BX34" si="22">BT4/(BT4+BV4)</f>
        <v>1</v>
      </c>
      <c r="BY4" s="123">
        <f t="shared" ref="BY4:BY34" si="23">2*(BX4*BW4)/(BX4+BW4)</f>
        <v>0.82352941176470584</v>
      </c>
      <c r="CC4" s="133" t="s">
        <v>76</v>
      </c>
      <c r="CD4">
        <f>AVERAGE(BW5:BW6)</f>
        <v>0.9</v>
      </c>
      <c r="CE4">
        <f t="shared" ref="CE4:CF4" si="24">AVERAGE(BX5:BX6)</f>
        <v>0.66758241758241765</v>
      </c>
      <c r="CF4">
        <f t="shared" si="24"/>
        <v>0.76630434782608692</v>
      </c>
    </row>
    <row r="5" spans="1:84" x14ac:dyDescent="0.35">
      <c r="A5" s="50" t="s">
        <v>48</v>
      </c>
      <c r="B5" s="148"/>
      <c r="C5" s="11" t="s">
        <v>27</v>
      </c>
      <c r="D5" s="12">
        <v>2</v>
      </c>
      <c r="E5" s="13">
        <v>2</v>
      </c>
      <c r="F5" s="13">
        <f t="shared" si="1"/>
        <v>0</v>
      </c>
      <c r="G5" s="11">
        <v>0</v>
      </c>
      <c r="H5" s="12">
        <v>2</v>
      </c>
      <c r="I5" s="13">
        <v>2</v>
      </c>
      <c r="J5" s="13">
        <f t="shared" si="2"/>
        <v>0</v>
      </c>
      <c r="K5" s="11">
        <v>0</v>
      </c>
      <c r="L5" s="12">
        <v>0</v>
      </c>
      <c r="M5" s="13">
        <v>0</v>
      </c>
      <c r="N5" s="13">
        <f t="shared" si="3"/>
        <v>0</v>
      </c>
      <c r="O5" s="11">
        <v>0</v>
      </c>
      <c r="P5" s="12">
        <v>0</v>
      </c>
      <c r="Q5" s="13">
        <v>0</v>
      </c>
      <c r="R5" s="13">
        <f t="shared" si="4"/>
        <v>0</v>
      </c>
      <c r="S5" s="11">
        <v>1</v>
      </c>
      <c r="T5" s="12">
        <v>0</v>
      </c>
      <c r="U5" s="13">
        <v>0</v>
      </c>
      <c r="V5" s="13">
        <f t="shared" si="5"/>
        <v>0</v>
      </c>
      <c r="W5" s="11">
        <v>0</v>
      </c>
      <c r="X5" s="12">
        <v>2</v>
      </c>
      <c r="Y5" s="13">
        <v>2</v>
      </c>
      <c r="Z5" s="13">
        <f t="shared" si="6"/>
        <v>0</v>
      </c>
      <c r="AA5" s="11">
        <v>0</v>
      </c>
      <c r="AB5" s="12">
        <v>0</v>
      </c>
      <c r="AC5" s="13">
        <v>0</v>
      </c>
      <c r="AD5" s="13">
        <f t="shared" si="7"/>
        <v>0</v>
      </c>
      <c r="AE5" s="11">
        <v>0</v>
      </c>
      <c r="AF5" s="12">
        <v>2</v>
      </c>
      <c r="AG5" s="13">
        <v>2</v>
      </c>
      <c r="AH5" s="13">
        <f t="shared" si="8"/>
        <v>0</v>
      </c>
      <c r="AI5" s="11">
        <v>0</v>
      </c>
      <c r="AJ5" s="12">
        <v>0</v>
      </c>
      <c r="AK5" s="13">
        <v>0</v>
      </c>
      <c r="AL5" s="13">
        <f t="shared" si="9"/>
        <v>0</v>
      </c>
      <c r="AM5" s="11">
        <v>0</v>
      </c>
      <c r="AN5" s="12">
        <v>0</v>
      </c>
      <c r="AO5" s="13">
        <v>0</v>
      </c>
      <c r="AP5" s="13">
        <f t="shared" si="10"/>
        <v>0</v>
      </c>
      <c r="AQ5" s="11">
        <v>0</v>
      </c>
      <c r="AR5" s="12">
        <v>0</v>
      </c>
      <c r="AS5" s="13">
        <v>0</v>
      </c>
      <c r="AT5" s="13">
        <f t="shared" si="11"/>
        <v>0</v>
      </c>
      <c r="AU5" s="11">
        <v>0</v>
      </c>
      <c r="AV5" s="12">
        <v>1</v>
      </c>
      <c r="AW5" s="13">
        <v>0</v>
      </c>
      <c r="AX5" s="13">
        <f t="shared" si="12"/>
        <v>1</v>
      </c>
      <c r="AY5" s="11">
        <v>1</v>
      </c>
      <c r="AZ5" s="12">
        <v>1</v>
      </c>
      <c r="BA5" s="13">
        <v>1</v>
      </c>
      <c r="BB5" s="13">
        <f t="shared" si="13"/>
        <v>0</v>
      </c>
      <c r="BC5" s="11">
        <v>1</v>
      </c>
      <c r="BD5" s="12">
        <v>0</v>
      </c>
      <c r="BE5" s="13">
        <v>0</v>
      </c>
      <c r="BF5" s="13">
        <f t="shared" si="14"/>
        <v>0</v>
      </c>
      <c r="BG5" s="11">
        <v>0</v>
      </c>
      <c r="BH5" s="12">
        <v>0</v>
      </c>
      <c r="BI5" s="13">
        <v>0</v>
      </c>
      <c r="BJ5" s="13">
        <f t="shared" si="15"/>
        <v>0</v>
      </c>
      <c r="BK5" s="11">
        <v>0</v>
      </c>
      <c r="BL5" s="12">
        <v>0</v>
      </c>
      <c r="BM5" s="13">
        <v>0</v>
      </c>
      <c r="BN5" s="13">
        <f t="shared" si="16"/>
        <v>0</v>
      </c>
      <c r="BO5" s="11">
        <v>0</v>
      </c>
      <c r="BP5" s="12">
        <v>0</v>
      </c>
      <c r="BQ5" s="13">
        <v>0</v>
      </c>
      <c r="BR5" s="13">
        <f t="shared" si="17"/>
        <v>0</v>
      </c>
      <c r="BS5" s="11">
        <v>1</v>
      </c>
      <c r="BT5" s="12">
        <f t="shared" si="18"/>
        <v>9</v>
      </c>
      <c r="BU5" s="13">
        <f t="shared" si="19"/>
        <v>1</v>
      </c>
      <c r="BV5" s="13">
        <f t="shared" si="20"/>
        <v>4</v>
      </c>
      <c r="BW5" s="13">
        <f t="shared" si="21"/>
        <v>0.9</v>
      </c>
      <c r="BX5" s="13">
        <f t="shared" si="22"/>
        <v>0.69230769230769229</v>
      </c>
      <c r="BY5" s="11">
        <f t="shared" si="23"/>
        <v>0.78260869565217384</v>
      </c>
      <c r="CC5" s="133" t="s">
        <v>77</v>
      </c>
      <c r="CD5">
        <f>AVERAGE(BW7:BW8)</f>
        <v>0.75</v>
      </c>
      <c r="CE5">
        <f t="shared" ref="CE5:CF5" si="25">AVERAGE(BX7:BX8)</f>
        <v>0.92261904761904767</v>
      </c>
      <c r="CF5">
        <f t="shared" si="25"/>
        <v>0.82619047619047614</v>
      </c>
    </row>
    <row r="6" spans="1:84" x14ac:dyDescent="0.35">
      <c r="A6" s="50" t="s">
        <v>48</v>
      </c>
      <c r="B6" s="148"/>
      <c r="C6" s="11" t="s">
        <v>61</v>
      </c>
      <c r="D6" s="12">
        <v>2</v>
      </c>
      <c r="E6" s="13">
        <v>2</v>
      </c>
      <c r="F6" s="13">
        <f t="shared" si="1"/>
        <v>0</v>
      </c>
      <c r="G6" s="11">
        <v>0</v>
      </c>
      <c r="H6" s="12">
        <v>2</v>
      </c>
      <c r="I6" s="13">
        <v>2</v>
      </c>
      <c r="J6" s="13">
        <f t="shared" si="2"/>
        <v>0</v>
      </c>
      <c r="K6" s="11">
        <v>0</v>
      </c>
      <c r="L6" s="12">
        <v>0</v>
      </c>
      <c r="M6" s="13">
        <v>0</v>
      </c>
      <c r="N6" s="13">
        <f t="shared" si="3"/>
        <v>0</v>
      </c>
      <c r="O6" s="11">
        <v>0</v>
      </c>
      <c r="P6" s="12">
        <v>0</v>
      </c>
      <c r="Q6" s="13">
        <v>0</v>
      </c>
      <c r="R6" s="13">
        <f t="shared" si="4"/>
        <v>0</v>
      </c>
      <c r="S6" s="11">
        <v>1</v>
      </c>
      <c r="T6" s="12">
        <v>0</v>
      </c>
      <c r="U6" s="13">
        <v>0</v>
      </c>
      <c r="V6" s="13">
        <f t="shared" si="5"/>
        <v>0</v>
      </c>
      <c r="W6" s="11">
        <v>0</v>
      </c>
      <c r="X6" s="12">
        <v>2</v>
      </c>
      <c r="Y6" s="13">
        <v>2</v>
      </c>
      <c r="Z6" s="13">
        <f t="shared" si="6"/>
        <v>0</v>
      </c>
      <c r="AA6" s="11">
        <v>0</v>
      </c>
      <c r="AB6" s="12">
        <v>0</v>
      </c>
      <c r="AC6" s="13">
        <v>0</v>
      </c>
      <c r="AD6" s="13">
        <f t="shared" si="7"/>
        <v>0</v>
      </c>
      <c r="AE6" s="11">
        <v>0</v>
      </c>
      <c r="AF6" s="12">
        <v>2</v>
      </c>
      <c r="AG6" s="13">
        <v>2</v>
      </c>
      <c r="AH6" s="13">
        <f t="shared" si="8"/>
        <v>0</v>
      </c>
      <c r="AI6" s="11">
        <v>0</v>
      </c>
      <c r="AJ6" s="12">
        <v>0</v>
      </c>
      <c r="AK6" s="13">
        <v>0</v>
      </c>
      <c r="AL6" s="13">
        <f t="shared" si="9"/>
        <v>0</v>
      </c>
      <c r="AM6" s="11">
        <v>0</v>
      </c>
      <c r="AN6" s="12">
        <v>0</v>
      </c>
      <c r="AO6" s="13">
        <v>0</v>
      </c>
      <c r="AP6" s="13">
        <f t="shared" si="10"/>
        <v>0</v>
      </c>
      <c r="AQ6" s="11">
        <v>0</v>
      </c>
      <c r="AR6" s="12">
        <v>0</v>
      </c>
      <c r="AS6" s="13">
        <v>0</v>
      </c>
      <c r="AT6" s="13">
        <f t="shared" si="11"/>
        <v>0</v>
      </c>
      <c r="AU6" s="11">
        <v>0</v>
      </c>
      <c r="AV6" s="12">
        <v>1</v>
      </c>
      <c r="AW6" s="13">
        <v>0</v>
      </c>
      <c r="AX6" s="13">
        <f t="shared" si="12"/>
        <v>1</v>
      </c>
      <c r="AY6" s="11">
        <v>1</v>
      </c>
      <c r="AZ6" s="12">
        <v>1</v>
      </c>
      <c r="BA6" s="13">
        <v>1</v>
      </c>
      <c r="BB6" s="13">
        <f t="shared" si="13"/>
        <v>0</v>
      </c>
      <c r="BC6" s="11">
        <v>1</v>
      </c>
      <c r="BD6" s="12">
        <v>0</v>
      </c>
      <c r="BE6" s="13">
        <v>0</v>
      </c>
      <c r="BF6" s="13">
        <f t="shared" si="14"/>
        <v>0</v>
      </c>
      <c r="BG6" s="11">
        <v>0</v>
      </c>
      <c r="BH6" s="12">
        <v>0</v>
      </c>
      <c r="BI6" s="13">
        <v>0</v>
      </c>
      <c r="BJ6" s="13">
        <f t="shared" si="15"/>
        <v>0</v>
      </c>
      <c r="BK6" s="11">
        <v>0</v>
      </c>
      <c r="BL6" s="12">
        <v>0</v>
      </c>
      <c r="BM6" s="13">
        <v>0</v>
      </c>
      <c r="BN6" s="13">
        <f t="shared" si="16"/>
        <v>0</v>
      </c>
      <c r="BO6" s="11">
        <v>1</v>
      </c>
      <c r="BP6" s="12">
        <v>0</v>
      </c>
      <c r="BQ6" s="13">
        <v>0</v>
      </c>
      <c r="BR6" s="13">
        <f t="shared" si="17"/>
        <v>0</v>
      </c>
      <c r="BS6" s="11">
        <v>1</v>
      </c>
      <c r="BT6" s="12">
        <f t="shared" si="18"/>
        <v>9</v>
      </c>
      <c r="BU6" s="13">
        <f t="shared" si="19"/>
        <v>1</v>
      </c>
      <c r="BV6" s="13">
        <f t="shared" si="20"/>
        <v>5</v>
      </c>
      <c r="BW6" s="13">
        <f t="shared" si="21"/>
        <v>0.9</v>
      </c>
      <c r="BX6" s="13">
        <f t="shared" si="22"/>
        <v>0.6428571428571429</v>
      </c>
      <c r="BY6" s="11">
        <f t="shared" si="23"/>
        <v>0.75</v>
      </c>
      <c r="CC6" s="133" t="s">
        <v>78</v>
      </c>
      <c r="CD6">
        <f>AVERAGE(BW9:BW10)</f>
        <v>0.95833333333333326</v>
      </c>
      <c r="CE6">
        <f t="shared" ref="CE6:CF6" si="26">AVERAGE(BX9:BX10)</f>
        <v>0.96153846153846156</v>
      </c>
      <c r="CF6">
        <f t="shared" si="26"/>
        <v>0.9582608695652175</v>
      </c>
    </row>
    <row r="7" spans="1:84" x14ac:dyDescent="0.35">
      <c r="A7" s="51" t="s">
        <v>48</v>
      </c>
      <c r="B7" s="148"/>
      <c r="C7" s="14" t="s">
        <v>28</v>
      </c>
      <c r="D7" s="15">
        <v>2</v>
      </c>
      <c r="E7" s="16">
        <v>2</v>
      </c>
      <c r="F7" s="16">
        <f t="shared" si="1"/>
        <v>0</v>
      </c>
      <c r="G7" s="14">
        <v>0</v>
      </c>
      <c r="H7" s="15">
        <v>1</v>
      </c>
      <c r="I7" s="16">
        <v>1</v>
      </c>
      <c r="J7" s="16">
        <f t="shared" si="2"/>
        <v>0</v>
      </c>
      <c r="K7" s="14">
        <v>0</v>
      </c>
      <c r="L7" s="15">
        <v>1</v>
      </c>
      <c r="M7" s="16">
        <v>1</v>
      </c>
      <c r="N7" s="16">
        <f t="shared" si="3"/>
        <v>0</v>
      </c>
      <c r="O7" s="14">
        <v>0</v>
      </c>
      <c r="P7" s="15">
        <v>1</v>
      </c>
      <c r="Q7" s="16">
        <v>1</v>
      </c>
      <c r="R7" s="16">
        <f t="shared" si="4"/>
        <v>0</v>
      </c>
      <c r="S7" s="14">
        <v>0</v>
      </c>
      <c r="T7" s="15">
        <v>1</v>
      </c>
      <c r="U7" s="16">
        <v>1</v>
      </c>
      <c r="V7" s="16">
        <f t="shared" si="5"/>
        <v>0</v>
      </c>
      <c r="W7" s="14">
        <v>0</v>
      </c>
      <c r="X7" s="15">
        <v>3</v>
      </c>
      <c r="Y7" s="16">
        <v>3</v>
      </c>
      <c r="Z7" s="16">
        <f t="shared" si="6"/>
        <v>0</v>
      </c>
      <c r="AA7" s="14">
        <v>0</v>
      </c>
      <c r="AB7" s="15">
        <v>0</v>
      </c>
      <c r="AC7" s="16">
        <v>0</v>
      </c>
      <c r="AD7" s="16">
        <f t="shared" si="7"/>
        <v>0</v>
      </c>
      <c r="AE7" s="14">
        <v>0</v>
      </c>
      <c r="AF7" s="15">
        <v>3</v>
      </c>
      <c r="AG7" s="16">
        <v>3</v>
      </c>
      <c r="AH7" s="16">
        <f t="shared" si="8"/>
        <v>0</v>
      </c>
      <c r="AI7" s="14">
        <v>0</v>
      </c>
      <c r="AJ7" s="15">
        <v>0</v>
      </c>
      <c r="AK7" s="16">
        <v>0</v>
      </c>
      <c r="AL7" s="16">
        <f t="shared" si="9"/>
        <v>0</v>
      </c>
      <c r="AM7" s="14">
        <v>1</v>
      </c>
      <c r="AN7" s="15">
        <v>1</v>
      </c>
      <c r="AO7" s="16">
        <v>0</v>
      </c>
      <c r="AP7" s="16">
        <f t="shared" si="10"/>
        <v>1</v>
      </c>
      <c r="AQ7" s="14">
        <v>0</v>
      </c>
      <c r="AR7" s="15">
        <v>0</v>
      </c>
      <c r="AS7" s="16">
        <v>0</v>
      </c>
      <c r="AT7" s="16">
        <f t="shared" si="11"/>
        <v>0</v>
      </c>
      <c r="AU7" s="14">
        <v>0</v>
      </c>
      <c r="AV7" s="15">
        <v>0</v>
      </c>
      <c r="AW7" s="16">
        <v>0</v>
      </c>
      <c r="AX7" s="16">
        <f t="shared" si="12"/>
        <v>0</v>
      </c>
      <c r="AY7" s="14">
        <v>0</v>
      </c>
      <c r="AZ7" s="15">
        <v>1</v>
      </c>
      <c r="BA7" s="16">
        <v>1</v>
      </c>
      <c r="BB7" s="16">
        <f t="shared" si="13"/>
        <v>0</v>
      </c>
      <c r="BC7" s="14">
        <v>0</v>
      </c>
      <c r="BD7" s="15">
        <v>2</v>
      </c>
      <c r="BE7" s="16">
        <v>0</v>
      </c>
      <c r="BF7" s="16">
        <f t="shared" si="14"/>
        <v>2</v>
      </c>
      <c r="BG7" s="14">
        <v>0</v>
      </c>
      <c r="BH7" s="15">
        <v>0</v>
      </c>
      <c r="BI7" s="16">
        <v>0</v>
      </c>
      <c r="BJ7" s="16">
        <f t="shared" si="15"/>
        <v>0</v>
      </c>
      <c r="BK7" s="14">
        <v>0</v>
      </c>
      <c r="BL7" s="15">
        <v>0</v>
      </c>
      <c r="BM7" s="16">
        <v>0</v>
      </c>
      <c r="BN7" s="16">
        <f t="shared" si="16"/>
        <v>0</v>
      </c>
      <c r="BO7" s="14">
        <v>0</v>
      </c>
      <c r="BP7" s="15">
        <v>0</v>
      </c>
      <c r="BQ7" s="16">
        <v>0</v>
      </c>
      <c r="BR7" s="16">
        <f t="shared" si="17"/>
        <v>0</v>
      </c>
      <c r="BS7" s="14">
        <v>0</v>
      </c>
      <c r="BT7" s="15">
        <f t="shared" si="18"/>
        <v>13</v>
      </c>
      <c r="BU7" s="16">
        <f t="shared" si="19"/>
        <v>3</v>
      </c>
      <c r="BV7" s="16">
        <f t="shared" si="20"/>
        <v>1</v>
      </c>
      <c r="BW7" s="16">
        <f t="shared" si="21"/>
        <v>0.8125</v>
      </c>
      <c r="BX7" s="16">
        <f t="shared" si="22"/>
        <v>0.9285714285714286</v>
      </c>
      <c r="BY7" s="14">
        <f t="shared" si="23"/>
        <v>0.86666666666666659</v>
      </c>
      <c r="CC7" s="133" t="s">
        <v>79</v>
      </c>
      <c r="CD7">
        <f>AVERAGE(BW11:BW12)</f>
        <v>0.7857142857142857</v>
      </c>
      <c r="CE7">
        <f t="shared" ref="CE7:CF7" si="27">AVERAGE(BX11:BX12)</f>
        <v>0.88095238095238093</v>
      </c>
      <c r="CF7">
        <f t="shared" si="27"/>
        <v>0.82832080200501257</v>
      </c>
    </row>
    <row r="8" spans="1:84" x14ac:dyDescent="0.35">
      <c r="A8" s="51" t="s">
        <v>48</v>
      </c>
      <c r="B8" s="148"/>
      <c r="C8" s="14" t="s">
        <v>62</v>
      </c>
      <c r="D8" s="15">
        <v>2</v>
      </c>
      <c r="E8" s="16">
        <v>2</v>
      </c>
      <c r="F8" s="16">
        <f t="shared" si="1"/>
        <v>0</v>
      </c>
      <c r="G8" s="14">
        <v>0</v>
      </c>
      <c r="H8" s="15">
        <v>1</v>
      </c>
      <c r="I8" s="16">
        <v>0</v>
      </c>
      <c r="J8" s="16">
        <f t="shared" si="2"/>
        <v>1</v>
      </c>
      <c r="K8" s="14">
        <v>0</v>
      </c>
      <c r="L8" s="15">
        <v>1</v>
      </c>
      <c r="M8" s="16">
        <v>0</v>
      </c>
      <c r="N8" s="16">
        <f t="shared" si="3"/>
        <v>1</v>
      </c>
      <c r="O8" s="14">
        <v>0</v>
      </c>
      <c r="P8" s="15">
        <v>1</v>
      </c>
      <c r="Q8" s="16">
        <v>1</v>
      </c>
      <c r="R8" s="16">
        <f t="shared" si="4"/>
        <v>0</v>
      </c>
      <c r="S8" s="14">
        <v>0</v>
      </c>
      <c r="T8" s="15">
        <v>1</v>
      </c>
      <c r="U8" s="16">
        <v>1</v>
      </c>
      <c r="V8" s="16">
        <f t="shared" si="5"/>
        <v>0</v>
      </c>
      <c r="W8" s="14">
        <v>0</v>
      </c>
      <c r="X8" s="15">
        <v>3</v>
      </c>
      <c r="Y8" s="16">
        <v>3</v>
      </c>
      <c r="Z8" s="16">
        <f t="shared" si="6"/>
        <v>0</v>
      </c>
      <c r="AA8" s="14">
        <v>0</v>
      </c>
      <c r="AB8" s="15">
        <v>0</v>
      </c>
      <c r="AC8" s="16">
        <v>0</v>
      </c>
      <c r="AD8" s="16">
        <f t="shared" si="7"/>
        <v>0</v>
      </c>
      <c r="AE8" s="14">
        <v>0</v>
      </c>
      <c r="AF8" s="15">
        <v>3</v>
      </c>
      <c r="AG8" s="16">
        <v>3</v>
      </c>
      <c r="AH8" s="16">
        <f t="shared" si="8"/>
        <v>0</v>
      </c>
      <c r="AI8" s="14">
        <v>0</v>
      </c>
      <c r="AJ8" s="15">
        <v>0</v>
      </c>
      <c r="AK8" s="16">
        <v>0</v>
      </c>
      <c r="AL8" s="16">
        <f t="shared" si="9"/>
        <v>0</v>
      </c>
      <c r="AM8" s="14">
        <v>1</v>
      </c>
      <c r="AN8" s="15">
        <v>1</v>
      </c>
      <c r="AO8" s="16">
        <v>0</v>
      </c>
      <c r="AP8" s="16">
        <f t="shared" si="10"/>
        <v>1</v>
      </c>
      <c r="AQ8" s="14">
        <v>0</v>
      </c>
      <c r="AR8" s="15">
        <v>0</v>
      </c>
      <c r="AS8" s="16">
        <v>0</v>
      </c>
      <c r="AT8" s="16">
        <f t="shared" si="11"/>
        <v>0</v>
      </c>
      <c r="AU8" s="14">
        <v>0</v>
      </c>
      <c r="AV8" s="15">
        <v>0</v>
      </c>
      <c r="AW8" s="16">
        <v>0</v>
      </c>
      <c r="AX8" s="16">
        <f t="shared" si="12"/>
        <v>0</v>
      </c>
      <c r="AY8" s="14">
        <v>0</v>
      </c>
      <c r="AZ8" s="15">
        <v>1</v>
      </c>
      <c r="BA8" s="16">
        <v>1</v>
      </c>
      <c r="BB8" s="16">
        <f t="shared" si="13"/>
        <v>0</v>
      </c>
      <c r="BC8" s="14">
        <v>0</v>
      </c>
      <c r="BD8" s="15">
        <v>2</v>
      </c>
      <c r="BE8" s="16">
        <v>0</v>
      </c>
      <c r="BF8" s="16">
        <f t="shared" si="14"/>
        <v>2</v>
      </c>
      <c r="BG8" s="14">
        <v>0</v>
      </c>
      <c r="BH8" s="15">
        <v>0</v>
      </c>
      <c r="BI8" s="16">
        <v>0</v>
      </c>
      <c r="BJ8" s="16">
        <f t="shared" si="15"/>
        <v>0</v>
      </c>
      <c r="BK8" s="14">
        <v>0</v>
      </c>
      <c r="BL8" s="15">
        <v>0</v>
      </c>
      <c r="BM8" s="16">
        <v>0</v>
      </c>
      <c r="BN8" s="16">
        <f t="shared" si="16"/>
        <v>0</v>
      </c>
      <c r="BO8" s="14">
        <v>0</v>
      </c>
      <c r="BP8" s="15">
        <v>0</v>
      </c>
      <c r="BQ8" s="16">
        <v>0</v>
      </c>
      <c r="BR8" s="16">
        <f t="shared" si="17"/>
        <v>0</v>
      </c>
      <c r="BS8" s="14">
        <v>0</v>
      </c>
      <c r="BT8" s="15">
        <f t="shared" si="18"/>
        <v>11</v>
      </c>
      <c r="BU8" s="16">
        <f t="shared" si="19"/>
        <v>5</v>
      </c>
      <c r="BV8" s="16">
        <f t="shared" si="20"/>
        <v>1</v>
      </c>
      <c r="BW8" s="16">
        <f t="shared" si="21"/>
        <v>0.6875</v>
      </c>
      <c r="BX8" s="16">
        <f t="shared" si="22"/>
        <v>0.91666666666666663</v>
      </c>
      <c r="BY8" s="14">
        <f t="shared" si="23"/>
        <v>0.7857142857142857</v>
      </c>
      <c r="CC8" s="133" t="s">
        <v>80</v>
      </c>
      <c r="CD8">
        <f>AVERAGE(BW13:BW14)</f>
        <v>1</v>
      </c>
      <c r="CE8">
        <f t="shared" ref="CE8:CF8" si="28">AVERAGE(BX13:BX14)</f>
        <v>1</v>
      </c>
      <c r="CF8">
        <f t="shared" si="28"/>
        <v>1</v>
      </c>
    </row>
    <row r="9" spans="1:84" x14ac:dyDescent="0.35">
      <c r="A9" s="52" t="s">
        <v>48</v>
      </c>
      <c r="B9" s="148"/>
      <c r="C9" s="17" t="s">
        <v>29</v>
      </c>
      <c r="D9" s="18">
        <v>1</v>
      </c>
      <c r="E9" s="19">
        <v>1</v>
      </c>
      <c r="F9" s="19">
        <f t="shared" si="1"/>
        <v>0</v>
      </c>
      <c r="G9" s="17">
        <v>0</v>
      </c>
      <c r="H9" s="18">
        <v>0</v>
      </c>
      <c r="I9" s="19">
        <v>0</v>
      </c>
      <c r="J9" s="19">
        <f t="shared" si="2"/>
        <v>0</v>
      </c>
      <c r="K9" s="17">
        <v>0</v>
      </c>
      <c r="L9" s="18">
        <v>0</v>
      </c>
      <c r="M9" s="19">
        <v>0</v>
      </c>
      <c r="N9" s="19">
        <f t="shared" si="3"/>
        <v>0</v>
      </c>
      <c r="O9" s="17">
        <v>0</v>
      </c>
      <c r="P9" s="18">
        <v>0</v>
      </c>
      <c r="Q9" s="19">
        <v>0</v>
      </c>
      <c r="R9" s="19">
        <f t="shared" si="4"/>
        <v>0</v>
      </c>
      <c r="S9" s="17">
        <v>0</v>
      </c>
      <c r="T9" s="18">
        <v>0</v>
      </c>
      <c r="U9" s="19">
        <v>0</v>
      </c>
      <c r="V9" s="19">
        <f t="shared" si="5"/>
        <v>0</v>
      </c>
      <c r="W9" s="17">
        <v>0</v>
      </c>
      <c r="X9" s="18">
        <v>3</v>
      </c>
      <c r="Y9" s="19">
        <v>3</v>
      </c>
      <c r="Z9" s="19">
        <f t="shared" si="6"/>
        <v>0</v>
      </c>
      <c r="AA9" s="17">
        <v>0</v>
      </c>
      <c r="AB9" s="18">
        <v>4</v>
      </c>
      <c r="AC9" s="19">
        <v>4</v>
      </c>
      <c r="AD9" s="19">
        <f t="shared" si="7"/>
        <v>0</v>
      </c>
      <c r="AE9" s="17">
        <v>0</v>
      </c>
      <c r="AF9" s="18">
        <v>3</v>
      </c>
      <c r="AG9" s="19">
        <v>3</v>
      </c>
      <c r="AH9" s="19">
        <f t="shared" si="8"/>
        <v>0</v>
      </c>
      <c r="AI9" s="17">
        <v>0</v>
      </c>
      <c r="AJ9" s="18">
        <v>0</v>
      </c>
      <c r="AK9" s="19">
        <v>0</v>
      </c>
      <c r="AL9" s="19">
        <f t="shared" si="9"/>
        <v>0</v>
      </c>
      <c r="AM9" s="17">
        <v>0</v>
      </c>
      <c r="AN9" s="18">
        <v>0</v>
      </c>
      <c r="AO9" s="19">
        <v>0</v>
      </c>
      <c r="AP9" s="19">
        <f t="shared" si="10"/>
        <v>0</v>
      </c>
      <c r="AQ9" s="17">
        <v>0</v>
      </c>
      <c r="AR9" s="18">
        <v>0</v>
      </c>
      <c r="AS9" s="19">
        <v>0</v>
      </c>
      <c r="AT9" s="19">
        <f t="shared" si="11"/>
        <v>0</v>
      </c>
      <c r="AU9" s="17">
        <v>1</v>
      </c>
      <c r="AV9" s="18">
        <v>0</v>
      </c>
      <c r="AW9" s="19">
        <v>0</v>
      </c>
      <c r="AX9" s="19">
        <f t="shared" si="12"/>
        <v>0</v>
      </c>
      <c r="AY9" s="17">
        <v>0</v>
      </c>
      <c r="AZ9" s="18">
        <v>0</v>
      </c>
      <c r="BA9" s="19">
        <v>0</v>
      </c>
      <c r="BB9" s="19">
        <f t="shared" si="13"/>
        <v>0</v>
      </c>
      <c r="BC9" s="17">
        <v>0</v>
      </c>
      <c r="BD9" s="18">
        <v>0</v>
      </c>
      <c r="BE9" s="19">
        <v>0</v>
      </c>
      <c r="BF9" s="19">
        <f t="shared" si="14"/>
        <v>0</v>
      </c>
      <c r="BG9" s="17">
        <v>0</v>
      </c>
      <c r="BH9" s="18">
        <v>1</v>
      </c>
      <c r="BI9" s="19">
        <v>1</v>
      </c>
      <c r="BJ9" s="19">
        <f t="shared" si="15"/>
        <v>0</v>
      </c>
      <c r="BK9" s="17">
        <v>0</v>
      </c>
      <c r="BL9" s="18">
        <v>0</v>
      </c>
      <c r="BM9" s="19">
        <v>0</v>
      </c>
      <c r="BN9" s="19">
        <f t="shared" si="16"/>
        <v>0</v>
      </c>
      <c r="BO9" s="17">
        <v>0</v>
      </c>
      <c r="BP9" s="18">
        <v>0</v>
      </c>
      <c r="BQ9" s="19">
        <v>0</v>
      </c>
      <c r="BR9" s="19">
        <f t="shared" si="17"/>
        <v>0</v>
      </c>
      <c r="BS9" s="17">
        <v>0</v>
      </c>
      <c r="BT9" s="18">
        <f t="shared" si="18"/>
        <v>12</v>
      </c>
      <c r="BU9" s="19">
        <f t="shared" si="19"/>
        <v>0</v>
      </c>
      <c r="BV9" s="19">
        <f t="shared" si="20"/>
        <v>1</v>
      </c>
      <c r="BW9" s="19">
        <f t="shared" si="21"/>
        <v>1</v>
      </c>
      <c r="BX9" s="19">
        <f t="shared" si="22"/>
        <v>0.92307692307692313</v>
      </c>
      <c r="BY9" s="17">
        <f t="shared" si="23"/>
        <v>0.96000000000000008</v>
      </c>
      <c r="CC9" s="133" t="s">
        <v>81</v>
      </c>
      <c r="CD9">
        <f>AVERAGE(BW15:BW16)</f>
        <v>0.92307692307692313</v>
      </c>
      <c r="CE9">
        <f t="shared" ref="CE9:CF9" si="29">AVERAGE(BX15:BX16)</f>
        <v>0.8666666666666667</v>
      </c>
      <c r="CF9">
        <f t="shared" si="29"/>
        <v>0.89285714285714279</v>
      </c>
    </row>
    <row r="10" spans="1:84" x14ac:dyDescent="0.35">
      <c r="A10" s="52" t="s">
        <v>48</v>
      </c>
      <c r="B10" s="148"/>
      <c r="C10" s="17" t="s">
        <v>45</v>
      </c>
      <c r="D10" s="18">
        <v>1</v>
      </c>
      <c r="E10" s="19">
        <v>1</v>
      </c>
      <c r="F10" s="19">
        <f t="shared" si="1"/>
        <v>0</v>
      </c>
      <c r="G10" s="17">
        <v>0</v>
      </c>
      <c r="H10" s="18">
        <v>0</v>
      </c>
      <c r="I10" s="19">
        <v>0</v>
      </c>
      <c r="J10" s="19">
        <f t="shared" si="2"/>
        <v>0</v>
      </c>
      <c r="K10" s="17">
        <v>0</v>
      </c>
      <c r="L10" s="18">
        <v>0</v>
      </c>
      <c r="M10" s="19">
        <v>0</v>
      </c>
      <c r="N10" s="19">
        <f t="shared" si="3"/>
        <v>0</v>
      </c>
      <c r="O10" s="17">
        <v>0</v>
      </c>
      <c r="P10" s="18">
        <v>0</v>
      </c>
      <c r="Q10" s="19">
        <v>0</v>
      </c>
      <c r="R10" s="19">
        <f t="shared" si="4"/>
        <v>0</v>
      </c>
      <c r="S10" s="17">
        <v>0</v>
      </c>
      <c r="T10" s="18">
        <v>0</v>
      </c>
      <c r="U10" s="19">
        <v>0</v>
      </c>
      <c r="V10" s="19">
        <f t="shared" si="5"/>
        <v>0</v>
      </c>
      <c r="W10" s="17">
        <v>0</v>
      </c>
      <c r="X10" s="18">
        <v>3</v>
      </c>
      <c r="Y10" s="19">
        <v>3</v>
      </c>
      <c r="Z10" s="19">
        <f t="shared" si="6"/>
        <v>0</v>
      </c>
      <c r="AA10" s="17">
        <v>0</v>
      </c>
      <c r="AB10" s="18">
        <v>4</v>
      </c>
      <c r="AC10" s="19">
        <v>4</v>
      </c>
      <c r="AD10" s="19">
        <f t="shared" si="7"/>
        <v>0</v>
      </c>
      <c r="AE10" s="17">
        <v>0</v>
      </c>
      <c r="AF10" s="18">
        <v>3</v>
      </c>
      <c r="AG10" s="19">
        <v>3</v>
      </c>
      <c r="AH10" s="19">
        <f t="shared" si="8"/>
        <v>0</v>
      </c>
      <c r="AI10" s="17">
        <v>0</v>
      </c>
      <c r="AJ10" s="18">
        <v>0</v>
      </c>
      <c r="AK10" s="19">
        <v>0</v>
      </c>
      <c r="AL10" s="19">
        <f t="shared" si="9"/>
        <v>0</v>
      </c>
      <c r="AM10" s="17">
        <v>0</v>
      </c>
      <c r="AN10" s="18">
        <v>0</v>
      </c>
      <c r="AO10" s="19">
        <v>0</v>
      </c>
      <c r="AP10" s="19">
        <f t="shared" si="10"/>
        <v>0</v>
      </c>
      <c r="AQ10" s="17">
        <v>0</v>
      </c>
      <c r="AR10" s="18">
        <v>0</v>
      </c>
      <c r="AS10" s="19">
        <v>0</v>
      </c>
      <c r="AT10" s="19">
        <f t="shared" si="11"/>
        <v>0</v>
      </c>
      <c r="AU10" s="17">
        <v>0</v>
      </c>
      <c r="AV10" s="18">
        <v>0</v>
      </c>
      <c r="AW10" s="19">
        <v>0</v>
      </c>
      <c r="AX10" s="19">
        <f t="shared" si="12"/>
        <v>0</v>
      </c>
      <c r="AY10" s="17">
        <v>0</v>
      </c>
      <c r="AZ10" s="18">
        <v>0</v>
      </c>
      <c r="BA10" s="19">
        <v>0</v>
      </c>
      <c r="BB10" s="19">
        <f t="shared" si="13"/>
        <v>0</v>
      </c>
      <c r="BC10" s="17">
        <v>0</v>
      </c>
      <c r="BD10" s="18">
        <v>0</v>
      </c>
      <c r="BE10" s="19">
        <v>0</v>
      </c>
      <c r="BF10" s="19">
        <f t="shared" si="14"/>
        <v>0</v>
      </c>
      <c r="BG10" s="17">
        <v>0</v>
      </c>
      <c r="BH10" s="18">
        <v>1</v>
      </c>
      <c r="BI10" s="19">
        <v>0</v>
      </c>
      <c r="BJ10" s="19">
        <f t="shared" si="15"/>
        <v>1</v>
      </c>
      <c r="BK10" s="17">
        <v>0</v>
      </c>
      <c r="BL10" s="18">
        <v>0</v>
      </c>
      <c r="BM10" s="19">
        <v>0</v>
      </c>
      <c r="BN10" s="19">
        <f t="shared" si="16"/>
        <v>0</v>
      </c>
      <c r="BO10" s="17">
        <v>0</v>
      </c>
      <c r="BP10" s="18">
        <v>0</v>
      </c>
      <c r="BQ10" s="19">
        <v>0</v>
      </c>
      <c r="BR10" s="19">
        <f t="shared" si="17"/>
        <v>0</v>
      </c>
      <c r="BS10" s="17">
        <v>0</v>
      </c>
      <c r="BT10" s="18">
        <f t="shared" si="18"/>
        <v>11</v>
      </c>
      <c r="BU10" s="19">
        <f t="shared" si="19"/>
        <v>1</v>
      </c>
      <c r="BV10" s="19">
        <f t="shared" si="20"/>
        <v>0</v>
      </c>
      <c r="BW10" s="19">
        <f t="shared" si="21"/>
        <v>0.91666666666666663</v>
      </c>
      <c r="BX10" s="19">
        <f t="shared" si="22"/>
        <v>1</v>
      </c>
      <c r="BY10" s="17">
        <f t="shared" si="23"/>
        <v>0.95652173913043481</v>
      </c>
      <c r="CC10" s="133" t="s">
        <v>82</v>
      </c>
      <c r="CD10">
        <f>AVERAGE(BW17:BW18)</f>
        <v>0.81818181818181812</v>
      </c>
      <c r="CE10">
        <f t="shared" ref="CE10:CF10" si="30">AVERAGE(BX17:BX18)</f>
        <v>0.78461538461538471</v>
      </c>
      <c r="CF10">
        <f t="shared" si="30"/>
        <v>0.79761904761904767</v>
      </c>
    </row>
    <row r="11" spans="1:84" x14ac:dyDescent="0.35">
      <c r="A11" s="53" t="s">
        <v>48</v>
      </c>
      <c r="B11" s="148"/>
      <c r="C11" s="20" t="s">
        <v>30</v>
      </c>
      <c r="D11" s="21">
        <v>2</v>
      </c>
      <c r="E11" s="22">
        <v>2</v>
      </c>
      <c r="F11" s="22">
        <f t="shared" si="1"/>
        <v>0</v>
      </c>
      <c r="G11" s="20">
        <v>0</v>
      </c>
      <c r="H11" s="21">
        <v>1</v>
      </c>
      <c r="I11" s="22">
        <v>0</v>
      </c>
      <c r="J11" s="22">
        <f t="shared" si="2"/>
        <v>1</v>
      </c>
      <c r="K11" s="20">
        <v>0</v>
      </c>
      <c r="L11" s="21">
        <v>2</v>
      </c>
      <c r="M11" s="22">
        <v>0</v>
      </c>
      <c r="N11" s="22">
        <f t="shared" si="3"/>
        <v>2</v>
      </c>
      <c r="O11" s="20">
        <v>0</v>
      </c>
      <c r="P11" s="21">
        <v>2</v>
      </c>
      <c r="Q11" s="22">
        <v>2</v>
      </c>
      <c r="R11" s="22">
        <f t="shared" si="4"/>
        <v>0</v>
      </c>
      <c r="S11" s="20">
        <v>2</v>
      </c>
      <c r="T11" s="21">
        <v>2</v>
      </c>
      <c r="U11" s="22">
        <v>2</v>
      </c>
      <c r="V11" s="22">
        <f t="shared" si="5"/>
        <v>0</v>
      </c>
      <c r="W11" s="20">
        <v>0</v>
      </c>
      <c r="X11" s="21">
        <v>4</v>
      </c>
      <c r="Y11" s="22">
        <v>4</v>
      </c>
      <c r="Z11" s="22">
        <f t="shared" si="6"/>
        <v>0</v>
      </c>
      <c r="AA11" s="20">
        <v>2</v>
      </c>
      <c r="AB11" s="21">
        <v>0</v>
      </c>
      <c r="AC11" s="22">
        <v>0</v>
      </c>
      <c r="AD11" s="22">
        <f t="shared" si="7"/>
        <v>0</v>
      </c>
      <c r="AE11" s="20">
        <v>0</v>
      </c>
      <c r="AF11" s="21">
        <v>4</v>
      </c>
      <c r="AG11" s="22">
        <v>4</v>
      </c>
      <c r="AH11" s="22">
        <f t="shared" si="8"/>
        <v>0</v>
      </c>
      <c r="AI11" s="20">
        <v>0</v>
      </c>
      <c r="AJ11" s="21">
        <v>1</v>
      </c>
      <c r="AK11" s="22">
        <v>1</v>
      </c>
      <c r="AL11" s="22">
        <f t="shared" si="9"/>
        <v>0</v>
      </c>
      <c r="AM11" s="20">
        <v>0</v>
      </c>
      <c r="AN11" s="21">
        <v>0</v>
      </c>
      <c r="AO11" s="22">
        <v>0</v>
      </c>
      <c r="AP11" s="22">
        <f t="shared" si="10"/>
        <v>0</v>
      </c>
      <c r="AQ11" s="20">
        <v>0</v>
      </c>
      <c r="AR11" s="21">
        <v>0</v>
      </c>
      <c r="AS11" s="22">
        <v>0</v>
      </c>
      <c r="AT11" s="22">
        <f t="shared" si="11"/>
        <v>0</v>
      </c>
      <c r="AU11" s="20">
        <v>0</v>
      </c>
      <c r="AV11" s="21">
        <v>0</v>
      </c>
      <c r="AW11" s="22">
        <v>0</v>
      </c>
      <c r="AX11" s="22">
        <f t="shared" si="12"/>
        <v>0</v>
      </c>
      <c r="AY11" s="20">
        <v>0</v>
      </c>
      <c r="AZ11" s="21">
        <v>1</v>
      </c>
      <c r="BA11" s="22">
        <v>0</v>
      </c>
      <c r="BB11" s="22">
        <f t="shared" si="13"/>
        <v>1</v>
      </c>
      <c r="BC11" s="20">
        <v>1</v>
      </c>
      <c r="BD11" s="21">
        <v>2</v>
      </c>
      <c r="BE11" s="22">
        <v>1</v>
      </c>
      <c r="BF11" s="22">
        <f t="shared" si="14"/>
        <v>1</v>
      </c>
      <c r="BG11" s="20">
        <v>0</v>
      </c>
      <c r="BH11" s="21">
        <v>0</v>
      </c>
      <c r="BI11" s="22">
        <v>0</v>
      </c>
      <c r="BJ11" s="22">
        <f t="shared" si="15"/>
        <v>0</v>
      </c>
      <c r="BK11" s="20">
        <v>0</v>
      </c>
      <c r="BL11" s="21">
        <v>0</v>
      </c>
      <c r="BM11" s="22">
        <v>0</v>
      </c>
      <c r="BN11" s="22">
        <f t="shared" si="16"/>
        <v>0</v>
      </c>
      <c r="BO11" s="20">
        <v>0</v>
      </c>
      <c r="BP11" s="21">
        <v>0</v>
      </c>
      <c r="BQ11" s="22">
        <v>0</v>
      </c>
      <c r="BR11" s="22">
        <f t="shared" si="17"/>
        <v>0</v>
      </c>
      <c r="BS11" s="20">
        <v>0</v>
      </c>
      <c r="BT11" s="21">
        <f t="shared" si="18"/>
        <v>16</v>
      </c>
      <c r="BU11" s="22">
        <f t="shared" si="19"/>
        <v>5</v>
      </c>
      <c r="BV11" s="22">
        <f t="shared" si="20"/>
        <v>5</v>
      </c>
      <c r="BW11" s="22">
        <f t="shared" si="21"/>
        <v>0.76190476190476186</v>
      </c>
      <c r="BX11" s="22">
        <f t="shared" si="22"/>
        <v>0.76190476190476186</v>
      </c>
      <c r="BY11" s="20">
        <f t="shared" si="23"/>
        <v>0.76190476190476186</v>
      </c>
      <c r="CC11" s="133" t="s">
        <v>83</v>
      </c>
      <c r="CD11">
        <f>AVERAGE(BW19:BW20)</f>
        <v>0.83333333333333337</v>
      </c>
      <c r="CE11">
        <f t="shared" ref="CE11:CF11" si="31">AVERAGE(BX19:BX20)</f>
        <v>0.7142857142857143</v>
      </c>
      <c r="CF11">
        <f t="shared" si="31"/>
        <v>0.76923076923076916</v>
      </c>
    </row>
    <row r="12" spans="1:84" x14ac:dyDescent="0.35">
      <c r="A12" s="53" t="s">
        <v>48</v>
      </c>
      <c r="B12" s="148"/>
      <c r="C12" s="20" t="s">
        <v>63</v>
      </c>
      <c r="D12" s="21">
        <v>2</v>
      </c>
      <c r="E12" s="22">
        <v>2</v>
      </c>
      <c r="F12" s="22">
        <f t="shared" si="1"/>
        <v>0</v>
      </c>
      <c r="G12" s="20">
        <v>0</v>
      </c>
      <c r="H12" s="21">
        <v>1</v>
      </c>
      <c r="I12" s="22">
        <v>0</v>
      </c>
      <c r="J12" s="22">
        <f>H12-I12</f>
        <v>1</v>
      </c>
      <c r="K12" s="20">
        <v>0</v>
      </c>
      <c r="L12" s="21">
        <v>2</v>
      </c>
      <c r="M12" s="22">
        <v>0</v>
      </c>
      <c r="N12" s="22">
        <f t="shared" si="3"/>
        <v>2</v>
      </c>
      <c r="O12" s="20">
        <v>0</v>
      </c>
      <c r="P12" s="21">
        <v>2</v>
      </c>
      <c r="Q12" s="22">
        <v>2</v>
      </c>
      <c r="R12" s="22">
        <f>P12-Q12</f>
        <v>0</v>
      </c>
      <c r="S12" s="20">
        <v>0</v>
      </c>
      <c r="T12" s="21">
        <v>2</v>
      </c>
      <c r="U12" s="22">
        <v>2</v>
      </c>
      <c r="V12" s="22">
        <f t="shared" si="5"/>
        <v>0</v>
      </c>
      <c r="W12" s="20">
        <v>0</v>
      </c>
      <c r="X12" s="21">
        <v>4</v>
      </c>
      <c r="Y12" s="22">
        <v>4</v>
      </c>
      <c r="Z12" s="22">
        <f t="shared" si="6"/>
        <v>0</v>
      </c>
      <c r="AA12" s="20">
        <v>0</v>
      </c>
      <c r="AB12" s="21">
        <v>0</v>
      </c>
      <c r="AC12" s="22">
        <v>0</v>
      </c>
      <c r="AD12" s="22">
        <f t="shared" si="7"/>
        <v>0</v>
      </c>
      <c r="AE12" s="20">
        <v>0</v>
      </c>
      <c r="AF12" s="21">
        <v>4</v>
      </c>
      <c r="AG12" s="22">
        <v>4</v>
      </c>
      <c r="AH12" s="22">
        <f t="shared" si="8"/>
        <v>0</v>
      </c>
      <c r="AI12" s="20">
        <v>0</v>
      </c>
      <c r="AJ12" s="21">
        <v>1</v>
      </c>
      <c r="AK12" s="22">
        <v>1</v>
      </c>
      <c r="AL12" s="22">
        <f t="shared" si="9"/>
        <v>0</v>
      </c>
      <c r="AM12" s="20">
        <v>0</v>
      </c>
      <c r="AN12" s="21">
        <v>0</v>
      </c>
      <c r="AO12" s="22">
        <v>0</v>
      </c>
      <c r="AP12" s="22">
        <f t="shared" si="10"/>
        <v>0</v>
      </c>
      <c r="AQ12" s="20">
        <v>0</v>
      </c>
      <c r="AR12" s="21">
        <v>0</v>
      </c>
      <c r="AS12" s="22">
        <v>0</v>
      </c>
      <c r="AT12" s="22">
        <f t="shared" si="11"/>
        <v>0</v>
      </c>
      <c r="AU12" s="20">
        <v>0</v>
      </c>
      <c r="AV12" s="21">
        <v>0</v>
      </c>
      <c r="AW12" s="22">
        <v>0</v>
      </c>
      <c r="AX12" s="22">
        <f>AV12-AW12</f>
        <v>0</v>
      </c>
      <c r="AY12" s="20">
        <v>0</v>
      </c>
      <c r="AZ12" s="21">
        <v>1</v>
      </c>
      <c r="BA12" s="22">
        <v>1</v>
      </c>
      <c r="BB12" s="22">
        <f t="shared" si="13"/>
        <v>0</v>
      </c>
      <c r="BC12" s="20">
        <v>0</v>
      </c>
      <c r="BD12" s="21">
        <v>2</v>
      </c>
      <c r="BE12" s="22">
        <v>1</v>
      </c>
      <c r="BF12" s="22">
        <f t="shared" si="14"/>
        <v>1</v>
      </c>
      <c r="BG12" s="20">
        <v>0</v>
      </c>
      <c r="BH12" s="21">
        <v>0</v>
      </c>
      <c r="BI12" s="22">
        <v>0</v>
      </c>
      <c r="BJ12" s="22">
        <f t="shared" si="15"/>
        <v>0</v>
      </c>
      <c r="BK12" s="20">
        <v>0</v>
      </c>
      <c r="BL12" s="21">
        <v>0</v>
      </c>
      <c r="BM12" s="22">
        <v>0</v>
      </c>
      <c r="BN12" s="22">
        <f t="shared" si="16"/>
        <v>0</v>
      </c>
      <c r="BO12" s="20">
        <v>0</v>
      </c>
      <c r="BP12" s="21">
        <v>0</v>
      </c>
      <c r="BQ12" s="22">
        <v>0</v>
      </c>
      <c r="BR12" s="22">
        <f t="shared" si="17"/>
        <v>0</v>
      </c>
      <c r="BS12" s="20">
        <v>0</v>
      </c>
      <c r="BT12" s="21">
        <f t="shared" si="18"/>
        <v>17</v>
      </c>
      <c r="BU12" s="22">
        <f t="shared" si="19"/>
        <v>4</v>
      </c>
      <c r="BV12" s="22">
        <f t="shared" si="20"/>
        <v>0</v>
      </c>
      <c r="BW12" s="22">
        <f t="shared" si="21"/>
        <v>0.80952380952380953</v>
      </c>
      <c r="BX12" s="22">
        <f t="shared" si="22"/>
        <v>1</v>
      </c>
      <c r="BY12" s="20">
        <f t="shared" si="23"/>
        <v>0.89473684210526316</v>
      </c>
      <c r="CC12" s="133" t="s">
        <v>84</v>
      </c>
      <c r="CD12">
        <f>AVERAGE(BW21:BW22)</f>
        <v>0.61764705882352944</v>
      </c>
      <c r="CE12">
        <f t="shared" ref="CE12:CF12" si="32">AVERAGE(BX21:BX22)</f>
        <v>0.80769230769230771</v>
      </c>
      <c r="CF12">
        <f t="shared" si="32"/>
        <v>0.70000000000000007</v>
      </c>
    </row>
    <row r="13" spans="1:84" ht="13.5" customHeight="1" x14ac:dyDescent="0.35">
      <c r="A13" s="54" t="s">
        <v>48</v>
      </c>
      <c r="B13" s="148"/>
      <c r="C13" s="23" t="s">
        <v>31</v>
      </c>
      <c r="D13" s="24">
        <v>4</v>
      </c>
      <c r="E13" s="25">
        <v>4</v>
      </c>
      <c r="F13" s="25">
        <f t="shared" si="1"/>
        <v>0</v>
      </c>
      <c r="G13" s="23">
        <v>0</v>
      </c>
      <c r="H13" s="24">
        <v>0</v>
      </c>
      <c r="I13" s="25">
        <v>0</v>
      </c>
      <c r="J13" s="25">
        <f t="shared" si="2"/>
        <v>0</v>
      </c>
      <c r="K13" s="23">
        <v>0</v>
      </c>
      <c r="L13" s="24">
        <v>0</v>
      </c>
      <c r="M13" s="25">
        <v>0</v>
      </c>
      <c r="N13" s="25">
        <f t="shared" si="3"/>
        <v>0</v>
      </c>
      <c r="O13" s="23">
        <v>0</v>
      </c>
      <c r="P13" s="24">
        <v>0</v>
      </c>
      <c r="Q13" s="25">
        <v>0</v>
      </c>
      <c r="R13" s="25">
        <f t="shared" si="4"/>
        <v>0</v>
      </c>
      <c r="S13" s="23">
        <v>0</v>
      </c>
      <c r="T13" s="24">
        <v>0</v>
      </c>
      <c r="U13" s="25">
        <v>0</v>
      </c>
      <c r="V13" s="25">
        <f t="shared" si="5"/>
        <v>0</v>
      </c>
      <c r="W13" s="23">
        <v>0</v>
      </c>
      <c r="X13" s="24">
        <v>4</v>
      </c>
      <c r="Y13" s="25">
        <v>4</v>
      </c>
      <c r="Z13" s="25">
        <f t="shared" si="6"/>
        <v>0</v>
      </c>
      <c r="AA13" s="23">
        <v>0</v>
      </c>
      <c r="AB13" s="24">
        <v>0</v>
      </c>
      <c r="AC13" s="25">
        <v>0</v>
      </c>
      <c r="AD13" s="25">
        <f t="shared" si="7"/>
        <v>0</v>
      </c>
      <c r="AE13" s="23">
        <v>0</v>
      </c>
      <c r="AF13" s="24">
        <v>4</v>
      </c>
      <c r="AG13" s="25">
        <v>4</v>
      </c>
      <c r="AH13" s="25">
        <f t="shared" si="8"/>
        <v>0</v>
      </c>
      <c r="AI13" s="23">
        <v>0</v>
      </c>
      <c r="AJ13" s="24">
        <v>3</v>
      </c>
      <c r="AK13" s="25">
        <v>3</v>
      </c>
      <c r="AL13" s="25">
        <f t="shared" si="9"/>
        <v>0</v>
      </c>
      <c r="AM13" s="23">
        <v>0</v>
      </c>
      <c r="AN13" s="24">
        <v>0</v>
      </c>
      <c r="AO13" s="25">
        <v>0</v>
      </c>
      <c r="AP13" s="25">
        <f t="shared" si="10"/>
        <v>0</v>
      </c>
      <c r="AQ13" s="23">
        <v>0</v>
      </c>
      <c r="AR13" s="24">
        <v>0</v>
      </c>
      <c r="AS13" s="25">
        <v>0</v>
      </c>
      <c r="AT13" s="25">
        <f t="shared" si="11"/>
        <v>0</v>
      </c>
      <c r="AU13" s="23">
        <v>0</v>
      </c>
      <c r="AV13" s="24">
        <v>0</v>
      </c>
      <c r="AW13" s="25">
        <v>0</v>
      </c>
      <c r="AX13" s="25">
        <f t="shared" si="12"/>
        <v>0</v>
      </c>
      <c r="AY13" s="23">
        <v>0</v>
      </c>
      <c r="AZ13" s="24">
        <v>3</v>
      </c>
      <c r="BA13" s="25">
        <v>3</v>
      </c>
      <c r="BB13" s="25">
        <f t="shared" si="13"/>
        <v>0</v>
      </c>
      <c r="BC13" s="23">
        <v>0</v>
      </c>
      <c r="BD13" s="24">
        <v>0</v>
      </c>
      <c r="BE13" s="25">
        <v>0</v>
      </c>
      <c r="BF13" s="25">
        <f t="shared" si="14"/>
        <v>0</v>
      </c>
      <c r="BG13" s="23">
        <v>0</v>
      </c>
      <c r="BH13" s="24">
        <v>0</v>
      </c>
      <c r="BI13" s="25">
        <v>0</v>
      </c>
      <c r="BJ13" s="25">
        <f t="shared" si="15"/>
        <v>0</v>
      </c>
      <c r="BK13" s="23">
        <v>0</v>
      </c>
      <c r="BL13" s="24">
        <v>0</v>
      </c>
      <c r="BM13" s="25">
        <v>0</v>
      </c>
      <c r="BN13" s="25">
        <f t="shared" si="16"/>
        <v>0</v>
      </c>
      <c r="BO13" s="23">
        <v>0</v>
      </c>
      <c r="BP13" s="24">
        <v>0</v>
      </c>
      <c r="BQ13" s="25">
        <v>0</v>
      </c>
      <c r="BR13" s="25">
        <f t="shared" si="17"/>
        <v>0</v>
      </c>
      <c r="BS13" s="23">
        <v>0</v>
      </c>
      <c r="BT13" s="24">
        <f t="shared" si="18"/>
        <v>18</v>
      </c>
      <c r="BU13" s="25">
        <f t="shared" si="19"/>
        <v>0</v>
      </c>
      <c r="BV13" s="25">
        <f t="shared" si="20"/>
        <v>0</v>
      </c>
      <c r="BW13" s="25">
        <f t="shared" si="21"/>
        <v>1</v>
      </c>
      <c r="BX13" s="25">
        <f t="shared" si="22"/>
        <v>1</v>
      </c>
      <c r="BY13" s="23">
        <f t="shared" si="23"/>
        <v>1</v>
      </c>
      <c r="CC13" s="133" t="s">
        <v>85</v>
      </c>
      <c r="CD13">
        <f>AVERAGE(BW23:BW24)</f>
        <v>0.90909090909090906</v>
      </c>
      <c r="CE13">
        <f t="shared" ref="CE13:CF13" si="33">AVERAGE(BX23:BX24)</f>
        <v>0.80128205128205132</v>
      </c>
      <c r="CF13">
        <f t="shared" si="33"/>
        <v>0.85144927536231885</v>
      </c>
    </row>
    <row r="14" spans="1:84" x14ac:dyDescent="0.35">
      <c r="A14" s="54" t="s">
        <v>48</v>
      </c>
      <c r="B14" s="148"/>
      <c r="C14" s="23" t="s">
        <v>64</v>
      </c>
      <c r="D14" s="24">
        <v>4</v>
      </c>
      <c r="E14" s="25">
        <v>4</v>
      </c>
      <c r="F14" s="25">
        <f t="shared" si="1"/>
        <v>0</v>
      </c>
      <c r="G14" s="23">
        <v>0</v>
      </c>
      <c r="H14" s="24">
        <v>0</v>
      </c>
      <c r="I14" s="24">
        <v>0</v>
      </c>
      <c r="J14" s="24">
        <v>0</v>
      </c>
      <c r="K14" s="23">
        <v>0</v>
      </c>
      <c r="L14" s="24">
        <v>0</v>
      </c>
      <c r="M14" s="24">
        <v>0</v>
      </c>
      <c r="N14" s="24">
        <v>0</v>
      </c>
      <c r="O14" s="23">
        <v>0</v>
      </c>
      <c r="P14" s="24">
        <v>0</v>
      </c>
      <c r="Q14" s="25">
        <v>0</v>
      </c>
      <c r="R14" s="25">
        <f t="shared" si="4"/>
        <v>0</v>
      </c>
      <c r="S14" s="23">
        <v>0</v>
      </c>
      <c r="T14" s="24">
        <v>0</v>
      </c>
      <c r="U14" s="25">
        <v>0</v>
      </c>
      <c r="V14" s="25">
        <v>0</v>
      </c>
      <c r="W14" s="23">
        <v>0</v>
      </c>
      <c r="X14" s="24">
        <v>4</v>
      </c>
      <c r="Y14" s="24">
        <v>4</v>
      </c>
      <c r="Z14" s="24">
        <f>X14-Y14</f>
        <v>0</v>
      </c>
      <c r="AA14" s="23">
        <v>0</v>
      </c>
      <c r="AB14" s="24">
        <v>0</v>
      </c>
      <c r="AC14" s="24">
        <v>0</v>
      </c>
      <c r="AD14" s="24">
        <f>AB14-AC14</f>
        <v>0</v>
      </c>
      <c r="AE14" s="23">
        <v>0</v>
      </c>
      <c r="AF14" s="24">
        <v>4</v>
      </c>
      <c r="AG14" s="24">
        <v>4</v>
      </c>
      <c r="AH14" s="24">
        <f>AF14-AG14</f>
        <v>0</v>
      </c>
      <c r="AI14" s="23">
        <v>0</v>
      </c>
      <c r="AJ14" s="24">
        <v>3</v>
      </c>
      <c r="AK14" s="24">
        <v>3</v>
      </c>
      <c r="AL14" s="24">
        <f>AJ14-AK14</f>
        <v>0</v>
      </c>
      <c r="AM14" s="23">
        <v>0</v>
      </c>
      <c r="AN14" s="24">
        <v>0</v>
      </c>
      <c r="AO14" s="24">
        <v>0</v>
      </c>
      <c r="AP14" s="24">
        <f>AN14-AO14</f>
        <v>0</v>
      </c>
      <c r="AQ14" s="23">
        <v>0</v>
      </c>
      <c r="AR14" s="24">
        <v>0</v>
      </c>
      <c r="AS14" s="25">
        <v>0</v>
      </c>
      <c r="AT14" s="25">
        <f t="shared" si="11"/>
        <v>0</v>
      </c>
      <c r="AU14" s="23">
        <v>0</v>
      </c>
      <c r="AV14" s="24">
        <v>0</v>
      </c>
      <c r="AW14" s="25">
        <v>0</v>
      </c>
      <c r="AX14" s="25">
        <f t="shared" si="12"/>
        <v>0</v>
      </c>
      <c r="AY14" s="23">
        <v>0</v>
      </c>
      <c r="AZ14" s="24">
        <v>3</v>
      </c>
      <c r="BA14" s="25">
        <v>3</v>
      </c>
      <c r="BB14" s="25">
        <f t="shared" si="13"/>
        <v>0</v>
      </c>
      <c r="BC14" s="23">
        <v>0</v>
      </c>
      <c r="BD14" s="24">
        <v>0</v>
      </c>
      <c r="BE14" s="25">
        <v>0</v>
      </c>
      <c r="BF14" s="25">
        <f t="shared" si="14"/>
        <v>0</v>
      </c>
      <c r="BG14" s="23">
        <v>0</v>
      </c>
      <c r="BH14" s="24">
        <v>0</v>
      </c>
      <c r="BI14" s="25">
        <v>0</v>
      </c>
      <c r="BJ14" s="25">
        <f t="shared" si="15"/>
        <v>0</v>
      </c>
      <c r="BK14" s="23">
        <v>0</v>
      </c>
      <c r="BL14" s="24">
        <v>0</v>
      </c>
      <c r="BM14" s="25">
        <v>0</v>
      </c>
      <c r="BN14" s="25">
        <f t="shared" si="16"/>
        <v>0</v>
      </c>
      <c r="BO14" s="23">
        <v>0</v>
      </c>
      <c r="BP14" s="24">
        <v>0</v>
      </c>
      <c r="BQ14" s="25">
        <v>0</v>
      </c>
      <c r="BR14" s="25">
        <f t="shared" si="17"/>
        <v>0</v>
      </c>
      <c r="BS14" s="23">
        <v>0</v>
      </c>
      <c r="BT14" s="24">
        <f t="shared" si="18"/>
        <v>18</v>
      </c>
      <c r="BU14" s="25">
        <f t="shared" si="19"/>
        <v>0</v>
      </c>
      <c r="BV14" s="25">
        <f t="shared" si="20"/>
        <v>0</v>
      </c>
      <c r="BW14" s="25">
        <f t="shared" si="21"/>
        <v>1</v>
      </c>
      <c r="BX14" s="25">
        <f t="shared" si="22"/>
        <v>1</v>
      </c>
      <c r="BY14" s="23">
        <f t="shared" si="23"/>
        <v>1</v>
      </c>
      <c r="CC14" s="133" t="s">
        <v>86</v>
      </c>
      <c r="CD14">
        <f>AVERAGE(BW25:BW26)</f>
        <v>0.9375</v>
      </c>
      <c r="CE14">
        <f t="shared" ref="CE14:CF14" si="34">AVERAGE(BX25:BX26)</f>
        <v>0.78947368421052633</v>
      </c>
      <c r="CF14">
        <f t="shared" si="34"/>
        <v>0.8571428571428571</v>
      </c>
    </row>
    <row r="15" spans="1:84" x14ac:dyDescent="0.35">
      <c r="A15" s="55" t="s">
        <v>48</v>
      </c>
      <c r="B15" s="148"/>
      <c r="C15" s="26" t="s">
        <v>32</v>
      </c>
      <c r="D15" s="27">
        <v>3</v>
      </c>
      <c r="E15" s="28">
        <v>3</v>
      </c>
      <c r="F15" s="28">
        <f t="shared" si="1"/>
        <v>0</v>
      </c>
      <c r="G15" s="26">
        <v>0</v>
      </c>
      <c r="H15" s="27">
        <v>0</v>
      </c>
      <c r="I15" s="27">
        <v>0</v>
      </c>
      <c r="J15" s="27">
        <f t="shared" si="2"/>
        <v>0</v>
      </c>
      <c r="K15" s="26">
        <v>0</v>
      </c>
      <c r="L15" s="27">
        <v>0</v>
      </c>
      <c r="M15" s="27">
        <v>0</v>
      </c>
      <c r="N15" s="27">
        <f t="shared" si="3"/>
        <v>0</v>
      </c>
      <c r="O15" s="26">
        <v>0</v>
      </c>
      <c r="P15" s="27">
        <v>0</v>
      </c>
      <c r="Q15" s="28">
        <v>0</v>
      </c>
      <c r="R15" s="28">
        <f t="shared" si="4"/>
        <v>0</v>
      </c>
      <c r="S15" s="26">
        <v>0</v>
      </c>
      <c r="T15" s="27">
        <v>0</v>
      </c>
      <c r="U15" s="28">
        <v>0</v>
      </c>
      <c r="V15" s="28">
        <f t="shared" si="5"/>
        <v>0</v>
      </c>
      <c r="W15" s="26">
        <v>0</v>
      </c>
      <c r="X15" s="27">
        <v>3</v>
      </c>
      <c r="Y15" s="27">
        <v>3</v>
      </c>
      <c r="Z15" s="27">
        <f t="shared" si="6"/>
        <v>0</v>
      </c>
      <c r="AA15" s="26">
        <v>0</v>
      </c>
      <c r="AB15" s="27">
        <v>0</v>
      </c>
      <c r="AC15" s="27">
        <v>0</v>
      </c>
      <c r="AD15" s="27">
        <f t="shared" si="7"/>
        <v>0</v>
      </c>
      <c r="AE15" s="26">
        <v>0</v>
      </c>
      <c r="AF15" s="27">
        <v>3</v>
      </c>
      <c r="AG15" s="27">
        <v>3</v>
      </c>
      <c r="AH15" s="27">
        <f t="shared" si="8"/>
        <v>0</v>
      </c>
      <c r="AI15" s="26">
        <v>0</v>
      </c>
      <c r="AJ15" s="27">
        <v>2</v>
      </c>
      <c r="AK15" s="27">
        <v>2</v>
      </c>
      <c r="AL15" s="27">
        <f t="shared" si="9"/>
        <v>0</v>
      </c>
      <c r="AM15" s="26">
        <v>0</v>
      </c>
      <c r="AN15" s="27">
        <v>0</v>
      </c>
      <c r="AO15" s="27">
        <v>0</v>
      </c>
      <c r="AP15" s="27">
        <f t="shared" si="10"/>
        <v>0</v>
      </c>
      <c r="AQ15" s="26">
        <v>2</v>
      </c>
      <c r="AR15" s="27">
        <v>0</v>
      </c>
      <c r="AS15" s="28">
        <v>0</v>
      </c>
      <c r="AT15" s="28">
        <f t="shared" si="11"/>
        <v>0</v>
      </c>
      <c r="AU15" s="26">
        <v>0</v>
      </c>
      <c r="AV15" s="27">
        <v>0</v>
      </c>
      <c r="AW15" s="28">
        <v>0</v>
      </c>
      <c r="AX15" s="28">
        <f t="shared" si="12"/>
        <v>0</v>
      </c>
      <c r="AY15" s="26">
        <v>0</v>
      </c>
      <c r="AZ15" s="27">
        <v>2</v>
      </c>
      <c r="BA15" s="28">
        <v>0</v>
      </c>
      <c r="BB15" s="28">
        <f t="shared" si="13"/>
        <v>2</v>
      </c>
      <c r="BC15" s="26">
        <v>2</v>
      </c>
      <c r="BD15" s="27">
        <v>0</v>
      </c>
      <c r="BE15" s="28">
        <v>0</v>
      </c>
      <c r="BF15" s="28">
        <f t="shared" si="14"/>
        <v>0</v>
      </c>
      <c r="BG15" s="26">
        <v>0</v>
      </c>
      <c r="BH15" s="27">
        <v>0</v>
      </c>
      <c r="BI15" s="28">
        <v>0</v>
      </c>
      <c r="BJ15" s="28">
        <f t="shared" si="15"/>
        <v>0</v>
      </c>
      <c r="BK15" s="26">
        <v>0</v>
      </c>
      <c r="BL15" s="27">
        <v>0</v>
      </c>
      <c r="BM15" s="28">
        <v>0</v>
      </c>
      <c r="BN15" s="28">
        <f t="shared" si="16"/>
        <v>0</v>
      </c>
      <c r="BO15" s="26">
        <v>0</v>
      </c>
      <c r="BP15" s="27">
        <v>0</v>
      </c>
      <c r="BQ15" s="28">
        <v>0</v>
      </c>
      <c r="BR15" s="28">
        <f t="shared" si="17"/>
        <v>0</v>
      </c>
      <c r="BS15" s="26">
        <v>0</v>
      </c>
      <c r="BT15" s="27">
        <f t="shared" si="18"/>
        <v>11</v>
      </c>
      <c r="BU15" s="28">
        <f t="shared" si="19"/>
        <v>2</v>
      </c>
      <c r="BV15" s="28">
        <f t="shared" si="20"/>
        <v>4</v>
      </c>
      <c r="BW15" s="28">
        <f t="shared" si="21"/>
        <v>0.84615384615384615</v>
      </c>
      <c r="BX15" s="28">
        <f t="shared" si="22"/>
        <v>0.73333333333333328</v>
      </c>
      <c r="BY15" s="26">
        <f t="shared" si="23"/>
        <v>0.78571428571428559</v>
      </c>
      <c r="CC15" s="133" t="s">
        <v>87</v>
      </c>
      <c r="CD15">
        <f>AVERAGE(BW27:BW28)</f>
        <v>0.9285714285714286</v>
      </c>
      <c r="CE15">
        <f t="shared" ref="CE15:CF15" si="35">AVERAGE(BX27:BX28)</f>
        <v>0.8705357142857143</v>
      </c>
      <c r="CF15">
        <f t="shared" si="35"/>
        <v>0.89761904761904754</v>
      </c>
    </row>
    <row r="16" spans="1:84" x14ac:dyDescent="0.35">
      <c r="A16" s="55" t="s">
        <v>48</v>
      </c>
      <c r="B16" s="148"/>
      <c r="C16" s="26" t="s">
        <v>65</v>
      </c>
      <c r="D16" s="27">
        <v>3</v>
      </c>
      <c r="E16" s="28">
        <v>3</v>
      </c>
      <c r="F16" s="28">
        <f t="shared" si="1"/>
        <v>0</v>
      </c>
      <c r="G16" s="26">
        <v>0</v>
      </c>
      <c r="H16" s="27">
        <v>0</v>
      </c>
      <c r="I16" s="27">
        <v>0</v>
      </c>
      <c r="J16" s="27">
        <f t="shared" si="2"/>
        <v>0</v>
      </c>
      <c r="K16" s="26">
        <v>0</v>
      </c>
      <c r="L16" s="27">
        <v>0</v>
      </c>
      <c r="M16" s="27">
        <v>0</v>
      </c>
      <c r="N16" s="27">
        <f t="shared" si="3"/>
        <v>0</v>
      </c>
      <c r="O16" s="26">
        <v>0</v>
      </c>
      <c r="P16" s="27">
        <v>0</v>
      </c>
      <c r="Q16" s="28">
        <v>0</v>
      </c>
      <c r="R16" s="28">
        <f t="shared" si="4"/>
        <v>0</v>
      </c>
      <c r="S16" s="26">
        <v>0</v>
      </c>
      <c r="T16" s="27">
        <v>0</v>
      </c>
      <c r="U16" s="28">
        <v>0</v>
      </c>
      <c r="V16" s="28">
        <f t="shared" si="5"/>
        <v>0</v>
      </c>
      <c r="W16" s="26">
        <v>0</v>
      </c>
      <c r="X16" s="27">
        <v>3</v>
      </c>
      <c r="Y16" s="27">
        <v>3</v>
      </c>
      <c r="Z16" s="27">
        <v>0</v>
      </c>
      <c r="AA16" s="26">
        <v>0</v>
      </c>
      <c r="AB16" s="27">
        <v>0</v>
      </c>
      <c r="AC16" s="27">
        <v>0</v>
      </c>
      <c r="AD16" s="27">
        <f t="shared" si="7"/>
        <v>0</v>
      </c>
      <c r="AE16" s="26">
        <v>0</v>
      </c>
      <c r="AF16" s="27">
        <v>3</v>
      </c>
      <c r="AG16" s="27">
        <v>3</v>
      </c>
      <c r="AH16" s="27">
        <f t="shared" si="8"/>
        <v>0</v>
      </c>
      <c r="AI16" s="26">
        <v>0</v>
      </c>
      <c r="AJ16" s="27">
        <v>2</v>
      </c>
      <c r="AK16" s="27">
        <v>2</v>
      </c>
      <c r="AL16" s="27">
        <f t="shared" si="9"/>
        <v>0</v>
      </c>
      <c r="AM16" s="26">
        <v>0</v>
      </c>
      <c r="AN16" s="27">
        <v>0</v>
      </c>
      <c r="AO16" s="27">
        <v>0</v>
      </c>
      <c r="AP16" s="27">
        <f t="shared" si="10"/>
        <v>0</v>
      </c>
      <c r="AQ16" s="26">
        <v>0</v>
      </c>
      <c r="AR16" s="27">
        <v>0</v>
      </c>
      <c r="AS16" s="28">
        <v>0</v>
      </c>
      <c r="AT16" s="28">
        <f t="shared" si="11"/>
        <v>0</v>
      </c>
      <c r="AU16" s="26">
        <v>0</v>
      </c>
      <c r="AV16" s="27">
        <v>0</v>
      </c>
      <c r="AW16" s="28">
        <v>0</v>
      </c>
      <c r="AX16" s="28">
        <f t="shared" si="12"/>
        <v>0</v>
      </c>
      <c r="AY16" s="26">
        <v>0</v>
      </c>
      <c r="AZ16" s="27">
        <v>2</v>
      </c>
      <c r="BA16" s="28">
        <v>2</v>
      </c>
      <c r="BB16" s="28">
        <f t="shared" si="13"/>
        <v>0</v>
      </c>
      <c r="BC16" s="26">
        <v>0</v>
      </c>
      <c r="BD16" s="27">
        <v>0</v>
      </c>
      <c r="BE16" s="28">
        <v>0</v>
      </c>
      <c r="BF16" s="28">
        <f t="shared" si="14"/>
        <v>0</v>
      </c>
      <c r="BG16" s="26">
        <v>0</v>
      </c>
      <c r="BH16" s="27">
        <v>0</v>
      </c>
      <c r="BI16" s="28">
        <v>0</v>
      </c>
      <c r="BJ16" s="28">
        <f t="shared" si="15"/>
        <v>0</v>
      </c>
      <c r="BK16" s="26">
        <v>0</v>
      </c>
      <c r="BL16" s="27">
        <v>0</v>
      </c>
      <c r="BM16" s="28">
        <v>0</v>
      </c>
      <c r="BN16" s="28">
        <f t="shared" si="16"/>
        <v>0</v>
      </c>
      <c r="BO16" s="26">
        <v>0</v>
      </c>
      <c r="BP16" s="27">
        <v>0</v>
      </c>
      <c r="BQ16" s="28">
        <v>0</v>
      </c>
      <c r="BR16" s="28">
        <f t="shared" si="17"/>
        <v>0</v>
      </c>
      <c r="BS16" s="26">
        <v>0</v>
      </c>
      <c r="BT16" s="27">
        <f t="shared" si="18"/>
        <v>13</v>
      </c>
      <c r="BU16" s="28">
        <f t="shared" si="19"/>
        <v>0</v>
      </c>
      <c r="BV16" s="28">
        <f t="shared" si="20"/>
        <v>0</v>
      </c>
      <c r="BW16" s="28">
        <f t="shared" si="21"/>
        <v>1</v>
      </c>
      <c r="BX16" s="28">
        <f t="shared" si="22"/>
        <v>1</v>
      </c>
      <c r="BY16" s="26">
        <f t="shared" si="23"/>
        <v>1</v>
      </c>
      <c r="CC16" s="133" t="s">
        <v>88</v>
      </c>
      <c r="CD16">
        <f>AVERAGE(BW29:BW30)</f>
        <v>0.81818181818181823</v>
      </c>
      <c r="CE16">
        <f t="shared" ref="CE16:CF16" si="36">AVERAGE(BX29:BX30)</f>
        <v>1</v>
      </c>
      <c r="CF16">
        <f t="shared" si="36"/>
        <v>0.9</v>
      </c>
    </row>
    <row r="17" spans="1:84" x14ac:dyDescent="0.35">
      <c r="A17" s="56" t="s">
        <v>48</v>
      </c>
      <c r="B17" s="148"/>
      <c r="C17" s="29" t="s">
        <v>33</v>
      </c>
      <c r="D17" s="30">
        <v>2</v>
      </c>
      <c r="E17" s="31">
        <v>2</v>
      </c>
      <c r="F17" s="31">
        <f t="shared" si="1"/>
        <v>0</v>
      </c>
      <c r="G17" s="29">
        <v>0</v>
      </c>
      <c r="H17" s="30">
        <v>2</v>
      </c>
      <c r="I17" s="31">
        <v>1</v>
      </c>
      <c r="J17" s="31">
        <f t="shared" si="2"/>
        <v>1</v>
      </c>
      <c r="K17" s="29">
        <v>0</v>
      </c>
      <c r="L17" s="30">
        <v>1</v>
      </c>
      <c r="M17" s="31">
        <v>0</v>
      </c>
      <c r="N17" s="31">
        <f t="shared" si="3"/>
        <v>1</v>
      </c>
      <c r="O17" s="29">
        <v>0</v>
      </c>
      <c r="P17" s="30">
        <v>1</v>
      </c>
      <c r="Q17" s="31">
        <v>1</v>
      </c>
      <c r="R17" s="31">
        <f t="shared" si="4"/>
        <v>0</v>
      </c>
      <c r="S17" s="29">
        <v>1</v>
      </c>
      <c r="T17" s="30">
        <v>1</v>
      </c>
      <c r="U17" s="31">
        <v>1</v>
      </c>
      <c r="V17" s="31">
        <f t="shared" si="5"/>
        <v>0</v>
      </c>
      <c r="W17" s="29">
        <v>0</v>
      </c>
      <c r="X17" s="30">
        <v>1</v>
      </c>
      <c r="Y17" s="31">
        <v>1</v>
      </c>
      <c r="Z17" s="31">
        <f t="shared" si="6"/>
        <v>0</v>
      </c>
      <c r="AA17" s="29">
        <v>0</v>
      </c>
      <c r="AB17" s="30">
        <v>0</v>
      </c>
      <c r="AC17" s="31">
        <v>0</v>
      </c>
      <c r="AD17" s="31">
        <f t="shared" si="7"/>
        <v>0</v>
      </c>
      <c r="AE17" s="29">
        <v>0</v>
      </c>
      <c r="AF17" s="30">
        <v>1</v>
      </c>
      <c r="AG17" s="31">
        <v>1</v>
      </c>
      <c r="AH17" s="31">
        <f t="shared" si="8"/>
        <v>0</v>
      </c>
      <c r="AI17" s="29">
        <v>0</v>
      </c>
      <c r="AJ17" s="30">
        <v>0</v>
      </c>
      <c r="AK17" s="31">
        <v>0</v>
      </c>
      <c r="AL17" s="31">
        <f t="shared" si="9"/>
        <v>0</v>
      </c>
      <c r="AM17" s="29">
        <v>0</v>
      </c>
      <c r="AN17" s="30">
        <v>0</v>
      </c>
      <c r="AO17" s="31">
        <v>0</v>
      </c>
      <c r="AP17" s="31">
        <f t="shared" si="10"/>
        <v>0</v>
      </c>
      <c r="AQ17" s="29">
        <v>0</v>
      </c>
      <c r="AR17" s="30">
        <v>0</v>
      </c>
      <c r="AS17" s="31">
        <v>0</v>
      </c>
      <c r="AT17" s="31">
        <f t="shared" si="11"/>
        <v>0</v>
      </c>
      <c r="AU17" s="29">
        <v>0</v>
      </c>
      <c r="AV17" s="30">
        <v>1</v>
      </c>
      <c r="AW17" s="31">
        <v>1</v>
      </c>
      <c r="AX17" s="31">
        <f t="shared" si="12"/>
        <v>0</v>
      </c>
      <c r="AY17" s="29">
        <v>0</v>
      </c>
      <c r="AZ17" s="30">
        <v>1</v>
      </c>
      <c r="BA17" s="31">
        <v>0</v>
      </c>
      <c r="BB17" s="31">
        <f t="shared" si="13"/>
        <v>1</v>
      </c>
      <c r="BC17" s="29">
        <v>1</v>
      </c>
      <c r="BD17" s="30">
        <v>0</v>
      </c>
      <c r="BE17" s="31">
        <v>0</v>
      </c>
      <c r="BF17" s="31">
        <f t="shared" si="14"/>
        <v>0</v>
      </c>
      <c r="BG17" s="29">
        <v>0</v>
      </c>
      <c r="BH17" s="30">
        <v>0</v>
      </c>
      <c r="BI17" s="31">
        <v>0</v>
      </c>
      <c r="BJ17" s="31">
        <f t="shared" si="15"/>
        <v>0</v>
      </c>
      <c r="BK17" s="29">
        <v>0</v>
      </c>
      <c r="BL17" s="30">
        <v>0</v>
      </c>
      <c r="BM17" s="31">
        <v>0</v>
      </c>
      <c r="BN17" s="31">
        <f t="shared" si="16"/>
        <v>0</v>
      </c>
      <c r="BO17" s="29">
        <v>0</v>
      </c>
      <c r="BP17" s="30">
        <v>0</v>
      </c>
      <c r="BQ17" s="31">
        <v>0</v>
      </c>
      <c r="BR17" s="31">
        <f t="shared" si="17"/>
        <v>0</v>
      </c>
      <c r="BS17" s="29">
        <v>0</v>
      </c>
      <c r="BT17" s="30">
        <f t="shared" si="18"/>
        <v>8</v>
      </c>
      <c r="BU17" s="31">
        <f t="shared" si="19"/>
        <v>3</v>
      </c>
      <c r="BV17" s="31">
        <f t="shared" si="20"/>
        <v>2</v>
      </c>
      <c r="BW17" s="31">
        <f t="shared" si="21"/>
        <v>0.72727272727272729</v>
      </c>
      <c r="BX17" s="31">
        <f t="shared" si="22"/>
        <v>0.8</v>
      </c>
      <c r="BY17" s="29">
        <f t="shared" si="23"/>
        <v>0.76190476190476197</v>
      </c>
      <c r="CC17" s="133" t="s">
        <v>89</v>
      </c>
      <c r="CD17">
        <f>AVERAGE(BW31:BW32)</f>
        <v>0.75</v>
      </c>
      <c r="CE17">
        <f t="shared" ref="CE17:CF17" si="37">AVERAGE(BX31:BX32)</f>
        <v>0.85909090909090913</v>
      </c>
      <c r="CF17">
        <f t="shared" si="37"/>
        <v>0.80039525691699609</v>
      </c>
    </row>
    <row r="18" spans="1:84" x14ac:dyDescent="0.35">
      <c r="A18" s="56" t="s">
        <v>48</v>
      </c>
      <c r="B18" s="148"/>
      <c r="C18" s="29" t="s">
        <v>66</v>
      </c>
      <c r="D18" s="30">
        <v>2</v>
      </c>
      <c r="E18" s="31">
        <v>2</v>
      </c>
      <c r="F18" s="31">
        <f t="shared" si="1"/>
        <v>0</v>
      </c>
      <c r="G18" s="29">
        <v>0</v>
      </c>
      <c r="H18" s="30">
        <v>2</v>
      </c>
      <c r="I18" s="31">
        <v>2</v>
      </c>
      <c r="J18" s="31">
        <f t="shared" si="2"/>
        <v>0</v>
      </c>
      <c r="K18" s="29">
        <v>0</v>
      </c>
      <c r="L18" s="30">
        <v>1</v>
      </c>
      <c r="M18" s="31">
        <v>1</v>
      </c>
      <c r="N18" s="31">
        <f t="shared" si="3"/>
        <v>0</v>
      </c>
      <c r="O18" s="29">
        <v>0</v>
      </c>
      <c r="P18" s="30">
        <v>1</v>
      </c>
      <c r="Q18" s="31">
        <v>1</v>
      </c>
      <c r="R18" s="31">
        <f t="shared" si="4"/>
        <v>0</v>
      </c>
      <c r="S18" s="29">
        <v>1</v>
      </c>
      <c r="T18" s="30">
        <v>1</v>
      </c>
      <c r="U18" s="31">
        <v>1</v>
      </c>
      <c r="V18" s="31">
        <f t="shared" si="5"/>
        <v>0</v>
      </c>
      <c r="W18" s="29">
        <v>0</v>
      </c>
      <c r="X18" s="30">
        <v>1</v>
      </c>
      <c r="Y18" s="31">
        <v>1</v>
      </c>
      <c r="Z18" s="31">
        <f t="shared" si="6"/>
        <v>0</v>
      </c>
      <c r="AA18" s="29">
        <v>0</v>
      </c>
      <c r="AB18" s="30">
        <v>0</v>
      </c>
      <c r="AC18" s="31">
        <v>0</v>
      </c>
      <c r="AD18" s="31">
        <f t="shared" si="7"/>
        <v>0</v>
      </c>
      <c r="AE18" s="29">
        <v>0</v>
      </c>
      <c r="AF18" s="30">
        <v>1</v>
      </c>
      <c r="AG18" s="31">
        <v>1</v>
      </c>
      <c r="AH18" s="31">
        <f t="shared" si="8"/>
        <v>0</v>
      </c>
      <c r="AI18" s="29">
        <v>0</v>
      </c>
      <c r="AJ18" s="30">
        <v>0</v>
      </c>
      <c r="AK18" s="31">
        <v>0</v>
      </c>
      <c r="AL18" s="31">
        <f t="shared" si="9"/>
        <v>0</v>
      </c>
      <c r="AM18" s="29">
        <v>0</v>
      </c>
      <c r="AN18" s="30">
        <v>0</v>
      </c>
      <c r="AO18" s="31">
        <v>0</v>
      </c>
      <c r="AP18" s="31">
        <f t="shared" si="10"/>
        <v>0</v>
      </c>
      <c r="AQ18" s="29">
        <v>0</v>
      </c>
      <c r="AR18" s="30">
        <v>0</v>
      </c>
      <c r="AS18" s="31">
        <v>0</v>
      </c>
      <c r="AT18" s="31">
        <f t="shared" si="11"/>
        <v>0</v>
      </c>
      <c r="AU18" s="29">
        <v>0</v>
      </c>
      <c r="AV18" s="30">
        <v>1</v>
      </c>
      <c r="AW18" s="31">
        <v>1</v>
      </c>
      <c r="AX18" s="31">
        <f t="shared" si="12"/>
        <v>0</v>
      </c>
      <c r="AY18" s="29">
        <v>0</v>
      </c>
      <c r="AZ18" s="30">
        <v>1</v>
      </c>
      <c r="BA18" s="31">
        <v>0</v>
      </c>
      <c r="BB18" s="31">
        <f t="shared" si="13"/>
        <v>1</v>
      </c>
      <c r="BC18" s="29">
        <v>1</v>
      </c>
      <c r="BD18" s="30">
        <v>0</v>
      </c>
      <c r="BE18" s="31">
        <v>0</v>
      </c>
      <c r="BF18" s="31">
        <f t="shared" si="14"/>
        <v>0</v>
      </c>
      <c r="BG18" s="29">
        <v>0</v>
      </c>
      <c r="BH18" s="30">
        <v>0</v>
      </c>
      <c r="BI18" s="31">
        <v>0</v>
      </c>
      <c r="BJ18" s="31">
        <f t="shared" si="15"/>
        <v>0</v>
      </c>
      <c r="BK18" s="29">
        <v>0</v>
      </c>
      <c r="BL18" s="30">
        <v>0</v>
      </c>
      <c r="BM18" s="31">
        <v>0</v>
      </c>
      <c r="BN18" s="31">
        <f>BL18-BM18</f>
        <v>0</v>
      </c>
      <c r="BO18" s="29">
        <v>1</v>
      </c>
      <c r="BP18" s="30">
        <v>0</v>
      </c>
      <c r="BQ18" s="31">
        <v>0</v>
      </c>
      <c r="BR18" s="31">
        <f t="shared" si="17"/>
        <v>0</v>
      </c>
      <c r="BS18" s="29">
        <v>0</v>
      </c>
      <c r="BT18" s="30">
        <f t="shared" si="18"/>
        <v>10</v>
      </c>
      <c r="BU18" s="31">
        <f t="shared" si="19"/>
        <v>1</v>
      </c>
      <c r="BV18" s="31">
        <f t="shared" si="20"/>
        <v>3</v>
      </c>
      <c r="BW18" s="31">
        <f t="shared" si="21"/>
        <v>0.90909090909090906</v>
      </c>
      <c r="BX18" s="31">
        <f t="shared" si="22"/>
        <v>0.76923076923076927</v>
      </c>
      <c r="BY18" s="29">
        <f t="shared" si="23"/>
        <v>0.83333333333333326</v>
      </c>
      <c r="CC18" s="133" t="s">
        <v>90</v>
      </c>
      <c r="CD18">
        <f>AVERAGE(BW33:BW34)</f>
        <v>0.58333333333333337</v>
      </c>
      <c r="CE18">
        <f t="shared" ref="CE18:CF18" si="38">AVERAGE(BX33:BX34)</f>
        <v>1</v>
      </c>
      <c r="CF18">
        <f t="shared" si="38"/>
        <v>0.73684210526315785</v>
      </c>
    </row>
    <row r="19" spans="1:84" x14ac:dyDescent="0.35">
      <c r="A19" s="57" t="s">
        <v>48</v>
      </c>
      <c r="B19" s="148"/>
      <c r="C19" s="32" t="s">
        <v>34</v>
      </c>
      <c r="D19" s="33">
        <v>2</v>
      </c>
      <c r="E19" s="34">
        <v>2</v>
      </c>
      <c r="F19" s="34">
        <f t="shared" si="1"/>
        <v>0</v>
      </c>
      <c r="G19" s="32">
        <v>0</v>
      </c>
      <c r="H19" s="33">
        <v>2</v>
      </c>
      <c r="I19" s="34">
        <v>2</v>
      </c>
      <c r="J19" s="34">
        <f t="shared" si="2"/>
        <v>0</v>
      </c>
      <c r="K19" s="32">
        <v>0</v>
      </c>
      <c r="L19" s="33">
        <v>1</v>
      </c>
      <c r="M19" s="34">
        <v>1</v>
      </c>
      <c r="N19" s="34">
        <f t="shared" si="3"/>
        <v>0</v>
      </c>
      <c r="O19" s="32">
        <v>0</v>
      </c>
      <c r="P19" s="33">
        <v>1</v>
      </c>
      <c r="Q19" s="34">
        <v>1</v>
      </c>
      <c r="R19" s="34">
        <f t="shared" si="4"/>
        <v>0</v>
      </c>
      <c r="S19" s="32">
        <v>1</v>
      </c>
      <c r="T19" s="33">
        <v>1</v>
      </c>
      <c r="U19" s="34">
        <v>1</v>
      </c>
      <c r="V19" s="34">
        <f t="shared" si="5"/>
        <v>0</v>
      </c>
      <c r="W19" s="32">
        <v>0</v>
      </c>
      <c r="X19" s="33">
        <v>1</v>
      </c>
      <c r="Y19" s="34">
        <v>1</v>
      </c>
      <c r="Z19" s="34">
        <f t="shared" si="6"/>
        <v>0</v>
      </c>
      <c r="AA19" s="32">
        <v>0</v>
      </c>
      <c r="AB19" s="33">
        <v>1</v>
      </c>
      <c r="AC19" s="34">
        <v>1</v>
      </c>
      <c r="AD19" s="34">
        <f t="shared" si="7"/>
        <v>0</v>
      </c>
      <c r="AE19" s="32">
        <v>0</v>
      </c>
      <c r="AF19" s="33">
        <v>1</v>
      </c>
      <c r="AG19" s="34">
        <v>1</v>
      </c>
      <c r="AH19" s="34">
        <f t="shared" si="8"/>
        <v>0</v>
      </c>
      <c r="AI19" s="32">
        <v>0</v>
      </c>
      <c r="AJ19" s="33">
        <v>0</v>
      </c>
      <c r="AK19" s="34">
        <v>0</v>
      </c>
      <c r="AL19" s="34">
        <f t="shared" si="9"/>
        <v>0</v>
      </c>
      <c r="AM19" s="32">
        <v>0</v>
      </c>
      <c r="AN19" s="33">
        <v>0</v>
      </c>
      <c r="AO19" s="34">
        <v>0</v>
      </c>
      <c r="AP19" s="34">
        <f t="shared" si="10"/>
        <v>0</v>
      </c>
      <c r="AQ19" s="32">
        <v>0</v>
      </c>
      <c r="AR19" s="33">
        <v>0</v>
      </c>
      <c r="AS19" s="34">
        <v>0</v>
      </c>
      <c r="AT19" s="34">
        <f t="shared" si="11"/>
        <v>0</v>
      </c>
      <c r="AU19" s="32">
        <v>0</v>
      </c>
      <c r="AV19" s="33">
        <v>1</v>
      </c>
      <c r="AW19" s="34">
        <v>0</v>
      </c>
      <c r="AX19" s="34">
        <f t="shared" si="12"/>
        <v>1</v>
      </c>
      <c r="AY19" s="32">
        <v>1</v>
      </c>
      <c r="AZ19" s="33">
        <v>1</v>
      </c>
      <c r="BA19" s="34">
        <v>0</v>
      </c>
      <c r="BB19" s="34">
        <f t="shared" si="13"/>
        <v>1</v>
      </c>
      <c r="BC19" s="32">
        <v>1</v>
      </c>
      <c r="BD19" s="33">
        <v>0</v>
      </c>
      <c r="BE19" s="34">
        <v>0</v>
      </c>
      <c r="BF19" s="34">
        <f t="shared" si="14"/>
        <v>0</v>
      </c>
      <c r="BG19" s="32">
        <v>0</v>
      </c>
      <c r="BH19" s="33">
        <v>0</v>
      </c>
      <c r="BI19" s="34">
        <v>0</v>
      </c>
      <c r="BJ19" s="34">
        <f t="shared" si="15"/>
        <v>0</v>
      </c>
      <c r="BK19" s="32">
        <v>0</v>
      </c>
      <c r="BL19" s="33">
        <v>0</v>
      </c>
      <c r="BM19" s="34">
        <v>0</v>
      </c>
      <c r="BN19" s="34">
        <f t="shared" si="16"/>
        <v>0</v>
      </c>
      <c r="BO19" s="32">
        <v>0</v>
      </c>
      <c r="BP19" s="33">
        <v>0</v>
      </c>
      <c r="BQ19" s="34">
        <v>0</v>
      </c>
      <c r="BR19" s="34">
        <f t="shared" si="17"/>
        <v>0</v>
      </c>
      <c r="BS19" s="32">
        <v>1</v>
      </c>
      <c r="BT19" s="33">
        <f t="shared" si="18"/>
        <v>10</v>
      </c>
      <c r="BU19" s="34">
        <f t="shared" si="19"/>
        <v>2</v>
      </c>
      <c r="BV19" s="34">
        <f t="shared" si="20"/>
        <v>4</v>
      </c>
      <c r="BW19" s="34">
        <f t="shared" si="21"/>
        <v>0.83333333333333337</v>
      </c>
      <c r="BX19" s="34">
        <f t="shared" si="22"/>
        <v>0.7142857142857143</v>
      </c>
      <c r="BY19" s="32">
        <f t="shared" si="23"/>
        <v>0.76923076923076916</v>
      </c>
      <c r="CC19" s="133" t="s">
        <v>57</v>
      </c>
      <c r="CD19">
        <f>AVERAGE(CD3:CD18)</f>
        <v>0.82581026510254452</v>
      </c>
      <c r="CE19">
        <f t="shared" ref="CE19:CF19" si="39">AVERAGE(CE3:CE18)</f>
        <v>0.8703959212388489</v>
      </c>
      <c r="CF19">
        <f t="shared" si="39"/>
        <v>0.8378600880851772</v>
      </c>
    </row>
    <row r="20" spans="1:84" x14ac:dyDescent="0.35">
      <c r="A20" s="57" t="s">
        <v>48</v>
      </c>
      <c r="B20" s="148"/>
      <c r="C20" s="32" t="s">
        <v>67</v>
      </c>
      <c r="D20" s="33">
        <v>2</v>
      </c>
      <c r="E20" s="34">
        <v>2</v>
      </c>
      <c r="F20" s="34">
        <f t="shared" si="1"/>
        <v>0</v>
      </c>
      <c r="G20" s="32">
        <v>0</v>
      </c>
      <c r="H20" s="33">
        <v>2</v>
      </c>
      <c r="I20" s="34">
        <v>2</v>
      </c>
      <c r="J20" s="34">
        <f t="shared" si="2"/>
        <v>0</v>
      </c>
      <c r="K20" s="32">
        <v>0</v>
      </c>
      <c r="L20" s="33">
        <v>1</v>
      </c>
      <c r="M20" s="34">
        <v>1</v>
      </c>
      <c r="N20" s="34">
        <f t="shared" si="3"/>
        <v>0</v>
      </c>
      <c r="O20" s="32">
        <v>0</v>
      </c>
      <c r="P20" s="33">
        <v>1</v>
      </c>
      <c r="Q20" s="34">
        <v>1</v>
      </c>
      <c r="R20" s="34">
        <f t="shared" si="4"/>
        <v>0</v>
      </c>
      <c r="S20" s="32">
        <v>1</v>
      </c>
      <c r="T20" s="33">
        <v>1</v>
      </c>
      <c r="U20" s="34">
        <v>1</v>
      </c>
      <c r="V20" s="34">
        <f t="shared" si="5"/>
        <v>0</v>
      </c>
      <c r="W20" s="32">
        <v>0</v>
      </c>
      <c r="X20" s="33">
        <v>1</v>
      </c>
      <c r="Y20" s="34">
        <v>1</v>
      </c>
      <c r="Z20" s="34">
        <f t="shared" si="6"/>
        <v>0</v>
      </c>
      <c r="AA20" s="32">
        <v>0</v>
      </c>
      <c r="AB20" s="33">
        <v>1</v>
      </c>
      <c r="AC20" s="34">
        <v>1</v>
      </c>
      <c r="AD20" s="34">
        <f t="shared" si="7"/>
        <v>0</v>
      </c>
      <c r="AE20" s="32">
        <v>0</v>
      </c>
      <c r="AF20" s="33">
        <v>1</v>
      </c>
      <c r="AG20" s="34">
        <v>1</v>
      </c>
      <c r="AH20" s="34">
        <f t="shared" si="8"/>
        <v>0</v>
      </c>
      <c r="AI20" s="32">
        <v>0</v>
      </c>
      <c r="AJ20" s="33">
        <v>0</v>
      </c>
      <c r="AK20" s="34">
        <v>0</v>
      </c>
      <c r="AL20" s="34">
        <f t="shared" si="9"/>
        <v>0</v>
      </c>
      <c r="AM20" s="32">
        <v>0</v>
      </c>
      <c r="AN20" s="33">
        <v>0</v>
      </c>
      <c r="AO20" s="34">
        <v>0</v>
      </c>
      <c r="AP20" s="34">
        <f t="shared" si="10"/>
        <v>0</v>
      </c>
      <c r="AQ20" s="32">
        <v>0</v>
      </c>
      <c r="AR20" s="33">
        <v>0</v>
      </c>
      <c r="AS20" s="34">
        <v>0</v>
      </c>
      <c r="AT20" s="34">
        <f t="shared" si="11"/>
        <v>0</v>
      </c>
      <c r="AU20" s="32">
        <v>0</v>
      </c>
      <c r="AV20" s="33">
        <v>1</v>
      </c>
      <c r="AW20" s="34">
        <v>0</v>
      </c>
      <c r="AX20" s="34">
        <f t="shared" si="12"/>
        <v>1</v>
      </c>
      <c r="AY20" s="32">
        <v>1</v>
      </c>
      <c r="AZ20" s="33">
        <v>1</v>
      </c>
      <c r="BA20" s="34">
        <v>0</v>
      </c>
      <c r="BB20" s="34">
        <f t="shared" si="13"/>
        <v>1</v>
      </c>
      <c r="BC20" s="32">
        <v>1</v>
      </c>
      <c r="BD20" s="33">
        <v>0</v>
      </c>
      <c r="BE20" s="34">
        <v>0</v>
      </c>
      <c r="BF20" s="34">
        <f t="shared" si="14"/>
        <v>0</v>
      </c>
      <c r="BG20" s="32">
        <v>0</v>
      </c>
      <c r="BH20" s="33">
        <v>0</v>
      </c>
      <c r="BI20" s="34">
        <v>0</v>
      </c>
      <c r="BJ20" s="34">
        <f t="shared" si="15"/>
        <v>0</v>
      </c>
      <c r="BK20" s="32">
        <v>0</v>
      </c>
      <c r="BL20" s="33">
        <v>0</v>
      </c>
      <c r="BM20" s="34">
        <v>0</v>
      </c>
      <c r="BN20" s="34">
        <f t="shared" si="16"/>
        <v>0</v>
      </c>
      <c r="BO20" s="32">
        <v>1</v>
      </c>
      <c r="BP20" s="33">
        <v>0</v>
      </c>
      <c r="BQ20" s="34">
        <v>0</v>
      </c>
      <c r="BR20" s="34">
        <f t="shared" si="17"/>
        <v>0</v>
      </c>
      <c r="BS20" s="32">
        <v>0</v>
      </c>
      <c r="BT20" s="33">
        <f t="shared" si="18"/>
        <v>10</v>
      </c>
      <c r="BU20" s="34">
        <f t="shared" si="19"/>
        <v>2</v>
      </c>
      <c r="BV20" s="34">
        <f t="shared" si="20"/>
        <v>4</v>
      </c>
      <c r="BW20" s="34">
        <f t="shared" si="21"/>
        <v>0.83333333333333337</v>
      </c>
      <c r="BX20" s="34">
        <f t="shared" si="22"/>
        <v>0.7142857142857143</v>
      </c>
      <c r="BY20" s="32">
        <f t="shared" si="23"/>
        <v>0.76923076923076916</v>
      </c>
    </row>
    <row r="21" spans="1:84" x14ac:dyDescent="0.35">
      <c r="A21" s="58" t="s">
        <v>48</v>
      </c>
      <c r="B21" s="148"/>
      <c r="C21" s="35" t="s">
        <v>35</v>
      </c>
      <c r="D21" s="36">
        <v>2</v>
      </c>
      <c r="E21" s="37">
        <v>2</v>
      </c>
      <c r="F21" s="37">
        <f t="shared" si="1"/>
        <v>0</v>
      </c>
      <c r="G21" s="35">
        <v>0</v>
      </c>
      <c r="H21" s="36">
        <v>2</v>
      </c>
      <c r="I21" s="37">
        <v>0</v>
      </c>
      <c r="J21" s="37">
        <f t="shared" si="2"/>
        <v>2</v>
      </c>
      <c r="K21" s="35">
        <v>0</v>
      </c>
      <c r="L21" s="36">
        <v>3</v>
      </c>
      <c r="M21" s="37">
        <v>0</v>
      </c>
      <c r="N21" s="37">
        <f t="shared" si="3"/>
        <v>3</v>
      </c>
      <c r="O21" s="35">
        <v>0</v>
      </c>
      <c r="P21" s="36">
        <v>2</v>
      </c>
      <c r="Q21" s="37">
        <v>2</v>
      </c>
      <c r="R21" s="37">
        <f t="shared" si="4"/>
        <v>0</v>
      </c>
      <c r="S21" s="35">
        <v>1</v>
      </c>
      <c r="T21" s="36">
        <v>2</v>
      </c>
      <c r="U21" s="37">
        <v>2</v>
      </c>
      <c r="V21" s="37">
        <f t="shared" si="5"/>
        <v>0</v>
      </c>
      <c r="W21" s="35">
        <v>0</v>
      </c>
      <c r="X21" s="36">
        <v>2</v>
      </c>
      <c r="Y21" s="37">
        <v>2</v>
      </c>
      <c r="Z21" s="37">
        <f t="shared" si="6"/>
        <v>0</v>
      </c>
      <c r="AA21" s="35">
        <v>0</v>
      </c>
      <c r="AB21" s="36">
        <v>0</v>
      </c>
      <c r="AC21" s="37">
        <v>0</v>
      </c>
      <c r="AD21" s="37">
        <f t="shared" si="7"/>
        <v>0</v>
      </c>
      <c r="AE21" s="35">
        <v>0</v>
      </c>
      <c r="AF21" s="36">
        <v>2</v>
      </c>
      <c r="AG21" s="37">
        <v>2</v>
      </c>
      <c r="AH21" s="37">
        <f t="shared" si="8"/>
        <v>0</v>
      </c>
      <c r="AI21" s="35">
        <v>0</v>
      </c>
      <c r="AJ21" s="36">
        <v>0</v>
      </c>
      <c r="AK21" s="37">
        <v>0</v>
      </c>
      <c r="AL21" s="37">
        <f t="shared" si="9"/>
        <v>0</v>
      </c>
      <c r="AM21" s="35">
        <v>0</v>
      </c>
      <c r="AN21" s="36">
        <v>0</v>
      </c>
      <c r="AO21" s="37">
        <v>0</v>
      </c>
      <c r="AP21" s="37">
        <f t="shared" si="10"/>
        <v>0</v>
      </c>
      <c r="AQ21" s="35">
        <v>0</v>
      </c>
      <c r="AR21" s="36">
        <v>0</v>
      </c>
      <c r="AS21" s="37">
        <v>0</v>
      </c>
      <c r="AT21" s="37">
        <f t="shared" si="11"/>
        <v>0</v>
      </c>
      <c r="AU21" s="35">
        <v>0</v>
      </c>
      <c r="AV21" s="36">
        <v>1</v>
      </c>
      <c r="AW21" s="37">
        <v>0</v>
      </c>
      <c r="AX21" s="37">
        <f t="shared" si="12"/>
        <v>1</v>
      </c>
      <c r="AY21" s="35">
        <v>1</v>
      </c>
      <c r="AZ21" s="36">
        <v>1</v>
      </c>
      <c r="BA21" s="37">
        <v>0</v>
      </c>
      <c r="BB21" s="37">
        <f t="shared" si="13"/>
        <v>1</v>
      </c>
      <c r="BC21" s="35">
        <v>1</v>
      </c>
      <c r="BD21" s="36">
        <v>0</v>
      </c>
      <c r="BE21" s="37">
        <v>0</v>
      </c>
      <c r="BF21" s="37">
        <f t="shared" si="14"/>
        <v>0</v>
      </c>
      <c r="BG21" s="35">
        <v>0</v>
      </c>
      <c r="BH21" s="36">
        <v>0</v>
      </c>
      <c r="BI21" s="37">
        <v>0</v>
      </c>
      <c r="BJ21" s="37">
        <f t="shared" si="15"/>
        <v>0</v>
      </c>
      <c r="BK21" s="35">
        <v>0</v>
      </c>
      <c r="BL21" s="36">
        <v>0</v>
      </c>
      <c r="BM21" s="37">
        <v>0</v>
      </c>
      <c r="BN21" s="37">
        <f t="shared" si="16"/>
        <v>0</v>
      </c>
      <c r="BO21" s="35">
        <v>0</v>
      </c>
      <c r="BP21" s="36">
        <v>0</v>
      </c>
      <c r="BQ21" s="37">
        <v>0</v>
      </c>
      <c r="BR21" s="37">
        <f t="shared" si="17"/>
        <v>0</v>
      </c>
      <c r="BS21" s="35">
        <v>0</v>
      </c>
      <c r="BT21" s="36">
        <f t="shared" si="18"/>
        <v>10</v>
      </c>
      <c r="BU21" s="37">
        <f t="shared" si="19"/>
        <v>7</v>
      </c>
      <c r="BV21" s="37">
        <f t="shared" si="20"/>
        <v>3</v>
      </c>
      <c r="BW21" s="37">
        <f t="shared" si="21"/>
        <v>0.58823529411764708</v>
      </c>
      <c r="BX21" s="37">
        <f t="shared" si="22"/>
        <v>0.76923076923076927</v>
      </c>
      <c r="BY21" s="35">
        <f t="shared" si="23"/>
        <v>0.66666666666666674</v>
      </c>
    </row>
    <row r="22" spans="1:84" x14ac:dyDescent="0.35">
      <c r="A22" s="58" t="s">
        <v>48</v>
      </c>
      <c r="B22" s="148"/>
      <c r="C22" s="35" t="s">
        <v>68</v>
      </c>
      <c r="D22" s="36">
        <v>2</v>
      </c>
      <c r="E22" s="37">
        <v>2</v>
      </c>
      <c r="F22" s="37">
        <f t="shared" si="1"/>
        <v>0</v>
      </c>
      <c r="G22" s="35">
        <v>0</v>
      </c>
      <c r="H22" s="36">
        <v>2</v>
      </c>
      <c r="I22" s="37">
        <v>0</v>
      </c>
      <c r="J22" s="37">
        <f t="shared" si="2"/>
        <v>2</v>
      </c>
      <c r="K22" s="35">
        <v>0</v>
      </c>
      <c r="L22" s="36">
        <v>3</v>
      </c>
      <c r="M22" s="37">
        <v>0</v>
      </c>
      <c r="N22" s="37">
        <f t="shared" si="3"/>
        <v>3</v>
      </c>
      <c r="O22" s="35">
        <v>0</v>
      </c>
      <c r="P22" s="36">
        <v>2</v>
      </c>
      <c r="Q22" s="37">
        <v>2</v>
      </c>
      <c r="R22" s="37">
        <f t="shared" si="4"/>
        <v>0</v>
      </c>
      <c r="S22" s="35">
        <v>1</v>
      </c>
      <c r="T22" s="36">
        <v>2</v>
      </c>
      <c r="U22" s="37">
        <v>2</v>
      </c>
      <c r="V22" s="37">
        <f t="shared" si="5"/>
        <v>0</v>
      </c>
      <c r="W22" s="35">
        <v>0</v>
      </c>
      <c r="X22" s="36">
        <v>2</v>
      </c>
      <c r="Y22" s="37">
        <v>2</v>
      </c>
      <c r="Z22" s="37">
        <f t="shared" si="6"/>
        <v>0</v>
      </c>
      <c r="AA22" s="35">
        <v>0</v>
      </c>
      <c r="AB22" s="36">
        <v>0</v>
      </c>
      <c r="AC22" s="37">
        <v>0</v>
      </c>
      <c r="AD22" s="37">
        <f t="shared" si="7"/>
        <v>0</v>
      </c>
      <c r="AE22" s="35">
        <v>0</v>
      </c>
      <c r="AF22" s="36">
        <v>2</v>
      </c>
      <c r="AG22" s="37">
        <v>2</v>
      </c>
      <c r="AH22" s="37">
        <f t="shared" si="8"/>
        <v>0</v>
      </c>
      <c r="AI22" s="35">
        <v>0</v>
      </c>
      <c r="AJ22" s="36">
        <v>0</v>
      </c>
      <c r="AK22" s="37">
        <v>0</v>
      </c>
      <c r="AL22" s="37">
        <f t="shared" si="9"/>
        <v>0</v>
      </c>
      <c r="AM22" s="35">
        <v>0</v>
      </c>
      <c r="AN22" s="36">
        <v>0</v>
      </c>
      <c r="AO22" s="37">
        <v>0</v>
      </c>
      <c r="AP22" s="37">
        <f t="shared" si="10"/>
        <v>0</v>
      </c>
      <c r="AQ22" s="35">
        <v>0</v>
      </c>
      <c r="AR22" s="36">
        <v>0</v>
      </c>
      <c r="AS22" s="37">
        <v>0</v>
      </c>
      <c r="AT22" s="37">
        <f t="shared" si="11"/>
        <v>0</v>
      </c>
      <c r="AU22" s="35">
        <v>0</v>
      </c>
      <c r="AV22" s="36">
        <v>1</v>
      </c>
      <c r="AW22" s="37">
        <v>1</v>
      </c>
      <c r="AX22" s="37">
        <f t="shared" si="12"/>
        <v>0</v>
      </c>
      <c r="AY22" s="35">
        <v>0</v>
      </c>
      <c r="AZ22" s="36">
        <v>1</v>
      </c>
      <c r="BA22" s="37">
        <v>0</v>
      </c>
      <c r="BB22" s="37">
        <f t="shared" si="13"/>
        <v>1</v>
      </c>
      <c r="BC22" s="35">
        <v>1</v>
      </c>
      <c r="BD22" s="36">
        <v>0</v>
      </c>
      <c r="BE22" s="37">
        <v>0</v>
      </c>
      <c r="BF22" s="37">
        <f t="shared" si="14"/>
        <v>0</v>
      </c>
      <c r="BG22" s="35">
        <v>0</v>
      </c>
      <c r="BH22" s="36">
        <v>0</v>
      </c>
      <c r="BI22" s="37">
        <v>0</v>
      </c>
      <c r="BJ22" s="37">
        <f t="shared" si="15"/>
        <v>0</v>
      </c>
      <c r="BK22" s="35">
        <v>0</v>
      </c>
      <c r="BL22" s="36">
        <v>0</v>
      </c>
      <c r="BM22" s="37">
        <v>0</v>
      </c>
      <c r="BN22" s="37">
        <f t="shared" si="16"/>
        <v>0</v>
      </c>
      <c r="BO22" s="35">
        <v>0</v>
      </c>
      <c r="BP22" s="36">
        <v>0</v>
      </c>
      <c r="BQ22" s="37">
        <v>0</v>
      </c>
      <c r="BR22" s="37">
        <f t="shared" si="17"/>
        <v>0</v>
      </c>
      <c r="BS22" s="35">
        <v>0</v>
      </c>
      <c r="BT22" s="36">
        <f t="shared" si="18"/>
        <v>11</v>
      </c>
      <c r="BU22" s="37">
        <f t="shared" si="19"/>
        <v>6</v>
      </c>
      <c r="BV22" s="37">
        <f t="shared" si="20"/>
        <v>2</v>
      </c>
      <c r="BW22" s="37">
        <f t="shared" si="21"/>
        <v>0.6470588235294118</v>
      </c>
      <c r="BX22" s="37">
        <f t="shared" si="22"/>
        <v>0.84615384615384615</v>
      </c>
      <c r="BY22" s="35">
        <f t="shared" si="23"/>
        <v>0.73333333333333339</v>
      </c>
    </row>
    <row r="23" spans="1:84" x14ac:dyDescent="0.35">
      <c r="A23" s="59" t="s">
        <v>48</v>
      </c>
      <c r="B23" s="148"/>
      <c r="C23" s="38" t="s">
        <v>36</v>
      </c>
      <c r="D23" s="39">
        <v>2</v>
      </c>
      <c r="E23" s="40">
        <v>2</v>
      </c>
      <c r="F23" s="40">
        <f t="shared" si="1"/>
        <v>0</v>
      </c>
      <c r="G23" s="38">
        <v>0</v>
      </c>
      <c r="H23" s="39">
        <v>2</v>
      </c>
      <c r="I23" s="40">
        <v>2</v>
      </c>
      <c r="J23" s="40">
        <f t="shared" si="2"/>
        <v>0</v>
      </c>
      <c r="K23" s="38">
        <v>0</v>
      </c>
      <c r="L23" s="39">
        <v>0</v>
      </c>
      <c r="M23" s="40">
        <v>0</v>
      </c>
      <c r="N23" s="40">
        <f t="shared" si="3"/>
        <v>0</v>
      </c>
      <c r="O23" s="38">
        <v>0</v>
      </c>
      <c r="P23" s="39">
        <v>1</v>
      </c>
      <c r="Q23" s="40">
        <v>1</v>
      </c>
      <c r="R23" s="40">
        <f t="shared" si="4"/>
        <v>0</v>
      </c>
      <c r="S23" s="38">
        <v>1</v>
      </c>
      <c r="T23" s="39">
        <v>1</v>
      </c>
      <c r="U23" s="40">
        <v>1</v>
      </c>
      <c r="V23" s="40">
        <f t="shared" si="5"/>
        <v>0</v>
      </c>
      <c r="W23" s="38">
        <v>0</v>
      </c>
      <c r="X23" s="39">
        <v>1</v>
      </c>
      <c r="Y23" s="40">
        <v>1</v>
      </c>
      <c r="Z23" s="40">
        <f t="shared" si="6"/>
        <v>0</v>
      </c>
      <c r="AA23" s="38">
        <v>0</v>
      </c>
      <c r="AB23" s="39">
        <v>1</v>
      </c>
      <c r="AC23" s="40">
        <v>1</v>
      </c>
      <c r="AD23" s="40">
        <f t="shared" si="7"/>
        <v>0</v>
      </c>
      <c r="AE23" s="38">
        <v>0</v>
      </c>
      <c r="AF23" s="39">
        <v>1</v>
      </c>
      <c r="AG23" s="40">
        <v>1</v>
      </c>
      <c r="AH23" s="40">
        <f t="shared" si="8"/>
        <v>0</v>
      </c>
      <c r="AI23" s="38">
        <v>0</v>
      </c>
      <c r="AJ23" s="39">
        <v>0</v>
      </c>
      <c r="AK23" s="40">
        <v>0</v>
      </c>
      <c r="AL23" s="40">
        <f t="shared" si="9"/>
        <v>0</v>
      </c>
      <c r="AM23" s="38">
        <v>0</v>
      </c>
      <c r="AN23" s="39">
        <v>0</v>
      </c>
      <c r="AO23" s="40">
        <v>0</v>
      </c>
      <c r="AP23" s="40">
        <f t="shared" si="10"/>
        <v>0</v>
      </c>
      <c r="AQ23" s="38">
        <v>0</v>
      </c>
      <c r="AR23" s="39">
        <v>1</v>
      </c>
      <c r="AS23" s="40">
        <v>0</v>
      </c>
      <c r="AT23" s="40">
        <f t="shared" si="11"/>
        <v>1</v>
      </c>
      <c r="AU23" s="38">
        <v>0</v>
      </c>
      <c r="AV23" s="39">
        <v>0</v>
      </c>
      <c r="AW23" s="40">
        <v>0</v>
      </c>
      <c r="AX23" s="40">
        <f t="shared" si="12"/>
        <v>0</v>
      </c>
      <c r="AY23" s="38">
        <v>1</v>
      </c>
      <c r="AZ23" s="39">
        <v>1</v>
      </c>
      <c r="BA23" s="40">
        <v>1</v>
      </c>
      <c r="BB23" s="40">
        <f t="shared" si="13"/>
        <v>0</v>
      </c>
      <c r="BC23" s="38">
        <v>0</v>
      </c>
      <c r="BD23" s="39">
        <v>0</v>
      </c>
      <c r="BE23" s="40">
        <v>0</v>
      </c>
      <c r="BF23" s="40">
        <f t="shared" si="14"/>
        <v>0</v>
      </c>
      <c r="BG23" s="38">
        <v>0</v>
      </c>
      <c r="BH23" s="39">
        <v>0</v>
      </c>
      <c r="BI23" s="40">
        <v>0</v>
      </c>
      <c r="BJ23" s="40">
        <f t="shared" si="15"/>
        <v>0</v>
      </c>
      <c r="BK23" s="38">
        <v>0</v>
      </c>
      <c r="BL23" s="39">
        <v>0</v>
      </c>
      <c r="BM23" s="40">
        <v>0</v>
      </c>
      <c r="BN23" s="40">
        <f t="shared" si="16"/>
        <v>0</v>
      </c>
      <c r="BO23" s="38">
        <v>0</v>
      </c>
      <c r="BP23" s="39">
        <v>0</v>
      </c>
      <c r="BQ23" s="40">
        <v>0</v>
      </c>
      <c r="BR23" s="40">
        <f t="shared" si="17"/>
        <v>0</v>
      </c>
      <c r="BS23" s="38">
        <v>0</v>
      </c>
      <c r="BT23" s="39">
        <f t="shared" si="18"/>
        <v>10</v>
      </c>
      <c r="BU23" s="40">
        <f t="shared" si="19"/>
        <v>1</v>
      </c>
      <c r="BV23" s="40">
        <f t="shared" si="20"/>
        <v>2</v>
      </c>
      <c r="BW23" s="40">
        <f t="shared" si="21"/>
        <v>0.90909090909090906</v>
      </c>
      <c r="BX23" s="40">
        <f t="shared" si="22"/>
        <v>0.83333333333333337</v>
      </c>
      <c r="BY23" s="38">
        <f t="shared" si="23"/>
        <v>0.86956521739130432</v>
      </c>
    </row>
    <row r="24" spans="1:84" x14ac:dyDescent="0.35">
      <c r="A24" s="59" t="s">
        <v>48</v>
      </c>
      <c r="B24" s="148"/>
      <c r="C24" s="38" t="s">
        <v>69</v>
      </c>
      <c r="D24" s="39">
        <v>2</v>
      </c>
      <c r="E24" s="40">
        <v>2</v>
      </c>
      <c r="F24" s="40">
        <f t="shared" si="1"/>
        <v>0</v>
      </c>
      <c r="G24" s="38">
        <v>0</v>
      </c>
      <c r="H24" s="39">
        <v>2</v>
      </c>
      <c r="I24" s="40">
        <v>2</v>
      </c>
      <c r="J24" s="40">
        <f t="shared" si="2"/>
        <v>0</v>
      </c>
      <c r="K24" s="38">
        <v>0</v>
      </c>
      <c r="L24" s="39">
        <v>0</v>
      </c>
      <c r="M24" s="40">
        <v>0</v>
      </c>
      <c r="N24" s="40">
        <f t="shared" si="3"/>
        <v>0</v>
      </c>
      <c r="O24" s="38">
        <v>0</v>
      </c>
      <c r="P24" s="39">
        <v>1</v>
      </c>
      <c r="Q24" s="40">
        <v>1</v>
      </c>
      <c r="R24" s="40">
        <f t="shared" si="4"/>
        <v>0</v>
      </c>
      <c r="S24" s="38">
        <v>1</v>
      </c>
      <c r="T24" s="39">
        <v>1</v>
      </c>
      <c r="U24" s="40">
        <v>1</v>
      </c>
      <c r="V24" s="40">
        <f t="shared" si="5"/>
        <v>0</v>
      </c>
      <c r="W24" s="38">
        <v>0</v>
      </c>
      <c r="X24" s="39">
        <v>1</v>
      </c>
      <c r="Y24" s="40">
        <v>1</v>
      </c>
      <c r="Z24" s="40">
        <f t="shared" si="6"/>
        <v>0</v>
      </c>
      <c r="AA24" s="38">
        <v>0</v>
      </c>
      <c r="AB24" s="39">
        <v>1</v>
      </c>
      <c r="AC24" s="40">
        <v>1</v>
      </c>
      <c r="AD24" s="40">
        <f t="shared" si="7"/>
        <v>0</v>
      </c>
      <c r="AE24" s="38">
        <v>0</v>
      </c>
      <c r="AF24" s="39">
        <v>1</v>
      </c>
      <c r="AG24" s="40">
        <v>1</v>
      </c>
      <c r="AH24" s="40">
        <f t="shared" si="8"/>
        <v>0</v>
      </c>
      <c r="AI24" s="38">
        <v>0</v>
      </c>
      <c r="AJ24" s="39">
        <v>0</v>
      </c>
      <c r="AK24" s="40">
        <v>0</v>
      </c>
      <c r="AL24" s="40">
        <f t="shared" si="9"/>
        <v>0</v>
      </c>
      <c r="AM24" s="38">
        <v>0</v>
      </c>
      <c r="AN24" s="39">
        <v>0</v>
      </c>
      <c r="AO24" s="40">
        <v>0</v>
      </c>
      <c r="AP24" s="40">
        <f t="shared" si="10"/>
        <v>0</v>
      </c>
      <c r="AQ24" s="38">
        <v>0</v>
      </c>
      <c r="AR24" s="39">
        <v>1</v>
      </c>
      <c r="AS24" s="40">
        <v>0</v>
      </c>
      <c r="AT24" s="40">
        <f t="shared" si="11"/>
        <v>1</v>
      </c>
      <c r="AU24" s="38">
        <v>0</v>
      </c>
      <c r="AV24" s="39">
        <v>0</v>
      </c>
      <c r="AW24" s="40">
        <v>0</v>
      </c>
      <c r="AX24" s="40">
        <f t="shared" si="12"/>
        <v>0</v>
      </c>
      <c r="AY24" s="38">
        <v>1</v>
      </c>
      <c r="AZ24" s="39">
        <v>1</v>
      </c>
      <c r="BA24" s="40">
        <v>1</v>
      </c>
      <c r="BB24" s="40">
        <f t="shared" si="13"/>
        <v>0</v>
      </c>
      <c r="BC24" s="38">
        <v>0</v>
      </c>
      <c r="BD24" s="39">
        <v>0</v>
      </c>
      <c r="BE24" s="40">
        <v>0</v>
      </c>
      <c r="BF24" s="40">
        <f t="shared" si="14"/>
        <v>0</v>
      </c>
      <c r="BG24" s="38">
        <v>0</v>
      </c>
      <c r="BH24" s="39">
        <v>0</v>
      </c>
      <c r="BI24" s="40">
        <v>0</v>
      </c>
      <c r="BJ24" s="40">
        <f t="shared" si="15"/>
        <v>0</v>
      </c>
      <c r="BK24" s="38">
        <v>0</v>
      </c>
      <c r="BL24" s="39">
        <v>0</v>
      </c>
      <c r="BM24" s="40">
        <v>0</v>
      </c>
      <c r="BN24" s="40">
        <f t="shared" si="16"/>
        <v>0</v>
      </c>
      <c r="BO24" s="38">
        <v>1</v>
      </c>
      <c r="BP24" s="39">
        <v>0</v>
      </c>
      <c r="BQ24" s="40">
        <v>0</v>
      </c>
      <c r="BR24" s="40">
        <f t="shared" si="17"/>
        <v>0</v>
      </c>
      <c r="BS24" s="38">
        <v>0</v>
      </c>
      <c r="BT24" s="39">
        <f t="shared" si="18"/>
        <v>10</v>
      </c>
      <c r="BU24" s="40">
        <f t="shared" si="19"/>
        <v>1</v>
      </c>
      <c r="BV24" s="40">
        <f t="shared" si="20"/>
        <v>3</v>
      </c>
      <c r="BW24" s="40">
        <f t="shared" si="21"/>
        <v>0.90909090909090906</v>
      </c>
      <c r="BX24" s="40">
        <f t="shared" si="22"/>
        <v>0.76923076923076927</v>
      </c>
      <c r="BY24" s="38">
        <f t="shared" si="23"/>
        <v>0.83333333333333326</v>
      </c>
    </row>
    <row r="25" spans="1:84" x14ac:dyDescent="0.35">
      <c r="A25" s="60" t="s">
        <v>48</v>
      </c>
      <c r="B25" s="148"/>
      <c r="C25" s="41" t="s">
        <v>37</v>
      </c>
      <c r="D25" s="42">
        <v>2</v>
      </c>
      <c r="E25" s="43">
        <v>2</v>
      </c>
      <c r="F25" s="43">
        <f t="shared" si="1"/>
        <v>0</v>
      </c>
      <c r="G25" s="41">
        <v>0</v>
      </c>
      <c r="H25" s="42">
        <v>2</v>
      </c>
      <c r="I25" s="43">
        <v>2</v>
      </c>
      <c r="J25" s="43">
        <f t="shared" si="2"/>
        <v>0</v>
      </c>
      <c r="K25" s="41">
        <v>0</v>
      </c>
      <c r="L25" s="42">
        <v>0</v>
      </c>
      <c r="M25" s="43">
        <v>0</v>
      </c>
      <c r="N25" s="43">
        <f t="shared" si="3"/>
        <v>0</v>
      </c>
      <c r="O25" s="41">
        <v>0</v>
      </c>
      <c r="P25" s="42">
        <v>2</v>
      </c>
      <c r="Q25" s="43">
        <v>2</v>
      </c>
      <c r="R25" s="43">
        <f t="shared" si="4"/>
        <v>0</v>
      </c>
      <c r="S25" s="41">
        <v>2</v>
      </c>
      <c r="T25" s="42">
        <v>2</v>
      </c>
      <c r="U25" s="43">
        <v>2</v>
      </c>
      <c r="V25" s="43">
        <f t="shared" si="5"/>
        <v>0</v>
      </c>
      <c r="W25" s="41">
        <v>0</v>
      </c>
      <c r="X25" s="42">
        <v>2</v>
      </c>
      <c r="Y25" s="43">
        <v>2</v>
      </c>
      <c r="Z25" s="43">
        <f t="shared" si="6"/>
        <v>0</v>
      </c>
      <c r="AA25" s="41">
        <v>0</v>
      </c>
      <c r="AB25" s="42">
        <v>2</v>
      </c>
      <c r="AC25" s="43">
        <v>2</v>
      </c>
      <c r="AD25" s="43">
        <f t="shared" si="7"/>
        <v>0</v>
      </c>
      <c r="AE25" s="41">
        <v>0</v>
      </c>
      <c r="AF25" s="42">
        <v>2</v>
      </c>
      <c r="AG25" s="43">
        <v>2</v>
      </c>
      <c r="AH25" s="43">
        <f t="shared" si="8"/>
        <v>0</v>
      </c>
      <c r="AI25" s="41">
        <v>0</v>
      </c>
      <c r="AJ25" s="42">
        <v>0</v>
      </c>
      <c r="AK25" s="43">
        <v>0</v>
      </c>
      <c r="AL25" s="43">
        <f t="shared" si="9"/>
        <v>0</v>
      </c>
      <c r="AM25" s="41">
        <v>0</v>
      </c>
      <c r="AN25" s="42">
        <v>0</v>
      </c>
      <c r="AO25" s="43">
        <v>0</v>
      </c>
      <c r="AP25" s="43">
        <f t="shared" si="10"/>
        <v>0</v>
      </c>
      <c r="AQ25" s="41">
        <v>0</v>
      </c>
      <c r="AR25" s="42">
        <v>1</v>
      </c>
      <c r="AS25" s="43">
        <v>0</v>
      </c>
      <c r="AT25" s="43">
        <f t="shared" si="11"/>
        <v>1</v>
      </c>
      <c r="AU25" s="41">
        <v>0</v>
      </c>
      <c r="AV25" s="42">
        <v>0</v>
      </c>
      <c r="AW25" s="43">
        <v>0</v>
      </c>
      <c r="AX25" s="43">
        <f t="shared" si="12"/>
        <v>0</v>
      </c>
      <c r="AY25" s="41">
        <v>1</v>
      </c>
      <c r="AZ25" s="42">
        <v>1</v>
      </c>
      <c r="BA25" s="43">
        <v>0</v>
      </c>
      <c r="BB25" s="43">
        <f t="shared" si="13"/>
        <v>1</v>
      </c>
      <c r="BC25" s="41">
        <v>1</v>
      </c>
      <c r="BD25" s="42">
        <v>0</v>
      </c>
      <c r="BE25" s="43">
        <v>0</v>
      </c>
      <c r="BF25" s="43">
        <f t="shared" si="14"/>
        <v>0</v>
      </c>
      <c r="BG25" s="41">
        <v>0</v>
      </c>
      <c r="BH25" s="42">
        <v>0</v>
      </c>
      <c r="BI25" s="43">
        <v>0</v>
      </c>
      <c r="BJ25" s="43">
        <f t="shared" si="15"/>
        <v>0</v>
      </c>
      <c r="BK25" s="41">
        <v>0</v>
      </c>
      <c r="BL25" s="42">
        <v>0</v>
      </c>
      <c r="BM25" s="43">
        <v>0</v>
      </c>
      <c r="BN25" s="43">
        <f t="shared" si="16"/>
        <v>0</v>
      </c>
      <c r="BO25" s="41">
        <v>1</v>
      </c>
      <c r="BP25" s="42">
        <v>0</v>
      </c>
      <c r="BQ25" s="43">
        <v>0</v>
      </c>
      <c r="BR25" s="43">
        <f t="shared" si="17"/>
        <v>0</v>
      </c>
      <c r="BS25" s="41">
        <v>0</v>
      </c>
      <c r="BT25" s="42">
        <f t="shared" si="18"/>
        <v>14</v>
      </c>
      <c r="BU25" s="43">
        <f t="shared" si="19"/>
        <v>2</v>
      </c>
      <c r="BV25" s="43">
        <f t="shared" si="20"/>
        <v>5</v>
      </c>
      <c r="BW25" s="43">
        <f t="shared" si="21"/>
        <v>0.875</v>
      </c>
      <c r="BX25" s="43">
        <f t="shared" si="22"/>
        <v>0.73684210526315785</v>
      </c>
      <c r="BY25" s="41">
        <f t="shared" si="23"/>
        <v>0.79999999999999993</v>
      </c>
    </row>
    <row r="26" spans="1:84" x14ac:dyDescent="0.35">
      <c r="A26" s="60" t="s">
        <v>48</v>
      </c>
      <c r="B26" s="148"/>
      <c r="C26" s="41" t="s">
        <v>70</v>
      </c>
      <c r="D26" s="42">
        <v>2</v>
      </c>
      <c r="E26" s="43">
        <v>2</v>
      </c>
      <c r="F26" s="43">
        <f t="shared" si="1"/>
        <v>0</v>
      </c>
      <c r="G26" s="41">
        <v>0</v>
      </c>
      <c r="H26" s="42">
        <v>2</v>
      </c>
      <c r="I26" s="43">
        <v>2</v>
      </c>
      <c r="J26" s="43">
        <f t="shared" si="2"/>
        <v>0</v>
      </c>
      <c r="K26" s="41">
        <v>0</v>
      </c>
      <c r="L26" s="42">
        <v>0</v>
      </c>
      <c r="M26" s="43">
        <v>0</v>
      </c>
      <c r="N26" s="43">
        <f t="shared" si="3"/>
        <v>0</v>
      </c>
      <c r="O26" s="41">
        <v>0</v>
      </c>
      <c r="P26" s="42">
        <v>2</v>
      </c>
      <c r="Q26" s="43">
        <v>2</v>
      </c>
      <c r="R26" s="43">
        <f t="shared" si="4"/>
        <v>0</v>
      </c>
      <c r="S26" s="41">
        <v>2</v>
      </c>
      <c r="T26" s="42">
        <v>2</v>
      </c>
      <c r="U26" s="43">
        <v>2</v>
      </c>
      <c r="V26" s="43">
        <f t="shared" si="5"/>
        <v>0</v>
      </c>
      <c r="W26" s="41">
        <v>0</v>
      </c>
      <c r="X26" s="42">
        <v>2</v>
      </c>
      <c r="Y26" s="43">
        <v>2</v>
      </c>
      <c r="Z26" s="43">
        <f t="shared" si="6"/>
        <v>0</v>
      </c>
      <c r="AA26" s="41">
        <v>0</v>
      </c>
      <c r="AB26" s="42">
        <v>2</v>
      </c>
      <c r="AC26" s="43">
        <v>2</v>
      </c>
      <c r="AD26" s="43">
        <f t="shared" si="7"/>
        <v>0</v>
      </c>
      <c r="AE26" s="41">
        <v>0</v>
      </c>
      <c r="AF26" s="42">
        <v>2</v>
      </c>
      <c r="AG26" s="43">
        <v>2</v>
      </c>
      <c r="AH26" s="43">
        <f t="shared" si="8"/>
        <v>0</v>
      </c>
      <c r="AI26" s="41">
        <v>0</v>
      </c>
      <c r="AJ26" s="42">
        <v>0</v>
      </c>
      <c r="AK26" s="43">
        <v>0</v>
      </c>
      <c r="AL26" s="43">
        <f t="shared" si="9"/>
        <v>0</v>
      </c>
      <c r="AM26" s="41">
        <v>0</v>
      </c>
      <c r="AN26" s="42">
        <v>0</v>
      </c>
      <c r="AO26" s="43">
        <v>0</v>
      </c>
      <c r="AP26" s="43">
        <f t="shared" si="10"/>
        <v>0</v>
      </c>
      <c r="AQ26" s="41">
        <v>0</v>
      </c>
      <c r="AR26" s="42">
        <v>1</v>
      </c>
      <c r="AS26" s="43">
        <v>1</v>
      </c>
      <c r="AT26" s="43">
        <f t="shared" si="11"/>
        <v>0</v>
      </c>
      <c r="AU26" s="41">
        <v>0</v>
      </c>
      <c r="AV26" s="42">
        <v>0</v>
      </c>
      <c r="AW26" s="43">
        <v>0</v>
      </c>
      <c r="AX26" s="43">
        <f t="shared" si="12"/>
        <v>0</v>
      </c>
      <c r="AY26" s="41">
        <v>0</v>
      </c>
      <c r="AZ26" s="42">
        <v>1</v>
      </c>
      <c r="BA26" s="43">
        <v>1</v>
      </c>
      <c r="BB26" s="43">
        <f t="shared" si="13"/>
        <v>0</v>
      </c>
      <c r="BC26" s="41">
        <v>1</v>
      </c>
      <c r="BD26" s="42">
        <v>0</v>
      </c>
      <c r="BE26" s="43">
        <v>0</v>
      </c>
      <c r="BF26" s="43">
        <f t="shared" si="14"/>
        <v>0</v>
      </c>
      <c r="BG26" s="41">
        <v>0</v>
      </c>
      <c r="BH26" s="42">
        <v>0</v>
      </c>
      <c r="BI26" s="43">
        <v>0</v>
      </c>
      <c r="BJ26" s="43">
        <f t="shared" si="15"/>
        <v>0</v>
      </c>
      <c r="BK26" s="41">
        <v>0</v>
      </c>
      <c r="BL26" s="42">
        <v>0</v>
      </c>
      <c r="BM26" s="43">
        <v>0</v>
      </c>
      <c r="BN26" s="43">
        <f t="shared" si="16"/>
        <v>0</v>
      </c>
      <c r="BO26" s="41">
        <v>0</v>
      </c>
      <c r="BP26" s="42">
        <v>0</v>
      </c>
      <c r="BQ26" s="43">
        <v>0</v>
      </c>
      <c r="BR26" s="43">
        <f t="shared" si="17"/>
        <v>0</v>
      </c>
      <c r="BS26" s="41">
        <v>0</v>
      </c>
      <c r="BT26" s="42">
        <f t="shared" si="18"/>
        <v>16</v>
      </c>
      <c r="BU26" s="43">
        <f t="shared" si="19"/>
        <v>0</v>
      </c>
      <c r="BV26" s="43">
        <f t="shared" si="20"/>
        <v>3</v>
      </c>
      <c r="BW26" s="43">
        <f t="shared" si="21"/>
        <v>1</v>
      </c>
      <c r="BX26" s="43">
        <f t="shared" si="22"/>
        <v>0.84210526315789469</v>
      </c>
      <c r="BY26" s="41">
        <f t="shared" si="23"/>
        <v>0.91428571428571426</v>
      </c>
    </row>
    <row r="27" spans="1:84" x14ac:dyDescent="0.35">
      <c r="A27" s="47" t="s">
        <v>48</v>
      </c>
      <c r="B27" s="148"/>
      <c r="C27" s="44" t="s">
        <v>38</v>
      </c>
      <c r="D27" s="45">
        <v>2</v>
      </c>
      <c r="E27" s="46">
        <v>2</v>
      </c>
      <c r="F27" s="46">
        <f t="shared" si="1"/>
        <v>0</v>
      </c>
      <c r="G27" s="44">
        <v>1</v>
      </c>
      <c r="H27" s="45">
        <v>2</v>
      </c>
      <c r="I27" s="46">
        <v>2</v>
      </c>
      <c r="J27" s="46">
        <f t="shared" si="2"/>
        <v>0</v>
      </c>
      <c r="K27" s="44">
        <v>0</v>
      </c>
      <c r="L27" s="45">
        <v>2</v>
      </c>
      <c r="M27" s="46">
        <v>2</v>
      </c>
      <c r="N27" s="46">
        <f t="shared" si="3"/>
        <v>0</v>
      </c>
      <c r="O27" s="44">
        <v>0</v>
      </c>
      <c r="P27" s="45">
        <v>2</v>
      </c>
      <c r="Q27" s="46">
        <v>2</v>
      </c>
      <c r="R27" s="46">
        <f t="shared" si="4"/>
        <v>0</v>
      </c>
      <c r="S27" s="44">
        <v>0</v>
      </c>
      <c r="T27" s="45">
        <v>2</v>
      </c>
      <c r="U27" s="46">
        <v>2</v>
      </c>
      <c r="V27" s="46">
        <f t="shared" si="5"/>
        <v>0</v>
      </c>
      <c r="W27" s="44">
        <v>0</v>
      </c>
      <c r="X27" s="45">
        <v>1</v>
      </c>
      <c r="Y27" s="46">
        <v>1</v>
      </c>
      <c r="Z27" s="46">
        <f t="shared" si="6"/>
        <v>0</v>
      </c>
      <c r="AA27" s="44">
        <v>0</v>
      </c>
      <c r="AB27" s="45">
        <v>0</v>
      </c>
      <c r="AC27" s="46">
        <v>0</v>
      </c>
      <c r="AD27" s="46">
        <f t="shared" si="7"/>
        <v>0</v>
      </c>
      <c r="AE27" s="44">
        <v>0</v>
      </c>
      <c r="AF27" s="45">
        <v>1</v>
      </c>
      <c r="AG27" s="46">
        <v>1</v>
      </c>
      <c r="AH27" s="46">
        <f t="shared" si="8"/>
        <v>0</v>
      </c>
      <c r="AI27" s="44">
        <v>0</v>
      </c>
      <c r="AJ27" s="45">
        <v>0</v>
      </c>
      <c r="AK27" s="46">
        <v>0</v>
      </c>
      <c r="AL27" s="46">
        <f t="shared" si="9"/>
        <v>0</v>
      </c>
      <c r="AM27" s="44">
        <v>0</v>
      </c>
      <c r="AN27" s="45">
        <v>0</v>
      </c>
      <c r="AO27" s="46">
        <v>0</v>
      </c>
      <c r="AP27" s="46">
        <f t="shared" si="10"/>
        <v>0</v>
      </c>
      <c r="AQ27" s="44">
        <v>1</v>
      </c>
      <c r="AR27" s="45">
        <v>0</v>
      </c>
      <c r="AS27" s="46">
        <v>0</v>
      </c>
      <c r="AT27" s="46">
        <f t="shared" si="11"/>
        <v>0</v>
      </c>
      <c r="AU27" s="44">
        <v>0</v>
      </c>
      <c r="AV27" s="45">
        <v>0</v>
      </c>
      <c r="AW27" s="46">
        <v>0</v>
      </c>
      <c r="AX27" s="46">
        <f t="shared" si="12"/>
        <v>0</v>
      </c>
      <c r="AY27" s="44">
        <v>1</v>
      </c>
      <c r="AZ27" s="45">
        <v>1</v>
      </c>
      <c r="BA27" s="46">
        <v>1</v>
      </c>
      <c r="BB27" s="46">
        <f t="shared" si="13"/>
        <v>0</v>
      </c>
      <c r="BC27" s="44">
        <v>0</v>
      </c>
      <c r="BD27" s="45">
        <v>0</v>
      </c>
      <c r="BE27" s="46">
        <v>0</v>
      </c>
      <c r="BF27" s="46">
        <f t="shared" si="14"/>
        <v>0</v>
      </c>
      <c r="BG27" s="44">
        <v>0</v>
      </c>
      <c r="BH27" s="45">
        <v>0</v>
      </c>
      <c r="BI27" s="46">
        <v>0</v>
      </c>
      <c r="BJ27" s="46">
        <f t="shared" si="15"/>
        <v>0</v>
      </c>
      <c r="BK27" s="44">
        <v>0</v>
      </c>
      <c r="BL27" s="45">
        <v>0</v>
      </c>
      <c r="BM27" s="46">
        <v>0</v>
      </c>
      <c r="BN27" s="46">
        <f t="shared" si="16"/>
        <v>0</v>
      </c>
      <c r="BO27" s="44">
        <v>0</v>
      </c>
      <c r="BP27" s="45">
        <v>1</v>
      </c>
      <c r="BQ27" s="46">
        <v>0</v>
      </c>
      <c r="BR27" s="46">
        <f t="shared" si="17"/>
        <v>1</v>
      </c>
      <c r="BS27" s="44">
        <v>0</v>
      </c>
      <c r="BT27" s="45">
        <f t="shared" si="18"/>
        <v>13</v>
      </c>
      <c r="BU27" s="46">
        <f t="shared" si="19"/>
        <v>1</v>
      </c>
      <c r="BV27" s="46">
        <f t="shared" si="20"/>
        <v>3</v>
      </c>
      <c r="BW27" s="46">
        <f t="shared" si="21"/>
        <v>0.9285714285714286</v>
      </c>
      <c r="BX27" s="46">
        <f t="shared" si="22"/>
        <v>0.8125</v>
      </c>
      <c r="BY27" s="44">
        <f t="shared" si="23"/>
        <v>0.86666666666666659</v>
      </c>
    </row>
    <row r="28" spans="1:84" x14ac:dyDescent="0.35">
      <c r="A28" s="47" t="s">
        <v>48</v>
      </c>
      <c r="B28" s="148"/>
      <c r="C28" s="44" t="s">
        <v>71</v>
      </c>
      <c r="D28" s="45">
        <v>2</v>
      </c>
      <c r="E28" s="46">
        <v>2</v>
      </c>
      <c r="F28" s="46">
        <f t="shared" si="1"/>
        <v>0</v>
      </c>
      <c r="G28" s="44">
        <v>0</v>
      </c>
      <c r="H28" s="45">
        <v>2</v>
      </c>
      <c r="I28" s="46">
        <v>2</v>
      </c>
      <c r="J28" s="46">
        <f t="shared" si="2"/>
        <v>0</v>
      </c>
      <c r="K28" s="44">
        <v>0</v>
      </c>
      <c r="L28" s="45">
        <v>2</v>
      </c>
      <c r="M28" s="46">
        <v>2</v>
      </c>
      <c r="N28" s="46">
        <f t="shared" si="3"/>
        <v>0</v>
      </c>
      <c r="O28" s="44">
        <v>0</v>
      </c>
      <c r="P28" s="45">
        <v>2</v>
      </c>
      <c r="Q28" s="46">
        <v>2</v>
      </c>
      <c r="R28" s="46">
        <f t="shared" si="4"/>
        <v>0</v>
      </c>
      <c r="S28" s="44">
        <v>0</v>
      </c>
      <c r="T28" s="45">
        <v>2</v>
      </c>
      <c r="U28" s="46">
        <v>2</v>
      </c>
      <c r="V28" s="46">
        <f t="shared" si="5"/>
        <v>0</v>
      </c>
      <c r="W28" s="44">
        <v>0</v>
      </c>
      <c r="X28" s="45">
        <v>1</v>
      </c>
      <c r="Y28" s="46">
        <v>1</v>
      </c>
      <c r="Z28" s="46">
        <f t="shared" si="6"/>
        <v>0</v>
      </c>
      <c r="AA28" s="44">
        <v>0</v>
      </c>
      <c r="AB28" s="45">
        <v>0</v>
      </c>
      <c r="AC28" s="46">
        <v>0</v>
      </c>
      <c r="AD28" s="46">
        <f t="shared" si="7"/>
        <v>0</v>
      </c>
      <c r="AE28" s="44">
        <v>0</v>
      </c>
      <c r="AF28" s="45">
        <v>1</v>
      </c>
      <c r="AG28" s="46">
        <v>1</v>
      </c>
      <c r="AH28" s="46">
        <f t="shared" si="8"/>
        <v>0</v>
      </c>
      <c r="AI28" s="44">
        <v>0</v>
      </c>
      <c r="AJ28" s="45">
        <v>0</v>
      </c>
      <c r="AK28" s="46">
        <v>0</v>
      </c>
      <c r="AL28" s="46">
        <f t="shared" si="9"/>
        <v>0</v>
      </c>
      <c r="AM28" s="44">
        <v>0</v>
      </c>
      <c r="AN28" s="45">
        <v>0</v>
      </c>
      <c r="AO28" s="46">
        <v>0</v>
      </c>
      <c r="AP28" s="46">
        <f t="shared" si="10"/>
        <v>0</v>
      </c>
      <c r="AQ28" s="44">
        <v>1</v>
      </c>
      <c r="AR28" s="45">
        <v>0</v>
      </c>
      <c r="AS28" s="46">
        <v>0</v>
      </c>
      <c r="AT28" s="46">
        <f t="shared" si="11"/>
        <v>0</v>
      </c>
      <c r="AU28" s="44">
        <v>0</v>
      </c>
      <c r="AV28" s="45">
        <v>0</v>
      </c>
      <c r="AW28" s="46">
        <v>0</v>
      </c>
      <c r="AX28" s="46">
        <f t="shared" si="12"/>
        <v>0</v>
      </c>
      <c r="AY28" s="44">
        <v>0</v>
      </c>
      <c r="AZ28" s="45">
        <v>1</v>
      </c>
      <c r="BA28" s="46">
        <v>1</v>
      </c>
      <c r="BB28" s="46">
        <f t="shared" si="13"/>
        <v>0</v>
      </c>
      <c r="BC28" s="44">
        <v>0</v>
      </c>
      <c r="BD28" s="45">
        <v>0</v>
      </c>
      <c r="BE28" s="46">
        <v>0</v>
      </c>
      <c r="BF28" s="46">
        <f t="shared" si="14"/>
        <v>0</v>
      </c>
      <c r="BG28" s="44">
        <v>0</v>
      </c>
      <c r="BH28" s="45">
        <v>0</v>
      </c>
      <c r="BI28" s="46">
        <v>0</v>
      </c>
      <c r="BJ28" s="46">
        <f t="shared" si="15"/>
        <v>0</v>
      </c>
      <c r="BK28" s="44">
        <v>0</v>
      </c>
      <c r="BL28" s="45">
        <v>0</v>
      </c>
      <c r="BM28" s="46">
        <v>0</v>
      </c>
      <c r="BN28" s="46">
        <f t="shared" si="16"/>
        <v>0</v>
      </c>
      <c r="BO28" s="44">
        <v>0</v>
      </c>
      <c r="BP28" s="45">
        <v>1</v>
      </c>
      <c r="BQ28" s="46">
        <v>0</v>
      </c>
      <c r="BR28" s="46">
        <f t="shared" si="17"/>
        <v>1</v>
      </c>
      <c r="BS28" s="44">
        <v>0</v>
      </c>
      <c r="BT28" s="45">
        <f t="shared" si="18"/>
        <v>13</v>
      </c>
      <c r="BU28" s="46">
        <f t="shared" si="19"/>
        <v>1</v>
      </c>
      <c r="BV28" s="46">
        <f t="shared" si="20"/>
        <v>1</v>
      </c>
      <c r="BW28" s="46">
        <f t="shared" si="21"/>
        <v>0.9285714285714286</v>
      </c>
      <c r="BX28" s="46">
        <f t="shared" si="22"/>
        <v>0.9285714285714286</v>
      </c>
      <c r="BY28" s="44">
        <f t="shared" si="23"/>
        <v>0.9285714285714286</v>
      </c>
    </row>
    <row r="29" spans="1:84" x14ac:dyDescent="0.35">
      <c r="A29" s="61" t="s">
        <v>48</v>
      </c>
      <c r="B29" s="148"/>
      <c r="C29" s="126" t="s">
        <v>39</v>
      </c>
      <c r="D29" s="127">
        <v>2</v>
      </c>
      <c r="E29" s="128">
        <v>2</v>
      </c>
      <c r="F29" s="128">
        <f t="shared" si="1"/>
        <v>0</v>
      </c>
      <c r="G29" s="126">
        <v>0</v>
      </c>
      <c r="H29" s="127">
        <v>2</v>
      </c>
      <c r="I29" s="128">
        <v>0</v>
      </c>
      <c r="J29" s="128">
        <f t="shared" si="2"/>
        <v>2</v>
      </c>
      <c r="K29" s="126">
        <v>0</v>
      </c>
      <c r="L29" s="127">
        <v>2</v>
      </c>
      <c r="M29" s="128">
        <v>0</v>
      </c>
      <c r="N29" s="128">
        <f t="shared" si="3"/>
        <v>2</v>
      </c>
      <c r="O29" s="126">
        <v>0</v>
      </c>
      <c r="P29" s="127">
        <v>2</v>
      </c>
      <c r="Q29" s="128">
        <v>2</v>
      </c>
      <c r="R29" s="128">
        <f t="shared" si="4"/>
        <v>0</v>
      </c>
      <c r="S29" s="126">
        <v>0</v>
      </c>
      <c r="T29" s="127">
        <v>2</v>
      </c>
      <c r="U29" s="128">
        <v>2</v>
      </c>
      <c r="V29" s="128">
        <f t="shared" si="5"/>
        <v>0</v>
      </c>
      <c r="W29" s="126">
        <v>0</v>
      </c>
      <c r="X29" s="127">
        <v>4</v>
      </c>
      <c r="Y29" s="128">
        <v>4</v>
      </c>
      <c r="Z29" s="128">
        <f t="shared" si="6"/>
        <v>0</v>
      </c>
      <c r="AA29" s="126">
        <v>0</v>
      </c>
      <c r="AB29" s="127">
        <v>2</v>
      </c>
      <c r="AC29" s="128">
        <v>2</v>
      </c>
      <c r="AD29" s="128">
        <f t="shared" si="7"/>
        <v>0</v>
      </c>
      <c r="AE29" s="126">
        <v>0</v>
      </c>
      <c r="AF29" s="127">
        <v>4</v>
      </c>
      <c r="AG29" s="128">
        <v>4</v>
      </c>
      <c r="AH29" s="128">
        <f t="shared" si="8"/>
        <v>0</v>
      </c>
      <c r="AI29" s="126">
        <v>0</v>
      </c>
      <c r="AJ29" s="127">
        <v>0</v>
      </c>
      <c r="AK29" s="128">
        <v>0</v>
      </c>
      <c r="AL29" s="128">
        <f t="shared" si="9"/>
        <v>0</v>
      </c>
      <c r="AM29" s="126">
        <v>0</v>
      </c>
      <c r="AN29" s="127">
        <v>0</v>
      </c>
      <c r="AO29" s="128">
        <v>0</v>
      </c>
      <c r="AP29" s="128">
        <f t="shared" si="10"/>
        <v>0</v>
      </c>
      <c r="AQ29" s="126">
        <v>0</v>
      </c>
      <c r="AR29" s="127">
        <v>0</v>
      </c>
      <c r="AS29" s="128">
        <v>0</v>
      </c>
      <c r="AT29" s="128">
        <f t="shared" si="11"/>
        <v>0</v>
      </c>
      <c r="AU29" s="126">
        <v>0</v>
      </c>
      <c r="AV29" s="127">
        <v>0</v>
      </c>
      <c r="AW29" s="128">
        <v>0</v>
      </c>
      <c r="AX29" s="128">
        <f t="shared" si="12"/>
        <v>0</v>
      </c>
      <c r="AY29" s="126">
        <v>0</v>
      </c>
      <c r="AZ29" s="127">
        <v>1</v>
      </c>
      <c r="BA29" s="128">
        <v>1</v>
      </c>
      <c r="BB29" s="128">
        <f t="shared" si="13"/>
        <v>0</v>
      </c>
      <c r="BC29" s="126">
        <v>0</v>
      </c>
      <c r="BD29" s="127">
        <v>0</v>
      </c>
      <c r="BE29" s="128">
        <v>0</v>
      </c>
      <c r="BF29" s="128">
        <f t="shared" si="14"/>
        <v>0</v>
      </c>
      <c r="BG29" s="126">
        <v>0</v>
      </c>
      <c r="BH29" s="127">
        <v>0</v>
      </c>
      <c r="BI29" s="128">
        <v>0</v>
      </c>
      <c r="BJ29" s="128">
        <f t="shared" si="15"/>
        <v>0</v>
      </c>
      <c r="BK29" s="126">
        <v>0</v>
      </c>
      <c r="BL29" s="127">
        <v>0</v>
      </c>
      <c r="BM29" s="128">
        <v>0</v>
      </c>
      <c r="BN29" s="128">
        <f t="shared" si="16"/>
        <v>0</v>
      </c>
      <c r="BO29" s="126">
        <v>0</v>
      </c>
      <c r="BP29" s="127">
        <v>1</v>
      </c>
      <c r="BQ29" s="128">
        <v>1</v>
      </c>
      <c r="BR29" s="128">
        <f t="shared" si="17"/>
        <v>0</v>
      </c>
      <c r="BS29" s="126">
        <v>0</v>
      </c>
      <c r="BT29" s="127">
        <f t="shared" si="18"/>
        <v>18</v>
      </c>
      <c r="BU29" s="128">
        <f t="shared" si="19"/>
        <v>4</v>
      </c>
      <c r="BV29" s="128">
        <f t="shared" si="20"/>
        <v>0</v>
      </c>
      <c r="BW29" s="128">
        <f t="shared" si="21"/>
        <v>0.81818181818181823</v>
      </c>
      <c r="BX29" s="128">
        <f t="shared" si="22"/>
        <v>1</v>
      </c>
      <c r="BY29" s="126">
        <f t="shared" si="23"/>
        <v>0.9</v>
      </c>
    </row>
    <row r="30" spans="1:84" x14ac:dyDescent="0.35">
      <c r="A30" s="128" t="s">
        <v>48</v>
      </c>
      <c r="B30" s="148"/>
      <c r="C30" s="104" t="s">
        <v>72</v>
      </c>
      <c r="D30" s="107">
        <v>2</v>
      </c>
      <c r="E30" s="61">
        <v>2</v>
      </c>
      <c r="F30" s="61">
        <f t="shared" si="1"/>
        <v>0</v>
      </c>
      <c r="G30" s="104">
        <v>0</v>
      </c>
      <c r="H30" s="107">
        <v>2</v>
      </c>
      <c r="I30" s="61">
        <v>0</v>
      </c>
      <c r="J30" s="61">
        <f t="shared" si="2"/>
        <v>2</v>
      </c>
      <c r="K30" s="104">
        <v>0</v>
      </c>
      <c r="L30" s="107">
        <v>2</v>
      </c>
      <c r="M30" s="61">
        <v>0</v>
      </c>
      <c r="N30" s="61">
        <f t="shared" si="3"/>
        <v>2</v>
      </c>
      <c r="O30" s="104">
        <v>0</v>
      </c>
      <c r="P30" s="107">
        <v>2</v>
      </c>
      <c r="Q30" s="61">
        <v>2</v>
      </c>
      <c r="R30" s="61">
        <f t="shared" si="4"/>
        <v>0</v>
      </c>
      <c r="S30" s="104">
        <v>0</v>
      </c>
      <c r="T30" s="107">
        <v>2</v>
      </c>
      <c r="U30" s="61">
        <v>2</v>
      </c>
      <c r="V30" s="61">
        <f t="shared" si="5"/>
        <v>0</v>
      </c>
      <c r="W30" s="104">
        <v>0</v>
      </c>
      <c r="X30" s="107">
        <v>4</v>
      </c>
      <c r="Y30" s="61">
        <v>4</v>
      </c>
      <c r="Z30" s="61">
        <f t="shared" si="6"/>
        <v>0</v>
      </c>
      <c r="AA30" s="104">
        <v>0</v>
      </c>
      <c r="AB30" s="107">
        <v>2</v>
      </c>
      <c r="AC30" s="61">
        <v>2</v>
      </c>
      <c r="AD30" s="61">
        <v>0</v>
      </c>
      <c r="AE30" s="104">
        <v>0</v>
      </c>
      <c r="AF30" s="107">
        <v>4</v>
      </c>
      <c r="AG30" s="61">
        <v>4</v>
      </c>
      <c r="AH30" s="61">
        <f t="shared" si="8"/>
        <v>0</v>
      </c>
      <c r="AI30" s="104">
        <v>0</v>
      </c>
      <c r="AJ30" s="107">
        <v>0</v>
      </c>
      <c r="AK30" s="61">
        <v>0</v>
      </c>
      <c r="AL30" s="61">
        <f t="shared" si="9"/>
        <v>0</v>
      </c>
      <c r="AM30" s="104">
        <v>0</v>
      </c>
      <c r="AN30" s="107">
        <v>0</v>
      </c>
      <c r="AO30" s="61">
        <v>0</v>
      </c>
      <c r="AP30" s="61">
        <f t="shared" si="10"/>
        <v>0</v>
      </c>
      <c r="AQ30" s="104">
        <v>0</v>
      </c>
      <c r="AR30" s="107">
        <v>0</v>
      </c>
      <c r="AS30" s="61">
        <v>0</v>
      </c>
      <c r="AT30" s="61">
        <f t="shared" si="11"/>
        <v>0</v>
      </c>
      <c r="AU30" s="104">
        <v>0</v>
      </c>
      <c r="AV30" s="107">
        <v>0</v>
      </c>
      <c r="AW30" s="61">
        <v>0</v>
      </c>
      <c r="AX30" s="61">
        <f t="shared" si="12"/>
        <v>0</v>
      </c>
      <c r="AY30" s="104">
        <v>0</v>
      </c>
      <c r="AZ30" s="107">
        <v>1</v>
      </c>
      <c r="BA30" s="61">
        <v>1</v>
      </c>
      <c r="BB30" s="61">
        <f t="shared" si="13"/>
        <v>0</v>
      </c>
      <c r="BC30" s="104">
        <v>0</v>
      </c>
      <c r="BD30" s="107">
        <v>0</v>
      </c>
      <c r="BE30" s="61">
        <v>0</v>
      </c>
      <c r="BF30" s="61">
        <f t="shared" si="14"/>
        <v>0</v>
      </c>
      <c r="BG30" s="104">
        <v>0</v>
      </c>
      <c r="BH30" s="107">
        <v>0</v>
      </c>
      <c r="BI30" s="61">
        <v>0</v>
      </c>
      <c r="BJ30" s="61">
        <f t="shared" si="15"/>
        <v>0</v>
      </c>
      <c r="BK30" s="104">
        <v>0</v>
      </c>
      <c r="BL30" s="107">
        <v>0</v>
      </c>
      <c r="BM30" s="61">
        <v>0</v>
      </c>
      <c r="BN30" s="61">
        <f t="shared" si="16"/>
        <v>0</v>
      </c>
      <c r="BO30" s="104">
        <v>0</v>
      </c>
      <c r="BP30" s="107">
        <v>1</v>
      </c>
      <c r="BQ30" s="61">
        <v>1</v>
      </c>
      <c r="BR30" s="61">
        <f t="shared" si="17"/>
        <v>0</v>
      </c>
      <c r="BS30" s="104">
        <v>0</v>
      </c>
      <c r="BT30" s="107">
        <f t="shared" si="18"/>
        <v>18</v>
      </c>
      <c r="BU30" s="61">
        <f t="shared" si="19"/>
        <v>4</v>
      </c>
      <c r="BV30" s="61">
        <f t="shared" si="20"/>
        <v>0</v>
      </c>
      <c r="BW30" s="61">
        <f t="shared" si="21"/>
        <v>0.81818181818181823</v>
      </c>
      <c r="BX30" s="61">
        <f t="shared" si="22"/>
        <v>1</v>
      </c>
      <c r="BY30" s="104">
        <f t="shared" si="23"/>
        <v>0.9</v>
      </c>
    </row>
    <row r="31" spans="1:84" x14ac:dyDescent="0.35">
      <c r="A31" s="108" t="s">
        <v>48</v>
      </c>
      <c r="B31" s="148"/>
      <c r="C31" s="112" t="s">
        <v>42</v>
      </c>
      <c r="D31" s="114">
        <v>2</v>
      </c>
      <c r="E31" s="108">
        <v>2</v>
      </c>
      <c r="F31" s="108">
        <f t="shared" si="1"/>
        <v>0</v>
      </c>
      <c r="G31" s="112">
        <v>0</v>
      </c>
      <c r="H31" s="114">
        <v>1</v>
      </c>
      <c r="I31" s="108">
        <v>0</v>
      </c>
      <c r="J31" s="108">
        <f t="shared" si="2"/>
        <v>1</v>
      </c>
      <c r="K31" s="112">
        <v>0</v>
      </c>
      <c r="L31" s="114">
        <v>1</v>
      </c>
      <c r="M31" s="108">
        <v>0</v>
      </c>
      <c r="N31" s="108">
        <f t="shared" si="3"/>
        <v>1</v>
      </c>
      <c r="O31" s="112">
        <v>0</v>
      </c>
      <c r="P31" s="114">
        <v>1</v>
      </c>
      <c r="Q31" s="108">
        <v>1</v>
      </c>
      <c r="R31" s="108">
        <f t="shared" si="4"/>
        <v>0</v>
      </c>
      <c r="S31" s="112">
        <v>0</v>
      </c>
      <c r="T31" s="114">
        <v>1</v>
      </c>
      <c r="U31" s="108">
        <v>1</v>
      </c>
      <c r="V31" s="108">
        <f t="shared" si="5"/>
        <v>0</v>
      </c>
      <c r="W31" s="112">
        <v>0</v>
      </c>
      <c r="X31" s="114">
        <v>2</v>
      </c>
      <c r="Y31" s="108">
        <v>2</v>
      </c>
      <c r="Z31" s="108">
        <f t="shared" si="6"/>
        <v>0</v>
      </c>
      <c r="AA31" s="112">
        <v>0</v>
      </c>
      <c r="AB31" s="114">
        <v>0</v>
      </c>
      <c r="AC31" s="108">
        <v>0</v>
      </c>
      <c r="AD31" s="108">
        <v>0</v>
      </c>
      <c r="AE31" s="112">
        <v>0</v>
      </c>
      <c r="AF31" s="114">
        <v>2</v>
      </c>
      <c r="AG31" s="108">
        <v>2</v>
      </c>
      <c r="AH31" s="108">
        <f t="shared" si="8"/>
        <v>0</v>
      </c>
      <c r="AI31" s="112">
        <v>0</v>
      </c>
      <c r="AJ31" s="114">
        <v>0</v>
      </c>
      <c r="AK31" s="108">
        <v>0</v>
      </c>
      <c r="AL31" s="108">
        <f t="shared" si="9"/>
        <v>0</v>
      </c>
      <c r="AM31" s="112">
        <v>0</v>
      </c>
      <c r="AN31" s="114">
        <v>0</v>
      </c>
      <c r="AO31" s="108">
        <v>0</v>
      </c>
      <c r="AP31" s="108">
        <f t="shared" si="10"/>
        <v>0</v>
      </c>
      <c r="AQ31" s="112">
        <v>1</v>
      </c>
      <c r="AR31" s="114">
        <v>0</v>
      </c>
      <c r="AS31" s="108">
        <v>0</v>
      </c>
      <c r="AT31" s="108">
        <f t="shared" si="11"/>
        <v>0</v>
      </c>
      <c r="AU31" s="112">
        <v>0</v>
      </c>
      <c r="AV31" s="114">
        <v>0</v>
      </c>
      <c r="AW31" s="108">
        <v>0</v>
      </c>
      <c r="AX31" s="108">
        <f t="shared" si="12"/>
        <v>0</v>
      </c>
      <c r="AY31" s="112">
        <v>1</v>
      </c>
      <c r="AZ31" s="114">
        <v>1</v>
      </c>
      <c r="BA31" s="108">
        <v>1</v>
      </c>
      <c r="BB31" s="108">
        <f t="shared" si="13"/>
        <v>0</v>
      </c>
      <c r="BC31" s="112">
        <v>0</v>
      </c>
      <c r="BD31" s="114">
        <v>0</v>
      </c>
      <c r="BE31" s="108">
        <v>0</v>
      </c>
      <c r="BF31" s="108">
        <f t="shared" si="14"/>
        <v>0</v>
      </c>
      <c r="BG31" s="112">
        <v>0</v>
      </c>
      <c r="BH31" s="114">
        <v>0</v>
      </c>
      <c r="BI31" s="108">
        <v>0</v>
      </c>
      <c r="BJ31" s="108">
        <f t="shared" si="15"/>
        <v>0</v>
      </c>
      <c r="BK31" s="112">
        <v>0</v>
      </c>
      <c r="BL31" s="114">
        <v>0</v>
      </c>
      <c r="BM31" s="108">
        <v>0</v>
      </c>
      <c r="BN31" s="108">
        <f t="shared" si="16"/>
        <v>0</v>
      </c>
      <c r="BO31" s="112">
        <v>0</v>
      </c>
      <c r="BP31" s="114">
        <v>1</v>
      </c>
      <c r="BQ31" s="108">
        <v>0</v>
      </c>
      <c r="BR31" s="108">
        <f t="shared" si="17"/>
        <v>1</v>
      </c>
      <c r="BS31" s="112">
        <v>0</v>
      </c>
      <c r="BT31" s="114">
        <f t="shared" si="18"/>
        <v>9</v>
      </c>
      <c r="BU31" s="108">
        <f t="shared" si="19"/>
        <v>3</v>
      </c>
      <c r="BV31" s="108">
        <f t="shared" si="20"/>
        <v>2</v>
      </c>
      <c r="BW31" s="108">
        <f t="shared" si="21"/>
        <v>0.75</v>
      </c>
      <c r="BX31" s="108">
        <f t="shared" si="22"/>
        <v>0.81818181818181823</v>
      </c>
      <c r="BY31" s="112">
        <f t="shared" si="23"/>
        <v>0.78260869565217384</v>
      </c>
    </row>
    <row r="32" spans="1:84" x14ac:dyDescent="0.35">
      <c r="A32" s="108" t="s">
        <v>48</v>
      </c>
      <c r="B32" s="148"/>
      <c r="C32" s="112" t="s">
        <v>73</v>
      </c>
      <c r="D32" s="114">
        <v>2</v>
      </c>
      <c r="E32" s="108">
        <v>2</v>
      </c>
      <c r="F32" s="108">
        <f t="shared" si="1"/>
        <v>0</v>
      </c>
      <c r="G32" s="112">
        <v>0</v>
      </c>
      <c r="H32" s="114">
        <v>1</v>
      </c>
      <c r="I32" s="108">
        <v>0</v>
      </c>
      <c r="J32" s="108">
        <f t="shared" si="2"/>
        <v>1</v>
      </c>
      <c r="K32" s="112">
        <v>0</v>
      </c>
      <c r="L32" s="114">
        <v>1</v>
      </c>
      <c r="M32" s="108">
        <v>0</v>
      </c>
      <c r="N32" s="108">
        <f t="shared" si="3"/>
        <v>1</v>
      </c>
      <c r="O32" s="112">
        <v>0</v>
      </c>
      <c r="P32" s="114">
        <v>1</v>
      </c>
      <c r="Q32" s="108">
        <v>1</v>
      </c>
      <c r="R32" s="108">
        <f t="shared" si="4"/>
        <v>0</v>
      </c>
      <c r="S32" s="112">
        <v>0</v>
      </c>
      <c r="T32" s="114">
        <v>1</v>
      </c>
      <c r="U32" s="108">
        <v>1</v>
      </c>
      <c r="V32" s="108">
        <f t="shared" si="5"/>
        <v>0</v>
      </c>
      <c r="W32" s="112">
        <v>0</v>
      </c>
      <c r="X32" s="114">
        <v>2</v>
      </c>
      <c r="Y32" s="108">
        <v>2</v>
      </c>
      <c r="Z32" s="108">
        <f t="shared" si="6"/>
        <v>0</v>
      </c>
      <c r="AA32" s="112">
        <v>0</v>
      </c>
      <c r="AB32" s="114">
        <v>0</v>
      </c>
      <c r="AC32" s="108">
        <v>0</v>
      </c>
      <c r="AD32" s="108">
        <v>0</v>
      </c>
      <c r="AE32" s="112">
        <v>0</v>
      </c>
      <c r="AF32" s="114">
        <v>2</v>
      </c>
      <c r="AG32" s="108">
        <v>2</v>
      </c>
      <c r="AH32" s="108">
        <f t="shared" si="8"/>
        <v>0</v>
      </c>
      <c r="AI32" s="112">
        <v>0</v>
      </c>
      <c r="AJ32" s="114">
        <v>0</v>
      </c>
      <c r="AK32" s="108">
        <v>0</v>
      </c>
      <c r="AL32" s="108">
        <f t="shared" si="9"/>
        <v>0</v>
      </c>
      <c r="AM32" s="112">
        <v>0</v>
      </c>
      <c r="AN32" s="114">
        <v>0</v>
      </c>
      <c r="AO32" s="108">
        <v>0</v>
      </c>
      <c r="AP32" s="108">
        <f t="shared" si="10"/>
        <v>0</v>
      </c>
      <c r="AQ32" s="112">
        <v>1</v>
      </c>
      <c r="AR32" s="114">
        <v>0</v>
      </c>
      <c r="AS32" s="108">
        <v>0</v>
      </c>
      <c r="AT32" s="108">
        <f t="shared" si="11"/>
        <v>0</v>
      </c>
      <c r="AU32" s="112">
        <v>0</v>
      </c>
      <c r="AV32" s="114">
        <v>0</v>
      </c>
      <c r="AW32" s="108">
        <v>0</v>
      </c>
      <c r="AX32" s="108">
        <f t="shared" si="12"/>
        <v>0</v>
      </c>
      <c r="AY32" s="112">
        <v>0</v>
      </c>
      <c r="AZ32" s="114">
        <v>1</v>
      </c>
      <c r="BA32" s="108">
        <v>1</v>
      </c>
      <c r="BB32" s="108">
        <f t="shared" si="13"/>
        <v>0</v>
      </c>
      <c r="BC32" s="112">
        <v>0</v>
      </c>
      <c r="BD32" s="114">
        <v>0</v>
      </c>
      <c r="BE32" s="108">
        <v>0</v>
      </c>
      <c r="BF32" s="108">
        <f t="shared" si="14"/>
        <v>0</v>
      </c>
      <c r="BG32" s="112">
        <v>0</v>
      </c>
      <c r="BH32" s="114">
        <v>0</v>
      </c>
      <c r="BI32" s="108">
        <v>0</v>
      </c>
      <c r="BJ32" s="108">
        <f t="shared" si="15"/>
        <v>0</v>
      </c>
      <c r="BK32" s="112">
        <v>0</v>
      </c>
      <c r="BL32" s="114">
        <v>0</v>
      </c>
      <c r="BM32" s="108">
        <v>0</v>
      </c>
      <c r="BN32" s="108">
        <f t="shared" si="16"/>
        <v>0</v>
      </c>
      <c r="BO32" s="112">
        <v>0</v>
      </c>
      <c r="BP32" s="114">
        <v>1</v>
      </c>
      <c r="BQ32" s="108">
        <v>0</v>
      </c>
      <c r="BR32" s="108">
        <f t="shared" si="17"/>
        <v>1</v>
      </c>
      <c r="BS32" s="112">
        <v>0</v>
      </c>
      <c r="BT32" s="114">
        <f t="shared" si="18"/>
        <v>9</v>
      </c>
      <c r="BU32" s="108">
        <f t="shared" si="19"/>
        <v>3</v>
      </c>
      <c r="BV32" s="108">
        <f t="shared" si="20"/>
        <v>1</v>
      </c>
      <c r="BW32" s="108">
        <f t="shared" si="21"/>
        <v>0.75</v>
      </c>
      <c r="BX32" s="108">
        <f t="shared" si="22"/>
        <v>0.9</v>
      </c>
      <c r="BY32" s="112">
        <f t="shared" si="23"/>
        <v>0.81818181818181823</v>
      </c>
    </row>
    <row r="33" spans="1:77" x14ac:dyDescent="0.35">
      <c r="A33" s="109" t="s">
        <v>48</v>
      </c>
      <c r="B33" s="148"/>
      <c r="C33" s="113" t="s">
        <v>43</v>
      </c>
      <c r="D33" s="115">
        <v>1</v>
      </c>
      <c r="E33" s="109">
        <v>1</v>
      </c>
      <c r="F33" s="109">
        <f t="shared" si="1"/>
        <v>0</v>
      </c>
      <c r="G33" s="113">
        <v>0</v>
      </c>
      <c r="H33" s="115">
        <v>1</v>
      </c>
      <c r="I33" s="109">
        <v>1</v>
      </c>
      <c r="J33" s="109">
        <f t="shared" si="2"/>
        <v>0</v>
      </c>
      <c r="K33" s="113">
        <v>0</v>
      </c>
      <c r="L33" s="115">
        <v>0</v>
      </c>
      <c r="M33" s="109">
        <v>0</v>
      </c>
      <c r="N33" s="109">
        <f t="shared" si="3"/>
        <v>0</v>
      </c>
      <c r="O33" s="113">
        <v>0</v>
      </c>
      <c r="P33" s="115">
        <v>5</v>
      </c>
      <c r="Q33" s="109">
        <v>5</v>
      </c>
      <c r="R33" s="109">
        <f t="shared" si="4"/>
        <v>0</v>
      </c>
      <c r="S33" s="113">
        <v>0</v>
      </c>
      <c r="T33" s="115">
        <v>5</v>
      </c>
      <c r="U33" s="109">
        <v>0</v>
      </c>
      <c r="V33" s="109">
        <f t="shared" si="5"/>
        <v>5</v>
      </c>
      <c r="W33" s="113">
        <v>0</v>
      </c>
      <c r="X33" s="115">
        <v>0</v>
      </c>
      <c r="Y33" s="109">
        <v>0</v>
      </c>
      <c r="Z33" s="109">
        <f t="shared" si="6"/>
        <v>0</v>
      </c>
      <c r="AA33" s="113">
        <v>0</v>
      </c>
      <c r="AB33" s="115">
        <v>0</v>
      </c>
      <c r="AC33" s="109">
        <v>0</v>
      </c>
      <c r="AD33" s="109">
        <v>0</v>
      </c>
      <c r="AE33" s="113">
        <v>0</v>
      </c>
      <c r="AF33" s="115">
        <v>0</v>
      </c>
      <c r="AG33" s="109">
        <v>0</v>
      </c>
      <c r="AH33" s="109">
        <f t="shared" si="8"/>
        <v>0</v>
      </c>
      <c r="AI33" s="113">
        <v>0</v>
      </c>
      <c r="AJ33" s="115">
        <v>0</v>
      </c>
      <c r="AK33" s="109">
        <v>0</v>
      </c>
      <c r="AL33" s="109">
        <f t="shared" si="9"/>
        <v>0</v>
      </c>
      <c r="AM33" s="113">
        <v>0</v>
      </c>
      <c r="AN33" s="115">
        <v>0</v>
      </c>
      <c r="AO33" s="109">
        <v>0</v>
      </c>
      <c r="AP33" s="109">
        <f t="shared" si="10"/>
        <v>0</v>
      </c>
      <c r="AQ33" s="113">
        <v>0</v>
      </c>
      <c r="AR33" s="115">
        <v>0</v>
      </c>
      <c r="AS33" s="109">
        <v>0</v>
      </c>
      <c r="AT33" s="109">
        <f t="shared" si="11"/>
        <v>0</v>
      </c>
      <c r="AU33" s="113">
        <v>0</v>
      </c>
      <c r="AV33" s="115">
        <v>0</v>
      </c>
      <c r="AW33" s="109">
        <v>0</v>
      </c>
      <c r="AX33" s="109">
        <f t="shared" si="12"/>
        <v>0</v>
      </c>
      <c r="AY33" s="113">
        <v>0</v>
      </c>
      <c r="AZ33" s="115">
        <v>0</v>
      </c>
      <c r="BA33" s="109">
        <v>0</v>
      </c>
      <c r="BB33" s="109">
        <f t="shared" si="13"/>
        <v>0</v>
      </c>
      <c r="BC33" s="113">
        <v>0</v>
      </c>
      <c r="BD33" s="115">
        <v>0</v>
      </c>
      <c r="BE33" s="109">
        <v>0</v>
      </c>
      <c r="BF33" s="109">
        <f t="shared" si="14"/>
        <v>0</v>
      </c>
      <c r="BG33" s="113">
        <v>0</v>
      </c>
      <c r="BH33" s="115">
        <v>0</v>
      </c>
      <c r="BI33" s="109">
        <v>0</v>
      </c>
      <c r="BJ33" s="109">
        <f t="shared" si="15"/>
        <v>0</v>
      </c>
      <c r="BK33" s="113">
        <v>0</v>
      </c>
      <c r="BL33" s="115">
        <v>0</v>
      </c>
      <c r="BM33" s="109">
        <v>0</v>
      </c>
      <c r="BN33" s="109">
        <f t="shared" si="16"/>
        <v>0</v>
      </c>
      <c r="BO33" s="113">
        <v>0</v>
      </c>
      <c r="BP33" s="115">
        <v>0</v>
      </c>
      <c r="BQ33" s="109">
        <v>0</v>
      </c>
      <c r="BR33" s="109">
        <f t="shared" si="17"/>
        <v>0</v>
      </c>
      <c r="BS33" s="113">
        <v>0</v>
      </c>
      <c r="BT33" s="115">
        <f t="shared" si="18"/>
        <v>7</v>
      </c>
      <c r="BU33" s="109">
        <f t="shared" si="19"/>
        <v>5</v>
      </c>
      <c r="BV33" s="109">
        <f t="shared" si="20"/>
        <v>0</v>
      </c>
      <c r="BW33" s="109">
        <f t="shared" si="21"/>
        <v>0.58333333333333337</v>
      </c>
      <c r="BX33" s="109">
        <f t="shared" si="22"/>
        <v>1</v>
      </c>
      <c r="BY33" s="113">
        <f t="shared" si="23"/>
        <v>0.73684210526315785</v>
      </c>
    </row>
    <row r="34" spans="1:77" ht="15" thickBot="1" x14ac:dyDescent="0.4">
      <c r="A34" s="109" t="s">
        <v>48</v>
      </c>
      <c r="B34" s="148"/>
      <c r="C34" s="113" t="s">
        <v>74</v>
      </c>
      <c r="D34" s="130">
        <v>1</v>
      </c>
      <c r="E34" s="131">
        <v>1</v>
      </c>
      <c r="F34" s="131">
        <f t="shared" si="1"/>
        <v>0</v>
      </c>
      <c r="G34" s="129">
        <v>0</v>
      </c>
      <c r="H34" s="130">
        <v>1</v>
      </c>
      <c r="I34" s="131">
        <v>1</v>
      </c>
      <c r="J34" s="131">
        <f t="shared" si="2"/>
        <v>0</v>
      </c>
      <c r="K34" s="129">
        <v>0</v>
      </c>
      <c r="L34" s="130">
        <v>0</v>
      </c>
      <c r="M34" s="131">
        <v>0</v>
      </c>
      <c r="N34" s="131">
        <f t="shared" si="3"/>
        <v>0</v>
      </c>
      <c r="O34" s="129">
        <v>0</v>
      </c>
      <c r="P34" s="130">
        <v>5</v>
      </c>
      <c r="Q34" s="131">
        <v>5</v>
      </c>
      <c r="R34" s="131">
        <f t="shared" si="4"/>
        <v>0</v>
      </c>
      <c r="S34" s="129">
        <v>0</v>
      </c>
      <c r="T34" s="130">
        <v>5</v>
      </c>
      <c r="U34" s="131">
        <v>0</v>
      </c>
      <c r="V34" s="131">
        <f t="shared" si="5"/>
        <v>5</v>
      </c>
      <c r="W34" s="129">
        <v>0</v>
      </c>
      <c r="X34" s="130">
        <v>0</v>
      </c>
      <c r="Y34" s="131">
        <v>0</v>
      </c>
      <c r="Z34" s="131">
        <f t="shared" si="6"/>
        <v>0</v>
      </c>
      <c r="AA34" s="129">
        <v>0</v>
      </c>
      <c r="AB34" s="130">
        <v>0</v>
      </c>
      <c r="AC34" s="131">
        <v>0</v>
      </c>
      <c r="AD34" s="131">
        <v>0</v>
      </c>
      <c r="AE34" s="129">
        <v>0</v>
      </c>
      <c r="AF34" s="130">
        <v>0</v>
      </c>
      <c r="AG34" s="131">
        <v>0</v>
      </c>
      <c r="AH34" s="131">
        <f t="shared" si="8"/>
        <v>0</v>
      </c>
      <c r="AI34" s="129">
        <v>0</v>
      </c>
      <c r="AJ34" s="130">
        <v>0</v>
      </c>
      <c r="AK34" s="131">
        <v>0</v>
      </c>
      <c r="AL34" s="131">
        <f t="shared" si="9"/>
        <v>0</v>
      </c>
      <c r="AM34" s="129">
        <v>0</v>
      </c>
      <c r="AN34" s="130">
        <v>0</v>
      </c>
      <c r="AO34" s="131">
        <v>0</v>
      </c>
      <c r="AP34" s="131">
        <f t="shared" si="10"/>
        <v>0</v>
      </c>
      <c r="AQ34" s="129">
        <v>0</v>
      </c>
      <c r="AR34" s="130">
        <v>0</v>
      </c>
      <c r="AS34" s="131">
        <v>0</v>
      </c>
      <c r="AT34" s="131">
        <f t="shared" si="11"/>
        <v>0</v>
      </c>
      <c r="AU34" s="129">
        <v>0</v>
      </c>
      <c r="AV34" s="130">
        <v>0</v>
      </c>
      <c r="AW34" s="131">
        <v>0</v>
      </c>
      <c r="AX34" s="131">
        <f t="shared" si="12"/>
        <v>0</v>
      </c>
      <c r="AY34" s="129">
        <v>0</v>
      </c>
      <c r="AZ34" s="130">
        <v>0</v>
      </c>
      <c r="BA34" s="131">
        <v>0</v>
      </c>
      <c r="BB34" s="131">
        <f t="shared" si="13"/>
        <v>0</v>
      </c>
      <c r="BC34" s="129">
        <v>0</v>
      </c>
      <c r="BD34" s="130">
        <v>0</v>
      </c>
      <c r="BE34" s="131">
        <v>0</v>
      </c>
      <c r="BF34" s="131">
        <f t="shared" si="14"/>
        <v>0</v>
      </c>
      <c r="BG34" s="129">
        <v>0</v>
      </c>
      <c r="BH34" s="132">
        <v>0</v>
      </c>
      <c r="BI34" s="131">
        <v>0</v>
      </c>
      <c r="BJ34" s="131">
        <f t="shared" si="15"/>
        <v>0</v>
      </c>
      <c r="BK34" s="129">
        <v>0</v>
      </c>
      <c r="BL34" s="130">
        <v>0</v>
      </c>
      <c r="BM34" s="131">
        <v>0</v>
      </c>
      <c r="BN34" s="131">
        <f t="shared" si="16"/>
        <v>0</v>
      </c>
      <c r="BO34" s="129">
        <v>0</v>
      </c>
      <c r="BP34" s="130">
        <v>0</v>
      </c>
      <c r="BQ34" s="131">
        <v>0</v>
      </c>
      <c r="BR34" s="131">
        <f t="shared" si="17"/>
        <v>0</v>
      </c>
      <c r="BS34" s="129">
        <v>0</v>
      </c>
      <c r="BT34" s="130">
        <f t="shared" si="18"/>
        <v>7</v>
      </c>
      <c r="BU34" s="131">
        <f t="shared" si="19"/>
        <v>5</v>
      </c>
      <c r="BV34" s="131">
        <f t="shared" si="20"/>
        <v>0</v>
      </c>
      <c r="BW34" s="131">
        <f t="shared" si="21"/>
        <v>0.58333333333333337</v>
      </c>
      <c r="BX34" s="131">
        <f t="shared" si="22"/>
        <v>1</v>
      </c>
      <c r="BY34" s="129">
        <f t="shared" si="23"/>
        <v>0.73684210526315785</v>
      </c>
    </row>
    <row r="35" spans="1:77" ht="15" thickTop="1" x14ac:dyDescent="0.35">
      <c r="C35" s="5" t="s">
        <v>111</v>
      </c>
      <c r="D35" s="48">
        <f>SUM(D3:D34)</f>
        <v>68</v>
      </c>
      <c r="E35" s="48">
        <f t="shared" ref="E35:BP35" si="40">SUM(E3:E34)</f>
        <v>68</v>
      </c>
      <c r="F35" s="48">
        <f t="shared" si="40"/>
        <v>0</v>
      </c>
      <c r="G35" s="48">
        <f t="shared" si="40"/>
        <v>1</v>
      </c>
      <c r="H35" s="48">
        <f t="shared" si="40"/>
        <v>46</v>
      </c>
      <c r="I35" s="48">
        <f t="shared" si="40"/>
        <v>26</v>
      </c>
      <c r="J35" s="48">
        <f t="shared" si="40"/>
        <v>20</v>
      </c>
      <c r="K35" s="48">
        <f t="shared" si="40"/>
        <v>0</v>
      </c>
      <c r="L35" s="48">
        <f t="shared" si="40"/>
        <v>38</v>
      </c>
      <c r="M35" s="48">
        <f t="shared" si="40"/>
        <v>8</v>
      </c>
      <c r="N35" s="48">
        <f t="shared" si="40"/>
        <v>30</v>
      </c>
      <c r="O35" s="48">
        <f t="shared" si="40"/>
        <v>0</v>
      </c>
      <c r="P35" s="48">
        <f t="shared" si="40"/>
        <v>48</v>
      </c>
      <c r="Q35" s="48">
        <f t="shared" si="40"/>
        <v>48</v>
      </c>
      <c r="R35" s="48">
        <f t="shared" si="40"/>
        <v>0</v>
      </c>
      <c r="S35" s="48">
        <f t="shared" si="40"/>
        <v>16</v>
      </c>
      <c r="T35" s="48">
        <f t="shared" si="40"/>
        <v>48</v>
      </c>
      <c r="U35" s="48">
        <f t="shared" si="40"/>
        <v>38</v>
      </c>
      <c r="V35" s="48">
        <f t="shared" si="40"/>
        <v>10</v>
      </c>
      <c r="W35" s="48">
        <f t="shared" si="40"/>
        <v>0</v>
      </c>
      <c r="X35" s="48">
        <f t="shared" si="40"/>
        <v>72</v>
      </c>
      <c r="Y35" s="48">
        <f t="shared" si="40"/>
        <v>72</v>
      </c>
      <c r="Z35" s="48">
        <f t="shared" si="40"/>
        <v>0</v>
      </c>
      <c r="AA35" s="48">
        <f t="shared" si="40"/>
        <v>2</v>
      </c>
      <c r="AB35" s="48">
        <f t="shared" si="40"/>
        <v>20</v>
      </c>
      <c r="AC35" s="48">
        <f>SUM(AC3:AC34)</f>
        <v>20</v>
      </c>
      <c r="AD35" s="48">
        <f t="shared" si="40"/>
        <v>0</v>
      </c>
      <c r="AE35" s="48">
        <f t="shared" si="40"/>
        <v>0</v>
      </c>
      <c r="AF35" s="48">
        <f t="shared" si="40"/>
        <v>72</v>
      </c>
      <c r="AG35" s="48">
        <f t="shared" si="40"/>
        <v>72</v>
      </c>
      <c r="AH35" s="48">
        <f t="shared" si="40"/>
        <v>0</v>
      </c>
      <c r="AI35" s="48">
        <f t="shared" si="40"/>
        <v>0</v>
      </c>
      <c r="AJ35" s="48">
        <f t="shared" si="40"/>
        <v>16</v>
      </c>
      <c r="AK35" s="48">
        <f t="shared" si="40"/>
        <v>16</v>
      </c>
      <c r="AL35" s="48">
        <f t="shared" si="40"/>
        <v>0</v>
      </c>
      <c r="AM35" s="48">
        <f t="shared" si="40"/>
        <v>2</v>
      </c>
      <c r="AN35" s="48">
        <f t="shared" si="40"/>
        <v>2</v>
      </c>
      <c r="AO35" s="48">
        <f t="shared" si="40"/>
        <v>0</v>
      </c>
      <c r="AP35" s="48">
        <f t="shared" si="40"/>
        <v>2</v>
      </c>
      <c r="AQ35" s="48">
        <f t="shared" si="40"/>
        <v>6</v>
      </c>
      <c r="AR35" s="48">
        <f t="shared" si="40"/>
        <v>4</v>
      </c>
      <c r="AS35" s="48">
        <f t="shared" si="40"/>
        <v>1</v>
      </c>
      <c r="AT35" s="48">
        <f t="shared" si="40"/>
        <v>3</v>
      </c>
      <c r="AU35" s="48">
        <f t="shared" si="40"/>
        <v>1</v>
      </c>
      <c r="AV35" s="48">
        <f t="shared" si="40"/>
        <v>8</v>
      </c>
      <c r="AW35" s="48">
        <f t="shared" si="40"/>
        <v>3</v>
      </c>
      <c r="AX35" s="48">
        <f t="shared" si="40"/>
        <v>5</v>
      </c>
      <c r="AY35" s="48">
        <f t="shared" si="40"/>
        <v>10</v>
      </c>
      <c r="AZ35" s="48">
        <f t="shared" si="40"/>
        <v>36</v>
      </c>
      <c r="BA35" s="48">
        <f t="shared" si="40"/>
        <v>26</v>
      </c>
      <c r="BB35" s="48">
        <f t="shared" si="40"/>
        <v>10</v>
      </c>
      <c r="BC35" s="48">
        <f t="shared" si="40"/>
        <v>13</v>
      </c>
      <c r="BD35" s="48">
        <f t="shared" si="40"/>
        <v>8</v>
      </c>
      <c r="BE35" s="48">
        <f t="shared" si="40"/>
        <v>2</v>
      </c>
      <c r="BF35" s="48">
        <f t="shared" si="40"/>
        <v>6</v>
      </c>
      <c r="BG35" s="48">
        <f t="shared" si="40"/>
        <v>0</v>
      </c>
      <c r="BH35" s="48">
        <f t="shared" si="40"/>
        <v>2</v>
      </c>
      <c r="BI35" s="48">
        <f t="shared" si="40"/>
        <v>1</v>
      </c>
      <c r="BJ35" s="48">
        <f t="shared" si="40"/>
        <v>1</v>
      </c>
      <c r="BK35" s="48">
        <f t="shared" si="40"/>
        <v>0</v>
      </c>
      <c r="BL35" s="48">
        <f t="shared" si="40"/>
        <v>0</v>
      </c>
      <c r="BM35" s="48">
        <f t="shared" si="40"/>
        <v>0</v>
      </c>
      <c r="BN35" s="48">
        <f t="shared" si="40"/>
        <v>0</v>
      </c>
      <c r="BO35" s="48">
        <f t="shared" si="40"/>
        <v>5</v>
      </c>
      <c r="BP35" s="48">
        <f t="shared" si="40"/>
        <v>6</v>
      </c>
      <c r="BQ35" s="48">
        <f t="shared" ref="BQ35:BS35" si="41">SUM(BQ3:BQ34)</f>
        <v>2</v>
      </c>
      <c r="BR35" s="48">
        <f t="shared" si="41"/>
        <v>4</v>
      </c>
      <c r="BS35" s="48">
        <f t="shared" si="41"/>
        <v>3</v>
      </c>
    </row>
    <row r="37" spans="1:77" x14ac:dyDescent="0.35">
      <c r="C37" s="134" t="s">
        <v>23</v>
      </c>
      <c r="D37" s="143">
        <f>IFERROR(E35/(E35+F35),"")</f>
        <v>1</v>
      </c>
      <c r="E37" s="144"/>
      <c r="F37" s="144"/>
      <c r="G37" s="145"/>
      <c r="H37" s="143">
        <f t="shared" ref="H37" si="42">IFERROR(I35/(I35+J35),"")</f>
        <v>0.56521739130434778</v>
      </c>
      <c r="I37" s="144"/>
      <c r="J37" s="144"/>
      <c r="K37" s="145"/>
      <c r="L37" s="143">
        <f t="shared" ref="L37" si="43">IFERROR(M35/(M35+N35),"")</f>
        <v>0.21052631578947367</v>
      </c>
      <c r="M37" s="144"/>
      <c r="N37" s="144"/>
      <c r="O37" s="145"/>
      <c r="P37" s="143">
        <f t="shared" ref="P37" si="44">IFERROR(Q35/(Q35+R35),"")</f>
        <v>1</v>
      </c>
      <c r="Q37" s="144"/>
      <c r="R37" s="144"/>
      <c r="S37" s="145"/>
      <c r="T37" s="143">
        <f t="shared" ref="T37" si="45">IFERROR(U35/(U35+V35),"")</f>
        <v>0.79166666666666663</v>
      </c>
      <c r="U37" s="144"/>
      <c r="V37" s="144"/>
      <c r="W37" s="145"/>
      <c r="X37" s="143">
        <f t="shared" ref="X37" si="46">IFERROR(Y35/(Y35+Z35),"")</f>
        <v>1</v>
      </c>
      <c r="Y37" s="144"/>
      <c r="Z37" s="144"/>
      <c r="AA37" s="145"/>
      <c r="AB37" s="143">
        <f t="shared" ref="AB37" si="47">IFERROR(AC35/(AC35+AD35),"")</f>
        <v>1</v>
      </c>
      <c r="AC37" s="144"/>
      <c r="AD37" s="144"/>
      <c r="AE37" s="145"/>
      <c r="AF37" s="143">
        <f t="shared" ref="AF37" si="48">IFERROR(AG35/(AG35+AH35),"")</f>
        <v>1</v>
      </c>
      <c r="AG37" s="144"/>
      <c r="AH37" s="144"/>
      <c r="AI37" s="145"/>
      <c r="AJ37" s="143">
        <f t="shared" ref="AJ37" si="49">IFERROR(AK35/(AK35+AL35),"")</f>
        <v>1</v>
      </c>
      <c r="AK37" s="144"/>
      <c r="AL37" s="144"/>
      <c r="AM37" s="145"/>
      <c r="AN37" s="143">
        <f t="shared" ref="AN37" si="50">IFERROR(AO35/(AO35+AP35),"")</f>
        <v>0</v>
      </c>
      <c r="AO37" s="144"/>
      <c r="AP37" s="144"/>
      <c r="AQ37" s="145"/>
      <c r="AR37" s="143">
        <f t="shared" ref="AR37" si="51">IFERROR(AS35/(AS35+AT35),"")</f>
        <v>0.25</v>
      </c>
      <c r="AS37" s="144"/>
      <c r="AT37" s="144"/>
      <c r="AU37" s="145"/>
      <c r="AV37" s="143">
        <f t="shared" ref="AV37" si="52">IFERROR(AW35/(AW35+AX35),"")</f>
        <v>0.375</v>
      </c>
      <c r="AW37" s="144"/>
      <c r="AX37" s="144"/>
      <c r="AY37" s="145"/>
      <c r="AZ37" s="143">
        <f t="shared" ref="AZ37" si="53">IFERROR(BA35/(BA35+BB35),"")</f>
        <v>0.72222222222222221</v>
      </c>
      <c r="BA37" s="144"/>
      <c r="BB37" s="144"/>
      <c r="BC37" s="145"/>
      <c r="BD37" s="143">
        <f t="shared" ref="BD37" si="54">IFERROR(BE35/(BE35+BF35),"")</f>
        <v>0.25</v>
      </c>
      <c r="BE37" s="144"/>
      <c r="BF37" s="144"/>
      <c r="BG37" s="145"/>
      <c r="BH37" s="143">
        <f t="shared" ref="BH37" si="55">IFERROR(BI35/(BI35+BJ35),"")</f>
        <v>0.5</v>
      </c>
      <c r="BI37" s="144"/>
      <c r="BJ37" s="144"/>
      <c r="BK37" s="145"/>
      <c r="BL37" s="143" t="str">
        <f t="shared" ref="BL37" si="56">IFERROR(BM35/(BM35+BN35),"")</f>
        <v/>
      </c>
      <c r="BM37" s="144"/>
      <c r="BN37" s="144"/>
      <c r="BO37" s="145"/>
      <c r="BP37" s="143">
        <f t="shared" ref="BP37" si="57">IFERROR(BQ35/(BQ35+BR35),"")</f>
        <v>0.33333333333333331</v>
      </c>
      <c r="BQ37" s="144"/>
      <c r="BR37" s="144"/>
      <c r="BS37" s="145"/>
    </row>
    <row r="38" spans="1:77" x14ac:dyDescent="0.35">
      <c r="C38" s="134" t="s">
        <v>141</v>
      </c>
      <c r="D38" s="143">
        <f>IFERROR(E35/(E35+G35),"")</f>
        <v>0.98550724637681164</v>
      </c>
      <c r="E38" s="144"/>
      <c r="F38" s="144"/>
      <c r="G38" s="145"/>
      <c r="H38" s="143">
        <f t="shared" ref="H38" si="58">IFERROR(I35/(I35+K35),"")</f>
        <v>1</v>
      </c>
      <c r="I38" s="144"/>
      <c r="J38" s="144"/>
      <c r="K38" s="145"/>
      <c r="L38" s="143">
        <f t="shared" ref="L38" si="59">IFERROR(M35/(M35+O35),"")</f>
        <v>1</v>
      </c>
      <c r="M38" s="144"/>
      <c r="N38" s="144"/>
      <c r="O38" s="145"/>
      <c r="P38" s="143">
        <f t="shared" ref="P38" si="60">IFERROR(Q35/(Q35+S35),"")</f>
        <v>0.75</v>
      </c>
      <c r="Q38" s="144"/>
      <c r="R38" s="144"/>
      <c r="S38" s="145"/>
      <c r="T38" s="143">
        <f t="shared" ref="T38" si="61">IFERROR(U35/(U35+W35),"")</f>
        <v>1</v>
      </c>
      <c r="U38" s="144"/>
      <c r="V38" s="144"/>
      <c r="W38" s="145"/>
      <c r="X38" s="143">
        <f t="shared" ref="X38" si="62">IFERROR(Y35/(Y35+AA35),"")</f>
        <v>0.97297297297297303</v>
      </c>
      <c r="Y38" s="144"/>
      <c r="Z38" s="144"/>
      <c r="AA38" s="145"/>
      <c r="AB38" s="143">
        <f t="shared" ref="AB38" si="63">IFERROR(AC35/(AC35+AE35),"")</f>
        <v>1</v>
      </c>
      <c r="AC38" s="144"/>
      <c r="AD38" s="144"/>
      <c r="AE38" s="145"/>
      <c r="AF38" s="143">
        <f t="shared" ref="AF38" si="64">IFERROR(AG35/(AG35+AI35),"")</f>
        <v>1</v>
      </c>
      <c r="AG38" s="144"/>
      <c r="AH38" s="144"/>
      <c r="AI38" s="145"/>
      <c r="AJ38" s="143">
        <f t="shared" ref="AJ38" si="65">IFERROR(AK35/(AK35+AM35),"")</f>
        <v>0.88888888888888884</v>
      </c>
      <c r="AK38" s="144"/>
      <c r="AL38" s="144"/>
      <c r="AM38" s="145"/>
      <c r="AN38" s="143">
        <f t="shared" ref="AN38" si="66">IFERROR(AO35/(AO35+AQ35),"")</f>
        <v>0</v>
      </c>
      <c r="AO38" s="144"/>
      <c r="AP38" s="144"/>
      <c r="AQ38" s="145"/>
      <c r="AR38" s="143">
        <f t="shared" ref="AR38" si="67">IFERROR(AS35/(AS35+AU35),"")</f>
        <v>0.5</v>
      </c>
      <c r="AS38" s="144"/>
      <c r="AT38" s="144"/>
      <c r="AU38" s="145"/>
      <c r="AV38" s="143">
        <f t="shared" ref="AV38" si="68">IFERROR(AW35/(AW35+AY35),"")</f>
        <v>0.23076923076923078</v>
      </c>
      <c r="AW38" s="144"/>
      <c r="AX38" s="144"/>
      <c r="AY38" s="145"/>
      <c r="AZ38" s="143">
        <f t="shared" ref="AZ38" si="69">IFERROR(BA35/(BA35+BC35),"")</f>
        <v>0.66666666666666663</v>
      </c>
      <c r="BA38" s="144"/>
      <c r="BB38" s="144"/>
      <c r="BC38" s="145"/>
      <c r="BD38" s="143">
        <f t="shared" ref="BD38" si="70">IFERROR(BE35/(BE35+BG35),"")</f>
        <v>1</v>
      </c>
      <c r="BE38" s="144"/>
      <c r="BF38" s="144"/>
      <c r="BG38" s="145"/>
      <c r="BH38" s="143">
        <f t="shared" ref="BH38" si="71">IFERROR(BI35/(BI35+BK35),"")</f>
        <v>1</v>
      </c>
      <c r="BI38" s="144"/>
      <c r="BJ38" s="144"/>
      <c r="BK38" s="145"/>
      <c r="BL38" s="143">
        <f t="shared" ref="BL38" si="72">IFERROR(BM35/(BM35+BO35),"")</f>
        <v>0</v>
      </c>
      <c r="BM38" s="144"/>
      <c r="BN38" s="144"/>
      <c r="BO38" s="145"/>
      <c r="BP38" s="143">
        <f t="shared" ref="BP38" si="73">IFERROR(BQ35/(BQ35+BS35),"")</f>
        <v>0.4</v>
      </c>
      <c r="BQ38" s="144"/>
      <c r="BR38" s="144"/>
      <c r="BS38" s="145"/>
    </row>
    <row r="39" spans="1:77" x14ac:dyDescent="0.35">
      <c r="C39" s="134" t="s">
        <v>24</v>
      </c>
      <c r="D39" s="143">
        <f>IFERROR(2*D37*D38/(D37+D38),IF(AND(D37=0,D38=0),0,""))</f>
        <v>0.99270072992700742</v>
      </c>
      <c r="E39" s="144"/>
      <c r="F39" s="144"/>
      <c r="G39" s="145"/>
      <c r="H39" s="143">
        <f t="shared" ref="H39" si="74">IFERROR(2*H37*H38/(H37+H38),IF(AND(H37=0,H38=0),0,""))</f>
        <v>0.72222222222222221</v>
      </c>
      <c r="I39" s="144"/>
      <c r="J39" s="144"/>
      <c r="K39" s="145"/>
      <c r="L39" s="143">
        <f t="shared" ref="L39" si="75">IFERROR(2*L37*L38/(L37+L38),IF(AND(L37=0,L38=0),0,""))</f>
        <v>0.34782608695652173</v>
      </c>
      <c r="M39" s="144"/>
      <c r="N39" s="144"/>
      <c r="O39" s="145"/>
      <c r="P39" s="143">
        <f t="shared" ref="P39" si="76">IFERROR(2*P37*P38/(P37+P38),IF(AND(P37=0,P38=0),0,""))</f>
        <v>0.8571428571428571</v>
      </c>
      <c r="Q39" s="144"/>
      <c r="R39" s="144"/>
      <c r="S39" s="145"/>
      <c r="T39" s="143">
        <f t="shared" ref="T39" si="77">IFERROR(2*T37*T38/(T37+T38),IF(AND(T37=0,T38=0),0,""))</f>
        <v>0.88372093023255816</v>
      </c>
      <c r="U39" s="144"/>
      <c r="V39" s="144"/>
      <c r="W39" s="145"/>
      <c r="X39" s="143">
        <f t="shared" ref="X39" si="78">IFERROR(2*X37*X38/(X37+X38),IF(AND(X37=0,X38=0),0,""))</f>
        <v>0.98630136986301375</v>
      </c>
      <c r="Y39" s="144"/>
      <c r="Z39" s="144"/>
      <c r="AA39" s="145"/>
      <c r="AB39" s="143">
        <f t="shared" ref="AB39" si="79">IFERROR(2*AB37*AB38/(AB37+AB38),IF(AND(AB37=0,AB38=0),0,""))</f>
        <v>1</v>
      </c>
      <c r="AC39" s="144"/>
      <c r="AD39" s="144"/>
      <c r="AE39" s="145"/>
      <c r="AF39" s="143">
        <f t="shared" ref="AF39" si="80">IFERROR(2*AF37*AF38/(AF37+AF38),IF(AND(AF37=0,AF38=0),0,""))</f>
        <v>1</v>
      </c>
      <c r="AG39" s="144"/>
      <c r="AH39" s="144"/>
      <c r="AI39" s="145"/>
      <c r="AJ39" s="143">
        <f t="shared" ref="AJ39" si="81">IFERROR(2*AJ37*AJ38/(AJ37+AJ38),IF(AND(AJ37=0,AJ38=0),0,""))</f>
        <v>0.94117647058823528</v>
      </c>
      <c r="AK39" s="144"/>
      <c r="AL39" s="144"/>
      <c r="AM39" s="145"/>
      <c r="AN39" s="143">
        <f t="shared" ref="AN39" si="82">IFERROR(2*AN37*AN38/(AN37+AN38),IF(AND(AN37=0,AN38=0),0,""))</f>
        <v>0</v>
      </c>
      <c r="AO39" s="144"/>
      <c r="AP39" s="144"/>
      <c r="AQ39" s="145"/>
      <c r="AR39" s="143">
        <f t="shared" ref="AR39" si="83">IFERROR(2*AR37*AR38/(AR37+AR38),IF(AND(AR37=0,AR38=0),0,""))</f>
        <v>0.33333333333333331</v>
      </c>
      <c r="AS39" s="144"/>
      <c r="AT39" s="144"/>
      <c r="AU39" s="145"/>
      <c r="AV39" s="143">
        <f t="shared" ref="AV39" si="84">IFERROR(2*AV37*AV38/(AV37+AV38),IF(AND(AV37=0,AV38=0),0,""))</f>
        <v>0.2857142857142857</v>
      </c>
      <c r="AW39" s="144"/>
      <c r="AX39" s="144"/>
      <c r="AY39" s="145"/>
      <c r="AZ39" s="143">
        <f t="shared" ref="AZ39" si="85">IFERROR(2*AZ37*AZ38/(AZ37+AZ38),IF(AND(AZ37=0,AZ38=0),0,""))</f>
        <v>0.69333333333333336</v>
      </c>
      <c r="BA39" s="144"/>
      <c r="BB39" s="144"/>
      <c r="BC39" s="145"/>
      <c r="BD39" s="143">
        <f t="shared" ref="BD39" si="86">IFERROR(2*BD37*BD38/(BD37+BD38),IF(AND(BD37=0,BD38=0),0,""))</f>
        <v>0.4</v>
      </c>
      <c r="BE39" s="144"/>
      <c r="BF39" s="144"/>
      <c r="BG39" s="145"/>
      <c r="BH39" s="143">
        <f t="shared" ref="BH39" si="87">IFERROR(2*BH37*BH38/(BH37+BH38),IF(AND(BH37=0,BH38=0),0,""))</f>
        <v>0.66666666666666663</v>
      </c>
      <c r="BI39" s="144"/>
      <c r="BJ39" s="144"/>
      <c r="BK39" s="145"/>
      <c r="BL39" s="143" t="str">
        <f t="shared" ref="BL39" si="88">IFERROR(2*BL37*BL38/(BL37+BL38),IF(AND(BL37=0,BL38=0),0,""))</f>
        <v/>
      </c>
      <c r="BM39" s="144"/>
      <c r="BN39" s="144"/>
      <c r="BO39" s="145"/>
      <c r="BP39" s="143">
        <f t="shared" ref="BP39" si="89">IFERROR(2*BP37*BP38/(BP37+BP38),IF(AND(BP37=0,BP38=0),0,""))</f>
        <v>0.36363636363636359</v>
      </c>
      <c r="BQ39" s="144"/>
      <c r="BR39" s="144"/>
      <c r="BS39" s="145"/>
    </row>
  </sheetData>
  <mergeCells count="82">
    <mergeCell ref="A1:A2"/>
    <mergeCell ref="B1:B2"/>
    <mergeCell ref="C1:C2"/>
    <mergeCell ref="D1:G1"/>
    <mergeCell ref="H1:K1"/>
    <mergeCell ref="BX1:BX2"/>
    <mergeCell ref="AZ1:BC1"/>
    <mergeCell ref="BD1:BG1"/>
    <mergeCell ref="BH1:BK1"/>
    <mergeCell ref="BL1:BO1"/>
    <mergeCell ref="BP1:BS1"/>
    <mergeCell ref="B3:B34"/>
    <mergeCell ref="BT1:BT2"/>
    <mergeCell ref="BU1:BU2"/>
    <mergeCell ref="BV1:BV2"/>
    <mergeCell ref="BW1:BW2"/>
    <mergeCell ref="AF1:AI1"/>
    <mergeCell ref="AJ1:AM1"/>
    <mergeCell ref="AN1:AQ1"/>
    <mergeCell ref="AR1:AU1"/>
    <mergeCell ref="AV1:AY1"/>
    <mergeCell ref="L1:O1"/>
    <mergeCell ref="P1:S1"/>
    <mergeCell ref="T1:W1"/>
    <mergeCell ref="X1:AA1"/>
    <mergeCell ref="AB1:AE1"/>
    <mergeCell ref="CC1:CC2"/>
    <mergeCell ref="CD1:CD2"/>
    <mergeCell ref="CE1:CE2"/>
    <mergeCell ref="CF1:CF2"/>
    <mergeCell ref="BY1:BY2"/>
    <mergeCell ref="D37:G37"/>
    <mergeCell ref="H37:K37"/>
    <mergeCell ref="L37:O37"/>
    <mergeCell ref="P37:S37"/>
    <mergeCell ref="T37:W37"/>
    <mergeCell ref="X37:AA37"/>
    <mergeCell ref="AB37:AE37"/>
    <mergeCell ref="AF37:AI37"/>
    <mergeCell ref="AJ37:AM37"/>
    <mergeCell ref="AN37:AQ37"/>
    <mergeCell ref="X38:AA38"/>
    <mergeCell ref="AB38:AE38"/>
    <mergeCell ref="AF38:AI38"/>
    <mergeCell ref="AJ38:AM38"/>
    <mergeCell ref="AN38:AQ38"/>
    <mergeCell ref="D38:G38"/>
    <mergeCell ref="H38:K38"/>
    <mergeCell ref="L38:O38"/>
    <mergeCell ref="P38:S38"/>
    <mergeCell ref="T38:W38"/>
    <mergeCell ref="AR39:AU39"/>
    <mergeCell ref="AV39:AY39"/>
    <mergeCell ref="AZ39:BC39"/>
    <mergeCell ref="BL37:BO37"/>
    <mergeCell ref="BP37:BS37"/>
    <mergeCell ref="AR38:AU38"/>
    <mergeCell ref="AV38:AY38"/>
    <mergeCell ref="AZ38:BC38"/>
    <mergeCell ref="BD38:BG38"/>
    <mergeCell ref="AR37:AU37"/>
    <mergeCell ref="AV37:AY37"/>
    <mergeCell ref="AZ37:BC37"/>
    <mergeCell ref="BD37:BG37"/>
    <mergeCell ref="BH37:BK37"/>
    <mergeCell ref="BD39:BG39"/>
    <mergeCell ref="BH39:BK39"/>
    <mergeCell ref="X39:AA39"/>
    <mergeCell ref="AB39:AE39"/>
    <mergeCell ref="AF39:AI39"/>
    <mergeCell ref="AJ39:AM39"/>
    <mergeCell ref="AN39:AQ39"/>
    <mergeCell ref="D39:G39"/>
    <mergeCell ref="H39:K39"/>
    <mergeCell ref="L39:O39"/>
    <mergeCell ref="P39:S39"/>
    <mergeCell ref="T39:W39"/>
    <mergeCell ref="BL39:BO39"/>
    <mergeCell ref="BP39:BS39"/>
    <mergeCell ref="BH38:BK38"/>
    <mergeCell ref="BL38:BO38"/>
    <mergeCell ref="BP38:BS38"/>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9ECB-3FB3-4DDB-A54C-20472C5CFD31}">
  <dimension ref="A1:CF39"/>
  <sheetViews>
    <sheetView topLeftCell="BD1" zoomScale="75" zoomScaleNormal="75" workbookViewId="0">
      <pane ySplit="2" topLeftCell="A3" activePane="bottomLeft" state="frozen"/>
      <selection activeCell="E37" sqref="E37:BT39"/>
      <selection pane="bottomLeft" activeCell="BX1" sqref="BX1:BX2"/>
    </sheetView>
  </sheetViews>
  <sheetFormatPr defaultRowHeight="14.5" x14ac:dyDescent="0.35"/>
  <cols>
    <col min="1" max="1" width="11.1796875" customWidth="1"/>
    <col min="2" max="2" width="35.26953125" customWidth="1"/>
    <col min="3" max="3" width="13.1796875" bestFit="1" customWidth="1"/>
    <col min="4" max="4" width="7.7265625" customWidth="1"/>
    <col min="5" max="5" width="7.6328125" customWidth="1"/>
    <col min="6" max="6" width="7.26953125" customWidth="1"/>
    <col min="7" max="7" width="7.36328125" customWidth="1"/>
    <col min="8" max="8" width="6.54296875" customWidth="1"/>
    <col min="9" max="9" width="7.7265625" customWidth="1"/>
    <col min="10" max="10" width="7" customWidth="1"/>
    <col min="11" max="11" width="7.453125" customWidth="1"/>
    <col min="12" max="12" width="7.26953125" customWidth="1"/>
    <col min="13" max="13" width="7.36328125" customWidth="1"/>
    <col min="14" max="14" width="7.6328125" customWidth="1"/>
    <col min="15" max="15" width="7.81640625" customWidth="1"/>
    <col min="16" max="16" width="6" customWidth="1"/>
    <col min="17" max="17" width="5.81640625" customWidth="1"/>
    <col min="18" max="18" width="6.26953125" customWidth="1"/>
    <col min="19" max="19" width="6.6328125" customWidth="1"/>
    <col min="20" max="20" width="7.36328125" customWidth="1"/>
    <col min="21" max="21" width="6.453125" customWidth="1"/>
    <col min="22" max="22" width="6.26953125" customWidth="1"/>
    <col min="23" max="23" width="6.6328125" customWidth="1"/>
    <col min="24" max="24" width="5.81640625" customWidth="1"/>
    <col min="25" max="25" width="6.7265625" customWidth="1"/>
    <col min="26" max="26" width="6.08984375" customWidth="1"/>
    <col min="27" max="27" width="6.7265625" customWidth="1"/>
    <col min="28" max="28" width="6.26953125" customWidth="1"/>
    <col min="29" max="29" width="6.54296875" customWidth="1"/>
    <col min="30" max="30" width="6.90625" customWidth="1"/>
    <col min="31" max="31" width="7.6328125" customWidth="1"/>
    <col min="32" max="32" width="7.1796875" customWidth="1"/>
    <col min="33" max="33" width="8.54296875" customWidth="1"/>
    <col min="34" max="34" width="8.6328125" customWidth="1"/>
    <col min="35" max="35" width="7.08984375" customWidth="1"/>
    <col min="36" max="36" width="6.54296875" customWidth="1"/>
    <col min="37" max="37" width="7.08984375" customWidth="1"/>
    <col min="38" max="38" width="6.7265625" customWidth="1"/>
    <col min="39" max="39" width="7.36328125" customWidth="1"/>
    <col min="40" max="40" width="6.6328125" customWidth="1"/>
    <col min="41" max="41" width="6.81640625" customWidth="1"/>
    <col min="42" max="42" width="6.7265625" customWidth="1"/>
    <col min="43" max="43" width="6.90625" customWidth="1"/>
    <col min="44" max="44" width="6.7265625" customWidth="1"/>
    <col min="45" max="45" width="6.81640625" customWidth="1"/>
    <col min="46" max="46" width="7" customWidth="1"/>
    <col min="47" max="47" width="7.1796875" customWidth="1"/>
    <col min="48" max="48" width="9" customWidth="1"/>
    <col min="49" max="49" width="9.36328125" customWidth="1"/>
    <col min="50" max="50" width="8.6328125" customWidth="1"/>
    <col min="51" max="51" width="9.6328125" customWidth="1"/>
    <col min="52" max="52" width="7.26953125" customWidth="1"/>
    <col min="53" max="53" width="7.36328125" customWidth="1"/>
    <col min="54" max="54" width="8" customWidth="1"/>
    <col min="55" max="55" width="7.81640625" customWidth="1"/>
    <col min="56" max="56" width="6.26953125" customWidth="1"/>
    <col min="57" max="57" width="7.90625" customWidth="1"/>
    <col min="58" max="58" width="7.1796875" customWidth="1"/>
    <col min="59" max="59" width="7.453125" customWidth="1"/>
    <col min="60" max="60" width="7.36328125" customWidth="1"/>
    <col min="61" max="61" width="6.90625" customWidth="1"/>
    <col min="62" max="62" width="7.36328125" customWidth="1"/>
    <col min="63" max="63" width="7.90625" customWidth="1"/>
    <col min="64" max="64" width="6.6328125" customWidth="1"/>
    <col min="65" max="65" width="7.1796875" customWidth="1"/>
    <col min="66" max="66" width="6.54296875" customWidth="1"/>
    <col min="67" max="67" width="7.7265625" customWidth="1"/>
    <col min="68" max="68" width="6.54296875" customWidth="1"/>
    <col min="69" max="69" width="7.26953125" customWidth="1"/>
    <col min="70" max="70" width="6.90625" customWidth="1"/>
    <col min="71" max="71" width="5.453125" customWidth="1"/>
    <col min="72" max="72" width="9" customWidth="1"/>
    <col min="76" max="76" width="12.7265625" bestFit="1" customWidth="1"/>
    <col min="81" max="81" width="13.1796875" bestFit="1" customWidth="1"/>
    <col min="83" max="83" width="12.7265625" bestFit="1" customWidth="1"/>
  </cols>
  <sheetData>
    <row r="1" spans="1:84" ht="15.5" thickTop="1" thickBot="1" x14ac:dyDescent="0.4">
      <c r="A1" s="153" t="s">
        <v>0</v>
      </c>
      <c r="B1" s="161" t="s">
        <v>1</v>
      </c>
      <c r="C1" s="151" t="s">
        <v>2</v>
      </c>
      <c r="D1" s="164" t="s">
        <v>3</v>
      </c>
      <c r="E1" s="165"/>
      <c r="F1" s="165"/>
      <c r="G1" s="166"/>
      <c r="H1" s="158" t="s">
        <v>95</v>
      </c>
      <c r="I1" s="158"/>
      <c r="J1" s="158"/>
      <c r="K1" s="159"/>
      <c r="L1" s="153" t="s">
        <v>96</v>
      </c>
      <c r="M1" s="149"/>
      <c r="N1" s="149"/>
      <c r="O1" s="151"/>
      <c r="P1" s="153" t="s">
        <v>97</v>
      </c>
      <c r="Q1" s="149"/>
      <c r="R1" s="149"/>
      <c r="S1" s="151"/>
      <c r="T1" s="153" t="s">
        <v>98</v>
      </c>
      <c r="U1" s="149"/>
      <c r="V1" s="149"/>
      <c r="W1" s="151"/>
      <c r="X1" s="153" t="s">
        <v>99</v>
      </c>
      <c r="Y1" s="149"/>
      <c r="Z1" s="149"/>
      <c r="AA1" s="151"/>
      <c r="AB1" s="153" t="s">
        <v>100</v>
      </c>
      <c r="AC1" s="149"/>
      <c r="AD1" s="149"/>
      <c r="AE1" s="151"/>
      <c r="AF1" s="153" t="s">
        <v>101</v>
      </c>
      <c r="AG1" s="149"/>
      <c r="AH1" s="149"/>
      <c r="AI1" s="151"/>
      <c r="AJ1" s="153" t="s">
        <v>102</v>
      </c>
      <c r="AK1" s="149"/>
      <c r="AL1" s="149"/>
      <c r="AM1" s="151"/>
      <c r="AN1" s="153" t="s">
        <v>103</v>
      </c>
      <c r="AO1" s="149"/>
      <c r="AP1" s="149"/>
      <c r="AQ1" s="151"/>
      <c r="AR1" s="153" t="s">
        <v>104</v>
      </c>
      <c r="AS1" s="149"/>
      <c r="AT1" s="149"/>
      <c r="AU1" s="151"/>
      <c r="AV1" s="153" t="s">
        <v>105</v>
      </c>
      <c r="AW1" s="149"/>
      <c r="AX1" s="149"/>
      <c r="AY1" s="156"/>
      <c r="AZ1" s="157" t="s">
        <v>106</v>
      </c>
      <c r="BA1" s="158"/>
      <c r="BB1" s="158"/>
      <c r="BC1" s="159"/>
      <c r="BD1" s="153" t="s">
        <v>107</v>
      </c>
      <c r="BE1" s="149"/>
      <c r="BF1" s="149"/>
      <c r="BG1" s="151"/>
      <c r="BH1" s="153" t="s">
        <v>108</v>
      </c>
      <c r="BI1" s="149"/>
      <c r="BJ1" s="149"/>
      <c r="BK1" s="151"/>
      <c r="BL1" s="153" t="s">
        <v>109</v>
      </c>
      <c r="BM1" s="149"/>
      <c r="BN1" s="149"/>
      <c r="BO1" s="151"/>
      <c r="BP1" s="153" t="s">
        <v>110</v>
      </c>
      <c r="BQ1" s="149"/>
      <c r="BR1" s="149"/>
      <c r="BS1" s="151"/>
      <c r="BT1" s="154" t="s">
        <v>20</v>
      </c>
      <c r="BU1" s="149" t="s">
        <v>21</v>
      </c>
      <c r="BV1" s="149" t="s">
        <v>22</v>
      </c>
      <c r="BW1" s="149" t="s">
        <v>23</v>
      </c>
      <c r="BX1" s="149" t="s">
        <v>141</v>
      </c>
      <c r="BY1" s="151" t="s">
        <v>24</v>
      </c>
      <c r="CC1" s="146" t="s">
        <v>2</v>
      </c>
      <c r="CD1" s="146" t="str">
        <f>BW1</f>
        <v>Recall</v>
      </c>
      <c r="CE1" s="146" t="str">
        <f>BX1</f>
        <v>Precision</v>
      </c>
      <c r="CF1" s="146" t="str">
        <f>BY1</f>
        <v>F1</v>
      </c>
    </row>
    <row r="2" spans="1:84" ht="15.5" thickTop="1" thickBot="1" x14ac:dyDescent="0.4">
      <c r="A2" s="160"/>
      <c r="B2" s="162"/>
      <c r="C2" s="163"/>
      <c r="D2" s="6" t="s">
        <v>25</v>
      </c>
      <c r="E2" s="1" t="s">
        <v>20</v>
      </c>
      <c r="F2" s="1" t="s">
        <v>21</v>
      </c>
      <c r="G2" s="2" t="s">
        <v>22</v>
      </c>
      <c r="H2" s="1" t="s">
        <v>25</v>
      </c>
      <c r="I2" s="4" t="s">
        <v>20</v>
      </c>
      <c r="J2" s="4" t="s">
        <v>21</v>
      </c>
      <c r="K2" s="2" t="s">
        <v>22</v>
      </c>
      <c r="L2" s="1" t="s">
        <v>25</v>
      </c>
      <c r="M2" s="4" t="s">
        <v>20</v>
      </c>
      <c r="N2" s="4" t="s">
        <v>21</v>
      </c>
      <c r="O2" s="2" t="s">
        <v>22</v>
      </c>
      <c r="P2" s="1" t="s">
        <v>25</v>
      </c>
      <c r="Q2" s="4" t="s">
        <v>20</v>
      </c>
      <c r="R2" s="4" t="s">
        <v>21</v>
      </c>
      <c r="S2" s="2" t="s">
        <v>22</v>
      </c>
      <c r="T2" s="1" t="s">
        <v>25</v>
      </c>
      <c r="U2" s="4" t="s">
        <v>20</v>
      </c>
      <c r="V2" s="4" t="s">
        <v>21</v>
      </c>
      <c r="W2" s="2" t="s">
        <v>22</v>
      </c>
      <c r="X2" s="1" t="s">
        <v>25</v>
      </c>
      <c r="Y2" s="4" t="s">
        <v>20</v>
      </c>
      <c r="Z2" s="4" t="s">
        <v>21</v>
      </c>
      <c r="AA2" s="2" t="s">
        <v>22</v>
      </c>
      <c r="AB2" s="1" t="s">
        <v>25</v>
      </c>
      <c r="AC2" s="4" t="s">
        <v>20</v>
      </c>
      <c r="AD2" s="4" t="s">
        <v>21</v>
      </c>
      <c r="AE2" s="2" t="s">
        <v>22</v>
      </c>
      <c r="AF2" s="1" t="s">
        <v>25</v>
      </c>
      <c r="AG2" s="4" t="s">
        <v>20</v>
      </c>
      <c r="AH2" s="4" t="s">
        <v>21</v>
      </c>
      <c r="AI2" s="2" t="s">
        <v>22</v>
      </c>
      <c r="AJ2" s="1" t="s">
        <v>25</v>
      </c>
      <c r="AK2" s="4" t="s">
        <v>20</v>
      </c>
      <c r="AL2" s="4" t="s">
        <v>21</v>
      </c>
      <c r="AM2" s="2" t="s">
        <v>22</v>
      </c>
      <c r="AN2" s="1" t="s">
        <v>25</v>
      </c>
      <c r="AO2" s="4" t="s">
        <v>20</v>
      </c>
      <c r="AP2" s="4" t="s">
        <v>21</v>
      </c>
      <c r="AQ2" s="2" t="s">
        <v>22</v>
      </c>
      <c r="AR2" s="1" t="s">
        <v>25</v>
      </c>
      <c r="AS2" s="4" t="s">
        <v>20</v>
      </c>
      <c r="AT2" s="4" t="s">
        <v>21</v>
      </c>
      <c r="AU2" s="2" t="s">
        <v>22</v>
      </c>
      <c r="AV2" s="1" t="s">
        <v>25</v>
      </c>
      <c r="AW2" s="4" t="s">
        <v>20</v>
      </c>
      <c r="AX2" s="4" t="s">
        <v>21</v>
      </c>
      <c r="AY2" s="122" t="s">
        <v>22</v>
      </c>
      <c r="AZ2" s="121" t="s">
        <v>25</v>
      </c>
      <c r="BA2" s="3" t="s">
        <v>20</v>
      </c>
      <c r="BB2" s="3" t="s">
        <v>21</v>
      </c>
      <c r="BC2" s="122" t="s">
        <v>22</v>
      </c>
      <c r="BD2" s="6" t="s">
        <v>25</v>
      </c>
      <c r="BE2" s="4" t="s">
        <v>20</v>
      </c>
      <c r="BF2" s="4" t="s">
        <v>21</v>
      </c>
      <c r="BG2" s="2" t="s">
        <v>22</v>
      </c>
      <c r="BH2" s="1" t="s">
        <v>25</v>
      </c>
      <c r="BI2" s="4" t="s">
        <v>20</v>
      </c>
      <c r="BJ2" s="4" t="s">
        <v>21</v>
      </c>
      <c r="BK2" s="2" t="s">
        <v>22</v>
      </c>
      <c r="BL2" s="1" t="s">
        <v>25</v>
      </c>
      <c r="BM2" s="4" t="s">
        <v>20</v>
      </c>
      <c r="BN2" s="4" t="s">
        <v>21</v>
      </c>
      <c r="BO2" s="2" t="s">
        <v>22</v>
      </c>
      <c r="BP2" s="1" t="s">
        <v>25</v>
      </c>
      <c r="BQ2" s="4" t="s">
        <v>20</v>
      </c>
      <c r="BR2" s="4" t="s">
        <v>21</v>
      </c>
      <c r="BS2" s="2" t="s">
        <v>22</v>
      </c>
      <c r="BT2" s="155"/>
      <c r="BU2" s="150"/>
      <c r="BV2" s="150"/>
      <c r="BW2" s="150"/>
      <c r="BX2" s="150"/>
      <c r="BY2" s="152"/>
      <c r="CC2" s="146"/>
      <c r="CD2" s="146"/>
      <c r="CE2" s="146"/>
      <c r="CF2" s="146"/>
    </row>
    <row r="3" spans="1:84" ht="15" customHeight="1" thickTop="1" x14ac:dyDescent="0.35">
      <c r="A3" s="49" t="s">
        <v>48</v>
      </c>
      <c r="B3" s="147" t="s">
        <v>59</v>
      </c>
      <c r="C3" s="7" t="s">
        <v>26</v>
      </c>
      <c r="D3" s="8">
        <v>3</v>
      </c>
      <c r="E3" s="9">
        <v>3</v>
      </c>
      <c r="F3" s="9">
        <f>D3-E3</f>
        <v>0</v>
      </c>
      <c r="G3" s="7">
        <v>0</v>
      </c>
      <c r="H3" s="10">
        <v>3</v>
      </c>
      <c r="I3" s="9">
        <v>0</v>
      </c>
      <c r="J3" s="9">
        <f>H3-I3</f>
        <v>3</v>
      </c>
      <c r="K3" s="7">
        <v>0</v>
      </c>
      <c r="L3" s="10">
        <v>6</v>
      </c>
      <c r="M3" s="9">
        <v>0</v>
      </c>
      <c r="N3" s="9">
        <f>L3-M3</f>
        <v>6</v>
      </c>
      <c r="O3" s="7">
        <v>0</v>
      </c>
      <c r="P3" s="10">
        <v>4</v>
      </c>
      <c r="Q3" s="9">
        <v>4</v>
      </c>
      <c r="R3" s="9">
        <f>P3-Q3</f>
        <v>0</v>
      </c>
      <c r="S3" s="7">
        <v>0</v>
      </c>
      <c r="T3" s="10">
        <v>4</v>
      </c>
      <c r="U3" s="9">
        <v>4</v>
      </c>
      <c r="V3" s="9">
        <f>T3-U3</f>
        <v>0</v>
      </c>
      <c r="W3" s="7">
        <v>0</v>
      </c>
      <c r="X3" s="10">
        <v>3</v>
      </c>
      <c r="Y3" s="9">
        <v>3</v>
      </c>
      <c r="Z3" s="9">
        <f>X3-Y3</f>
        <v>0</v>
      </c>
      <c r="AA3" s="7">
        <v>0</v>
      </c>
      <c r="AB3" s="10">
        <v>0</v>
      </c>
      <c r="AC3" s="9">
        <v>0</v>
      </c>
      <c r="AD3" s="9">
        <f>AB3-AC3</f>
        <v>0</v>
      </c>
      <c r="AE3" s="7">
        <v>0</v>
      </c>
      <c r="AF3" s="10">
        <v>3</v>
      </c>
      <c r="AG3" s="9">
        <v>3</v>
      </c>
      <c r="AH3" s="9">
        <f>AF3-AG3</f>
        <v>0</v>
      </c>
      <c r="AI3" s="7">
        <v>0</v>
      </c>
      <c r="AJ3" s="10">
        <v>2</v>
      </c>
      <c r="AK3" s="9">
        <v>2</v>
      </c>
      <c r="AL3" s="9">
        <f>AJ3-AK3</f>
        <v>0</v>
      </c>
      <c r="AM3" s="7">
        <v>0</v>
      </c>
      <c r="AN3" s="10">
        <v>0</v>
      </c>
      <c r="AO3" s="9">
        <v>0</v>
      </c>
      <c r="AP3" s="9">
        <f>AN3-AO3</f>
        <v>0</v>
      </c>
      <c r="AQ3" s="7">
        <v>0</v>
      </c>
      <c r="AR3" s="10">
        <v>0</v>
      </c>
      <c r="AS3" s="9">
        <v>0</v>
      </c>
      <c r="AT3" s="9">
        <f>AR3-AS3</f>
        <v>0</v>
      </c>
      <c r="AU3" s="7">
        <v>0</v>
      </c>
      <c r="AV3" s="10">
        <v>0</v>
      </c>
      <c r="AW3" s="9">
        <v>0</v>
      </c>
      <c r="AX3" s="9">
        <f>AV3-AW3</f>
        <v>0</v>
      </c>
      <c r="AY3" s="7">
        <v>0</v>
      </c>
      <c r="AZ3" s="8">
        <v>2</v>
      </c>
      <c r="BA3" s="124">
        <v>2</v>
      </c>
      <c r="BB3" s="124">
        <f>AZ3-BA3</f>
        <v>0</v>
      </c>
      <c r="BC3" s="123">
        <v>0</v>
      </c>
      <c r="BD3" s="8">
        <v>0</v>
      </c>
      <c r="BE3" s="9">
        <v>0</v>
      </c>
      <c r="BF3" s="9">
        <f>BD3-BE3</f>
        <v>0</v>
      </c>
      <c r="BG3" s="7">
        <v>0</v>
      </c>
      <c r="BH3" s="10">
        <v>0</v>
      </c>
      <c r="BI3" s="9">
        <v>0</v>
      </c>
      <c r="BJ3" s="9">
        <f>BH3-BI3</f>
        <v>0</v>
      </c>
      <c r="BK3" s="7">
        <v>0</v>
      </c>
      <c r="BL3" s="10">
        <v>0</v>
      </c>
      <c r="BM3" s="9">
        <v>0</v>
      </c>
      <c r="BN3" s="9">
        <f>BL3-BM3</f>
        <v>0</v>
      </c>
      <c r="BO3" s="7">
        <v>0</v>
      </c>
      <c r="BP3" s="10">
        <v>0</v>
      </c>
      <c r="BQ3" s="9">
        <v>0</v>
      </c>
      <c r="BR3" s="9">
        <f>BP3-BQ3</f>
        <v>0</v>
      </c>
      <c r="BS3" s="7">
        <v>0</v>
      </c>
      <c r="BT3" s="10">
        <f>SUM(E3,I3,M3,Q3,U3,Y3,AC3,AG3,AK3,AO3,AS3,AW3,BE3,BI3,BM3,BQ3,BA3)</f>
        <v>21</v>
      </c>
      <c r="BU3" s="9">
        <f>SUM(BR3,BN3,BJ3,BF3,AX3,AT3,AP3,AL3,AH3,AD3,Z3,V3,R3,N3,J3,F3,BB3)</f>
        <v>9</v>
      </c>
      <c r="BV3" s="124">
        <f>SUM(BS3,BO3,BK3,BG3,AY3,AU3,AQ3,AM3,AI3,AE3,AA3,W3,S3,O3,K3,G3, BC3)</f>
        <v>0</v>
      </c>
      <c r="BW3" s="9">
        <f>BT3/(BT3+BU3)</f>
        <v>0.7</v>
      </c>
      <c r="BX3" s="9">
        <f>BT3/(BT3+BV3)</f>
        <v>1</v>
      </c>
      <c r="BY3" s="7">
        <f>2*(BX3*BW3)/(BX3+BW3)</f>
        <v>0.82352941176470584</v>
      </c>
      <c r="CC3" s="133" t="s">
        <v>75</v>
      </c>
      <c r="CD3">
        <f>AVERAGE(BW3:BW4)</f>
        <v>0.7</v>
      </c>
      <c r="CE3">
        <f t="shared" ref="CE3:CF3" si="0">AVERAGE(BX3:BX4)</f>
        <v>1</v>
      </c>
      <c r="CF3">
        <f t="shared" si="0"/>
        <v>0.82352941176470584</v>
      </c>
    </row>
    <row r="4" spans="1:84" x14ac:dyDescent="0.35">
      <c r="A4" s="49" t="s">
        <v>48</v>
      </c>
      <c r="B4" s="148"/>
      <c r="C4" s="123" t="s">
        <v>60</v>
      </c>
      <c r="D4" s="8">
        <v>3</v>
      </c>
      <c r="E4" s="124">
        <v>3</v>
      </c>
      <c r="F4" s="124">
        <f t="shared" ref="F4:F34" si="1">D4-E4</f>
        <v>0</v>
      </c>
      <c r="G4" s="123">
        <v>0</v>
      </c>
      <c r="H4" s="8">
        <v>3</v>
      </c>
      <c r="I4" s="124">
        <v>0</v>
      </c>
      <c r="J4" s="124">
        <f t="shared" ref="J4:J34" si="2">H4-I4</f>
        <v>3</v>
      </c>
      <c r="K4" s="123">
        <v>0</v>
      </c>
      <c r="L4" s="8">
        <v>6</v>
      </c>
      <c r="M4" s="124">
        <v>0</v>
      </c>
      <c r="N4" s="124">
        <f t="shared" ref="N4:N34" si="3">L4-M4</f>
        <v>6</v>
      </c>
      <c r="O4" s="123">
        <v>0</v>
      </c>
      <c r="P4" s="8">
        <v>4</v>
      </c>
      <c r="Q4" s="124">
        <v>4</v>
      </c>
      <c r="R4" s="124">
        <f t="shared" ref="R4:R34" si="4">P4-Q4</f>
        <v>0</v>
      </c>
      <c r="S4" s="123">
        <v>0</v>
      </c>
      <c r="T4" s="8">
        <v>4</v>
      </c>
      <c r="U4" s="124">
        <v>4</v>
      </c>
      <c r="V4" s="124">
        <f t="shared" ref="V4:V34" si="5">T4-U4</f>
        <v>0</v>
      </c>
      <c r="W4" s="123">
        <v>0</v>
      </c>
      <c r="X4" s="8">
        <v>3</v>
      </c>
      <c r="Y4" s="124">
        <v>3</v>
      </c>
      <c r="Z4" s="124">
        <f t="shared" ref="Z4:Z34" si="6">X4-Y4</f>
        <v>0</v>
      </c>
      <c r="AA4" s="123">
        <v>0</v>
      </c>
      <c r="AB4" s="8">
        <v>0</v>
      </c>
      <c r="AC4" s="124">
        <v>0</v>
      </c>
      <c r="AD4" s="124">
        <f t="shared" ref="AD4:AD29" si="7">AB4-AC4</f>
        <v>0</v>
      </c>
      <c r="AE4" s="123">
        <v>0</v>
      </c>
      <c r="AF4" s="8">
        <v>3</v>
      </c>
      <c r="AG4" s="124">
        <v>3</v>
      </c>
      <c r="AH4" s="124">
        <f t="shared" ref="AH4:AH34" si="8">AF4-AG4</f>
        <v>0</v>
      </c>
      <c r="AI4" s="123">
        <v>0</v>
      </c>
      <c r="AJ4" s="8">
        <v>2</v>
      </c>
      <c r="AK4" s="124">
        <v>2</v>
      </c>
      <c r="AL4" s="124">
        <f t="shared" ref="AL4:AL34" si="9">AJ4-AK4</f>
        <v>0</v>
      </c>
      <c r="AM4" s="123">
        <v>0</v>
      </c>
      <c r="AN4" s="8">
        <v>0</v>
      </c>
      <c r="AO4" s="124">
        <v>0</v>
      </c>
      <c r="AP4" s="124">
        <f t="shared" ref="AP4:AP34" si="10">AN4-AO4</f>
        <v>0</v>
      </c>
      <c r="AQ4" s="123">
        <v>0</v>
      </c>
      <c r="AR4" s="8">
        <v>0</v>
      </c>
      <c r="AS4" s="124">
        <v>0</v>
      </c>
      <c r="AT4" s="124">
        <f t="shared" ref="AT4:AT34" si="11">AR4-AS4</f>
        <v>0</v>
      </c>
      <c r="AU4" s="123">
        <v>0</v>
      </c>
      <c r="AV4" s="8">
        <v>0</v>
      </c>
      <c r="AW4" s="124">
        <v>0</v>
      </c>
      <c r="AX4" s="124">
        <f t="shared" ref="AX4:AX34" si="12">AV4-AW4</f>
        <v>0</v>
      </c>
      <c r="AY4" s="123">
        <v>0</v>
      </c>
      <c r="AZ4" s="8">
        <v>2</v>
      </c>
      <c r="BA4" s="124">
        <v>2</v>
      </c>
      <c r="BB4" s="124">
        <f t="shared" ref="BB4:BB34" si="13">AZ4-BA4</f>
        <v>0</v>
      </c>
      <c r="BC4" s="123">
        <v>0</v>
      </c>
      <c r="BD4" s="8">
        <v>0</v>
      </c>
      <c r="BE4" s="124">
        <v>0</v>
      </c>
      <c r="BF4" s="124">
        <f t="shared" ref="BF4:BF34" si="14">BD4-BE4</f>
        <v>0</v>
      </c>
      <c r="BG4" s="123">
        <v>0</v>
      </c>
      <c r="BH4" s="8">
        <v>0</v>
      </c>
      <c r="BI4" s="124">
        <v>0</v>
      </c>
      <c r="BJ4" s="124">
        <f t="shared" ref="BJ4:BJ34" si="15">BH4-BI4</f>
        <v>0</v>
      </c>
      <c r="BK4" s="123">
        <v>0</v>
      </c>
      <c r="BL4" s="8">
        <v>0</v>
      </c>
      <c r="BM4" s="124">
        <v>0</v>
      </c>
      <c r="BN4" s="124">
        <f t="shared" ref="BN4:BN34" si="16">BL4-BM4</f>
        <v>0</v>
      </c>
      <c r="BO4" s="123">
        <v>0</v>
      </c>
      <c r="BP4" s="8">
        <v>0</v>
      </c>
      <c r="BQ4" s="124">
        <v>0</v>
      </c>
      <c r="BR4" s="124">
        <f t="shared" ref="BR4:BR34" si="17">BP4-BQ4</f>
        <v>0</v>
      </c>
      <c r="BS4" s="123">
        <v>0</v>
      </c>
      <c r="BT4" s="8">
        <f t="shared" ref="BT4:BT34" si="18">SUM(E4,I4,M4,Q4,U4,Y4,AC4,AG4,AK4,AO4,AS4,AW4,BE4,BI4,BM4,BQ4,BA4)</f>
        <v>21</v>
      </c>
      <c r="BU4" s="124">
        <f t="shared" ref="BU4:BU34" si="19">SUM(BR4,BN4,BJ4,BF4,AX4,AT4,AP4,AL4,AH4,AD4,Z4,V4,R4,N4,J4,F4,BB4)</f>
        <v>9</v>
      </c>
      <c r="BV4" s="124">
        <f t="shared" ref="BV4:BV34" si="20">SUM(BS4,BO4,BK4,BG4,AY4,AU4,AQ4,AM4,AI4,AE4,AA4,W4,S4,O4,K4,G4, BC4)</f>
        <v>0</v>
      </c>
      <c r="BW4" s="124">
        <f t="shared" ref="BW4:BW34" si="21">BT4/(BT4+BU4)</f>
        <v>0.7</v>
      </c>
      <c r="BX4" s="124">
        <f t="shared" ref="BX4:BX34" si="22">BT4/(BT4+BV4)</f>
        <v>1</v>
      </c>
      <c r="BY4" s="123">
        <f t="shared" ref="BY4:BY34" si="23">2*(BX4*BW4)/(BX4+BW4)</f>
        <v>0.82352941176470584</v>
      </c>
      <c r="CC4" s="133" t="s">
        <v>76</v>
      </c>
      <c r="CD4">
        <f>AVERAGE(BW5:BW6)</f>
        <v>0.9</v>
      </c>
      <c r="CE4">
        <f t="shared" ref="CE4:CF4" si="24">AVERAGE(BX5:BX6)</f>
        <v>0.64615384615384608</v>
      </c>
      <c r="CF4">
        <f t="shared" si="24"/>
        <v>0.75130434782608702</v>
      </c>
    </row>
    <row r="5" spans="1:84" x14ac:dyDescent="0.35">
      <c r="A5" s="50" t="s">
        <v>48</v>
      </c>
      <c r="B5" s="148"/>
      <c r="C5" s="11" t="s">
        <v>27</v>
      </c>
      <c r="D5" s="12">
        <v>2</v>
      </c>
      <c r="E5" s="13">
        <v>2</v>
      </c>
      <c r="F5" s="13">
        <f t="shared" si="1"/>
        <v>0</v>
      </c>
      <c r="G5" s="11">
        <v>0</v>
      </c>
      <c r="H5" s="12">
        <v>2</v>
      </c>
      <c r="I5" s="13">
        <v>2</v>
      </c>
      <c r="J5" s="13">
        <f t="shared" si="2"/>
        <v>0</v>
      </c>
      <c r="K5" s="11">
        <v>0</v>
      </c>
      <c r="L5" s="12">
        <v>0</v>
      </c>
      <c r="M5" s="13">
        <v>0</v>
      </c>
      <c r="N5" s="13">
        <f t="shared" si="3"/>
        <v>0</v>
      </c>
      <c r="O5" s="11">
        <v>0</v>
      </c>
      <c r="P5" s="12">
        <v>0</v>
      </c>
      <c r="Q5" s="13">
        <v>0</v>
      </c>
      <c r="R5" s="13">
        <f t="shared" si="4"/>
        <v>0</v>
      </c>
      <c r="S5" s="11">
        <v>1</v>
      </c>
      <c r="T5" s="12">
        <v>0</v>
      </c>
      <c r="U5" s="13">
        <v>0</v>
      </c>
      <c r="V5" s="13">
        <f t="shared" si="5"/>
        <v>0</v>
      </c>
      <c r="W5" s="11">
        <v>0</v>
      </c>
      <c r="X5" s="12">
        <v>2</v>
      </c>
      <c r="Y5" s="13">
        <v>2</v>
      </c>
      <c r="Z5" s="13">
        <f t="shared" si="6"/>
        <v>0</v>
      </c>
      <c r="AA5" s="11">
        <v>0</v>
      </c>
      <c r="AB5" s="12">
        <v>0</v>
      </c>
      <c r="AC5" s="13">
        <v>0</v>
      </c>
      <c r="AD5" s="13">
        <f t="shared" si="7"/>
        <v>0</v>
      </c>
      <c r="AE5" s="11">
        <v>0</v>
      </c>
      <c r="AF5" s="12">
        <v>2</v>
      </c>
      <c r="AG5" s="13">
        <v>2</v>
      </c>
      <c r="AH5" s="13">
        <f t="shared" si="8"/>
        <v>0</v>
      </c>
      <c r="AI5" s="11">
        <v>0</v>
      </c>
      <c r="AJ5" s="12">
        <v>0</v>
      </c>
      <c r="AK5" s="13">
        <v>0</v>
      </c>
      <c r="AL5" s="13">
        <f t="shared" si="9"/>
        <v>0</v>
      </c>
      <c r="AM5" s="11">
        <v>1</v>
      </c>
      <c r="AN5" s="12">
        <v>0</v>
      </c>
      <c r="AO5" s="13">
        <v>0</v>
      </c>
      <c r="AP5" s="13">
        <f t="shared" si="10"/>
        <v>0</v>
      </c>
      <c r="AQ5" s="11">
        <v>0</v>
      </c>
      <c r="AR5" s="12">
        <v>0</v>
      </c>
      <c r="AS5" s="13">
        <v>0</v>
      </c>
      <c r="AT5" s="13">
        <f t="shared" si="11"/>
        <v>0</v>
      </c>
      <c r="AU5" s="11">
        <v>0</v>
      </c>
      <c r="AV5" s="12">
        <v>1</v>
      </c>
      <c r="AW5" s="13">
        <v>0</v>
      </c>
      <c r="AX5" s="13">
        <f t="shared" si="12"/>
        <v>1</v>
      </c>
      <c r="AY5" s="11">
        <v>1</v>
      </c>
      <c r="AZ5" s="12">
        <v>1</v>
      </c>
      <c r="BA5" s="13">
        <v>1</v>
      </c>
      <c r="BB5" s="13">
        <f t="shared" si="13"/>
        <v>0</v>
      </c>
      <c r="BC5" s="11">
        <v>1</v>
      </c>
      <c r="BD5" s="12">
        <v>0</v>
      </c>
      <c r="BE5" s="13">
        <v>0</v>
      </c>
      <c r="BF5" s="13">
        <f t="shared" si="14"/>
        <v>0</v>
      </c>
      <c r="BG5" s="11">
        <v>0</v>
      </c>
      <c r="BH5" s="12">
        <v>0</v>
      </c>
      <c r="BI5" s="13">
        <v>0</v>
      </c>
      <c r="BJ5" s="13">
        <f t="shared" si="15"/>
        <v>0</v>
      </c>
      <c r="BK5" s="11">
        <v>0</v>
      </c>
      <c r="BL5" s="12">
        <v>0</v>
      </c>
      <c r="BM5" s="13">
        <v>0</v>
      </c>
      <c r="BN5" s="13">
        <f t="shared" si="16"/>
        <v>0</v>
      </c>
      <c r="BO5" s="11">
        <v>0</v>
      </c>
      <c r="BP5" s="12">
        <v>0</v>
      </c>
      <c r="BQ5" s="13">
        <v>0</v>
      </c>
      <c r="BR5" s="13">
        <f t="shared" si="17"/>
        <v>0</v>
      </c>
      <c r="BS5" s="11">
        <v>0</v>
      </c>
      <c r="BT5" s="12">
        <f t="shared" si="18"/>
        <v>9</v>
      </c>
      <c r="BU5" s="13">
        <f t="shared" si="19"/>
        <v>1</v>
      </c>
      <c r="BV5" s="13">
        <f t="shared" si="20"/>
        <v>4</v>
      </c>
      <c r="BW5" s="13">
        <f t="shared" si="21"/>
        <v>0.9</v>
      </c>
      <c r="BX5" s="13">
        <f t="shared" si="22"/>
        <v>0.69230769230769229</v>
      </c>
      <c r="BY5" s="11">
        <f t="shared" si="23"/>
        <v>0.78260869565217384</v>
      </c>
      <c r="CC5" s="133" t="s">
        <v>77</v>
      </c>
      <c r="CD5">
        <f>AVERAGE(BW7:BW8)</f>
        <v>0.8125</v>
      </c>
      <c r="CE5">
        <f t="shared" ref="CE5:CF5" si="25">AVERAGE(BX7:BX8)</f>
        <v>0.8666666666666667</v>
      </c>
      <c r="CF5">
        <f t="shared" si="25"/>
        <v>0.83870967741935487</v>
      </c>
    </row>
    <row r="6" spans="1:84" x14ac:dyDescent="0.35">
      <c r="A6" s="50" t="s">
        <v>48</v>
      </c>
      <c r="B6" s="148"/>
      <c r="C6" s="11" t="s">
        <v>61</v>
      </c>
      <c r="D6" s="12">
        <v>2</v>
      </c>
      <c r="E6" s="13">
        <v>2</v>
      </c>
      <c r="F6" s="13">
        <f t="shared" si="1"/>
        <v>0</v>
      </c>
      <c r="G6" s="11">
        <v>0</v>
      </c>
      <c r="H6" s="12">
        <v>2</v>
      </c>
      <c r="I6" s="13">
        <v>2</v>
      </c>
      <c r="J6" s="13">
        <f t="shared" si="2"/>
        <v>0</v>
      </c>
      <c r="K6" s="11">
        <v>0</v>
      </c>
      <c r="L6" s="12">
        <v>0</v>
      </c>
      <c r="M6" s="13">
        <v>0</v>
      </c>
      <c r="N6" s="13">
        <f t="shared" si="3"/>
        <v>0</v>
      </c>
      <c r="O6" s="11">
        <v>0</v>
      </c>
      <c r="P6" s="12">
        <v>0</v>
      </c>
      <c r="Q6" s="13">
        <v>0</v>
      </c>
      <c r="R6" s="13">
        <f t="shared" si="4"/>
        <v>0</v>
      </c>
      <c r="S6" s="11">
        <v>1</v>
      </c>
      <c r="T6" s="12">
        <v>0</v>
      </c>
      <c r="U6" s="13">
        <v>0</v>
      </c>
      <c r="V6" s="13">
        <f t="shared" si="5"/>
        <v>0</v>
      </c>
      <c r="W6" s="11">
        <v>0</v>
      </c>
      <c r="X6" s="12">
        <v>2</v>
      </c>
      <c r="Y6" s="13">
        <v>2</v>
      </c>
      <c r="Z6" s="13">
        <f t="shared" si="6"/>
        <v>0</v>
      </c>
      <c r="AA6" s="11">
        <v>2</v>
      </c>
      <c r="AB6" s="12">
        <v>0</v>
      </c>
      <c r="AC6" s="13">
        <v>0</v>
      </c>
      <c r="AD6" s="13">
        <f t="shared" si="7"/>
        <v>0</v>
      </c>
      <c r="AE6" s="11">
        <v>0</v>
      </c>
      <c r="AF6" s="12">
        <v>2</v>
      </c>
      <c r="AG6" s="13">
        <v>2</v>
      </c>
      <c r="AH6" s="13">
        <f t="shared" si="8"/>
        <v>0</v>
      </c>
      <c r="AI6" s="11">
        <v>0</v>
      </c>
      <c r="AJ6" s="12">
        <v>0</v>
      </c>
      <c r="AK6" s="13">
        <v>0</v>
      </c>
      <c r="AL6" s="13">
        <f t="shared" si="9"/>
        <v>0</v>
      </c>
      <c r="AM6" s="11">
        <v>1</v>
      </c>
      <c r="AN6" s="12">
        <v>0</v>
      </c>
      <c r="AO6" s="13">
        <v>0</v>
      </c>
      <c r="AP6" s="13">
        <f t="shared" si="10"/>
        <v>0</v>
      </c>
      <c r="AQ6" s="11">
        <v>0</v>
      </c>
      <c r="AR6" s="12">
        <v>0</v>
      </c>
      <c r="AS6" s="13">
        <v>0</v>
      </c>
      <c r="AT6" s="13">
        <f t="shared" si="11"/>
        <v>0</v>
      </c>
      <c r="AU6" s="11">
        <v>0</v>
      </c>
      <c r="AV6" s="12">
        <v>1</v>
      </c>
      <c r="AW6" s="13">
        <v>0</v>
      </c>
      <c r="AX6" s="13">
        <f t="shared" si="12"/>
        <v>1</v>
      </c>
      <c r="AY6" s="11">
        <v>1</v>
      </c>
      <c r="AZ6" s="12">
        <v>1</v>
      </c>
      <c r="BA6" s="13">
        <v>1</v>
      </c>
      <c r="BB6" s="13">
        <f t="shared" si="13"/>
        <v>0</v>
      </c>
      <c r="BC6" s="11">
        <v>1</v>
      </c>
      <c r="BD6" s="12">
        <v>0</v>
      </c>
      <c r="BE6" s="13">
        <v>0</v>
      </c>
      <c r="BF6" s="13">
        <f t="shared" si="14"/>
        <v>0</v>
      </c>
      <c r="BG6" s="11">
        <v>0</v>
      </c>
      <c r="BH6" s="12">
        <v>0</v>
      </c>
      <c r="BI6" s="13">
        <v>0</v>
      </c>
      <c r="BJ6" s="13">
        <f t="shared" si="15"/>
        <v>0</v>
      </c>
      <c r="BK6" s="11">
        <v>0</v>
      </c>
      <c r="BL6" s="12">
        <v>0</v>
      </c>
      <c r="BM6" s="13">
        <v>0</v>
      </c>
      <c r="BN6" s="13">
        <f t="shared" si="16"/>
        <v>0</v>
      </c>
      <c r="BO6" s="11">
        <v>0</v>
      </c>
      <c r="BP6" s="12">
        <v>0</v>
      </c>
      <c r="BQ6" s="13">
        <v>0</v>
      </c>
      <c r="BR6" s="13">
        <f t="shared" si="17"/>
        <v>0</v>
      </c>
      <c r="BS6" s="11">
        <v>0</v>
      </c>
      <c r="BT6" s="12">
        <f t="shared" si="18"/>
        <v>9</v>
      </c>
      <c r="BU6" s="13">
        <f t="shared" si="19"/>
        <v>1</v>
      </c>
      <c r="BV6" s="13">
        <f t="shared" si="20"/>
        <v>6</v>
      </c>
      <c r="BW6" s="13">
        <f t="shared" si="21"/>
        <v>0.9</v>
      </c>
      <c r="BX6" s="13">
        <f t="shared" si="22"/>
        <v>0.6</v>
      </c>
      <c r="BY6" s="11">
        <f t="shared" si="23"/>
        <v>0.72000000000000008</v>
      </c>
      <c r="CC6" s="133" t="s">
        <v>78</v>
      </c>
      <c r="CD6">
        <f>AVERAGE(BW9:BW10)</f>
        <v>1</v>
      </c>
      <c r="CE6">
        <f t="shared" ref="CE6:CF6" si="26">AVERAGE(BX9:BX10)</f>
        <v>0.92307692307692313</v>
      </c>
      <c r="CF6">
        <f t="shared" si="26"/>
        <v>0.96000000000000008</v>
      </c>
    </row>
    <row r="7" spans="1:84" x14ac:dyDescent="0.35">
      <c r="A7" s="51" t="s">
        <v>48</v>
      </c>
      <c r="B7" s="148"/>
      <c r="C7" s="14" t="s">
        <v>28</v>
      </c>
      <c r="D7" s="15">
        <v>2</v>
      </c>
      <c r="E7" s="16">
        <v>2</v>
      </c>
      <c r="F7" s="16">
        <f t="shared" si="1"/>
        <v>0</v>
      </c>
      <c r="G7" s="14">
        <v>0</v>
      </c>
      <c r="H7" s="15">
        <v>1</v>
      </c>
      <c r="I7" s="16">
        <v>1</v>
      </c>
      <c r="J7" s="16">
        <f t="shared" si="2"/>
        <v>0</v>
      </c>
      <c r="K7" s="14">
        <v>0</v>
      </c>
      <c r="L7" s="15">
        <v>1</v>
      </c>
      <c r="M7" s="16">
        <v>1</v>
      </c>
      <c r="N7" s="16">
        <f t="shared" si="3"/>
        <v>0</v>
      </c>
      <c r="O7" s="14">
        <v>0</v>
      </c>
      <c r="P7" s="15">
        <v>1</v>
      </c>
      <c r="Q7" s="16">
        <v>1</v>
      </c>
      <c r="R7" s="16">
        <f t="shared" si="4"/>
        <v>0</v>
      </c>
      <c r="S7" s="14">
        <v>0</v>
      </c>
      <c r="T7" s="15">
        <v>1</v>
      </c>
      <c r="U7" s="16">
        <v>1</v>
      </c>
      <c r="V7" s="16">
        <f t="shared" si="5"/>
        <v>0</v>
      </c>
      <c r="W7" s="14">
        <v>0</v>
      </c>
      <c r="X7" s="15">
        <v>3</v>
      </c>
      <c r="Y7" s="16">
        <v>3</v>
      </c>
      <c r="Z7" s="16">
        <f t="shared" si="6"/>
        <v>0</v>
      </c>
      <c r="AA7" s="14">
        <v>0</v>
      </c>
      <c r="AB7" s="15">
        <v>0</v>
      </c>
      <c r="AC7" s="16">
        <v>0</v>
      </c>
      <c r="AD7" s="16">
        <f t="shared" si="7"/>
        <v>0</v>
      </c>
      <c r="AE7" s="14">
        <v>0</v>
      </c>
      <c r="AF7" s="15">
        <v>3</v>
      </c>
      <c r="AG7" s="16">
        <v>3</v>
      </c>
      <c r="AH7" s="16">
        <f t="shared" si="8"/>
        <v>0</v>
      </c>
      <c r="AI7" s="14">
        <v>0</v>
      </c>
      <c r="AJ7" s="15">
        <v>0</v>
      </c>
      <c r="AK7" s="16">
        <v>0</v>
      </c>
      <c r="AL7" s="16">
        <f t="shared" si="9"/>
        <v>0</v>
      </c>
      <c r="AM7" s="14">
        <v>1</v>
      </c>
      <c r="AN7" s="15">
        <v>1</v>
      </c>
      <c r="AO7" s="16">
        <v>0</v>
      </c>
      <c r="AP7" s="16">
        <f t="shared" si="10"/>
        <v>1</v>
      </c>
      <c r="AQ7" s="14">
        <v>0</v>
      </c>
      <c r="AR7" s="15">
        <v>0</v>
      </c>
      <c r="AS7" s="16">
        <v>0</v>
      </c>
      <c r="AT7" s="16">
        <f t="shared" si="11"/>
        <v>0</v>
      </c>
      <c r="AU7" s="14">
        <v>0</v>
      </c>
      <c r="AV7" s="15">
        <v>0</v>
      </c>
      <c r="AW7" s="16">
        <v>0</v>
      </c>
      <c r="AX7" s="16">
        <f t="shared" si="12"/>
        <v>0</v>
      </c>
      <c r="AY7" s="14">
        <v>0</v>
      </c>
      <c r="AZ7" s="15">
        <v>1</v>
      </c>
      <c r="BA7" s="16">
        <v>1</v>
      </c>
      <c r="BB7" s="16">
        <f t="shared" si="13"/>
        <v>0</v>
      </c>
      <c r="BC7" s="14">
        <v>1</v>
      </c>
      <c r="BD7" s="15">
        <v>2</v>
      </c>
      <c r="BE7" s="16">
        <v>0</v>
      </c>
      <c r="BF7" s="16">
        <f t="shared" si="14"/>
        <v>2</v>
      </c>
      <c r="BG7" s="14">
        <v>0</v>
      </c>
      <c r="BH7" s="15">
        <v>0</v>
      </c>
      <c r="BI7" s="16">
        <v>0</v>
      </c>
      <c r="BJ7" s="16">
        <f t="shared" si="15"/>
        <v>0</v>
      </c>
      <c r="BK7" s="14">
        <v>0</v>
      </c>
      <c r="BL7" s="15">
        <v>0</v>
      </c>
      <c r="BM7" s="16">
        <v>0</v>
      </c>
      <c r="BN7" s="16">
        <f t="shared" si="16"/>
        <v>0</v>
      </c>
      <c r="BO7" s="14">
        <v>0</v>
      </c>
      <c r="BP7" s="15">
        <v>0</v>
      </c>
      <c r="BQ7" s="16">
        <v>0</v>
      </c>
      <c r="BR7" s="16">
        <f t="shared" si="17"/>
        <v>0</v>
      </c>
      <c r="BS7" s="14">
        <v>0</v>
      </c>
      <c r="BT7" s="15">
        <f t="shared" si="18"/>
        <v>13</v>
      </c>
      <c r="BU7" s="16">
        <f t="shared" si="19"/>
        <v>3</v>
      </c>
      <c r="BV7" s="16">
        <f t="shared" si="20"/>
        <v>2</v>
      </c>
      <c r="BW7" s="16">
        <f t="shared" si="21"/>
        <v>0.8125</v>
      </c>
      <c r="BX7" s="16">
        <f t="shared" si="22"/>
        <v>0.8666666666666667</v>
      </c>
      <c r="BY7" s="14">
        <f t="shared" si="23"/>
        <v>0.83870967741935487</v>
      </c>
      <c r="CC7" s="133" t="s">
        <v>79</v>
      </c>
      <c r="CD7">
        <f>AVERAGE(BW11:BW12)</f>
        <v>0.80952380952380953</v>
      </c>
      <c r="CE7">
        <f t="shared" ref="CE7:CF7" si="27">AVERAGE(BX11:BX12)</f>
        <v>0.87236842105263157</v>
      </c>
      <c r="CF7">
        <f t="shared" si="27"/>
        <v>0.83963414634146349</v>
      </c>
    </row>
    <row r="8" spans="1:84" x14ac:dyDescent="0.35">
      <c r="A8" s="51" t="s">
        <v>48</v>
      </c>
      <c r="B8" s="148"/>
      <c r="C8" s="14" t="s">
        <v>62</v>
      </c>
      <c r="D8" s="15">
        <v>2</v>
      </c>
      <c r="E8" s="16">
        <v>2</v>
      </c>
      <c r="F8" s="16">
        <f t="shared" si="1"/>
        <v>0</v>
      </c>
      <c r="G8" s="14">
        <v>0</v>
      </c>
      <c r="H8" s="15">
        <v>1</v>
      </c>
      <c r="I8" s="16">
        <v>1</v>
      </c>
      <c r="J8" s="16">
        <f t="shared" si="2"/>
        <v>0</v>
      </c>
      <c r="K8" s="14">
        <v>0</v>
      </c>
      <c r="L8" s="15">
        <v>1</v>
      </c>
      <c r="M8" s="16">
        <v>1</v>
      </c>
      <c r="N8" s="16">
        <f t="shared" si="3"/>
        <v>0</v>
      </c>
      <c r="O8" s="14">
        <v>0</v>
      </c>
      <c r="P8" s="15">
        <v>1</v>
      </c>
      <c r="Q8" s="16">
        <v>1</v>
      </c>
      <c r="R8" s="16">
        <f t="shared" si="4"/>
        <v>0</v>
      </c>
      <c r="S8" s="14">
        <v>0</v>
      </c>
      <c r="T8" s="15">
        <v>1</v>
      </c>
      <c r="U8" s="16">
        <v>1</v>
      </c>
      <c r="V8" s="16">
        <f t="shared" si="5"/>
        <v>0</v>
      </c>
      <c r="W8" s="14">
        <v>0</v>
      </c>
      <c r="X8" s="15">
        <v>3</v>
      </c>
      <c r="Y8" s="16">
        <v>3</v>
      </c>
      <c r="Z8" s="16">
        <f t="shared" si="6"/>
        <v>0</v>
      </c>
      <c r="AA8" s="14">
        <v>0</v>
      </c>
      <c r="AB8" s="15">
        <v>0</v>
      </c>
      <c r="AC8" s="16">
        <v>0</v>
      </c>
      <c r="AD8" s="16">
        <f t="shared" si="7"/>
        <v>0</v>
      </c>
      <c r="AE8" s="14">
        <v>0</v>
      </c>
      <c r="AF8" s="15">
        <v>3</v>
      </c>
      <c r="AG8" s="16">
        <v>3</v>
      </c>
      <c r="AH8" s="16">
        <f t="shared" si="8"/>
        <v>0</v>
      </c>
      <c r="AI8" s="14">
        <v>0</v>
      </c>
      <c r="AJ8" s="15">
        <v>0</v>
      </c>
      <c r="AK8" s="16">
        <v>0</v>
      </c>
      <c r="AL8" s="16">
        <f t="shared" si="9"/>
        <v>0</v>
      </c>
      <c r="AM8" s="14">
        <v>1</v>
      </c>
      <c r="AN8" s="15">
        <v>1</v>
      </c>
      <c r="AO8" s="16">
        <v>0</v>
      </c>
      <c r="AP8" s="16">
        <f t="shared" si="10"/>
        <v>1</v>
      </c>
      <c r="AQ8" s="14">
        <v>0</v>
      </c>
      <c r="AR8" s="15">
        <v>0</v>
      </c>
      <c r="AS8" s="16">
        <v>0</v>
      </c>
      <c r="AT8" s="16">
        <f t="shared" si="11"/>
        <v>0</v>
      </c>
      <c r="AU8" s="14">
        <v>0</v>
      </c>
      <c r="AV8" s="15">
        <v>0</v>
      </c>
      <c r="AW8" s="16">
        <v>0</v>
      </c>
      <c r="AX8" s="16">
        <f t="shared" si="12"/>
        <v>0</v>
      </c>
      <c r="AY8" s="14">
        <v>0</v>
      </c>
      <c r="AZ8" s="15">
        <v>1</v>
      </c>
      <c r="BA8" s="16">
        <v>1</v>
      </c>
      <c r="BB8" s="16">
        <f t="shared" si="13"/>
        <v>0</v>
      </c>
      <c r="BC8" s="14">
        <v>1</v>
      </c>
      <c r="BD8" s="15">
        <v>2</v>
      </c>
      <c r="BE8" s="16">
        <v>0</v>
      </c>
      <c r="BF8" s="16">
        <f t="shared" si="14"/>
        <v>2</v>
      </c>
      <c r="BG8" s="14">
        <v>0</v>
      </c>
      <c r="BH8" s="15">
        <v>0</v>
      </c>
      <c r="BI8" s="16">
        <v>0</v>
      </c>
      <c r="BJ8" s="16">
        <f t="shared" si="15"/>
        <v>0</v>
      </c>
      <c r="BK8" s="14">
        <v>0</v>
      </c>
      <c r="BL8" s="15">
        <v>0</v>
      </c>
      <c r="BM8" s="16">
        <v>0</v>
      </c>
      <c r="BN8" s="16">
        <f t="shared" si="16"/>
        <v>0</v>
      </c>
      <c r="BO8" s="14">
        <v>0</v>
      </c>
      <c r="BP8" s="15">
        <v>0</v>
      </c>
      <c r="BQ8" s="16">
        <v>0</v>
      </c>
      <c r="BR8" s="16">
        <f t="shared" si="17"/>
        <v>0</v>
      </c>
      <c r="BS8" s="14">
        <v>0</v>
      </c>
      <c r="BT8" s="15">
        <f t="shared" si="18"/>
        <v>13</v>
      </c>
      <c r="BU8" s="16">
        <f t="shared" si="19"/>
        <v>3</v>
      </c>
      <c r="BV8" s="16">
        <f t="shared" si="20"/>
        <v>2</v>
      </c>
      <c r="BW8" s="16">
        <f t="shared" si="21"/>
        <v>0.8125</v>
      </c>
      <c r="BX8" s="16">
        <f t="shared" si="22"/>
        <v>0.8666666666666667</v>
      </c>
      <c r="BY8" s="14">
        <f t="shared" si="23"/>
        <v>0.83870967741935487</v>
      </c>
      <c r="CC8" s="133" t="s">
        <v>80</v>
      </c>
      <c r="CD8">
        <f>AVERAGE(BW13:BW14)</f>
        <v>1</v>
      </c>
      <c r="CE8">
        <f t="shared" ref="CE8:CF8" si="28">AVERAGE(BX13:BX14)</f>
        <v>1</v>
      </c>
      <c r="CF8">
        <f t="shared" si="28"/>
        <v>1</v>
      </c>
    </row>
    <row r="9" spans="1:84" x14ac:dyDescent="0.35">
      <c r="A9" s="52" t="s">
        <v>48</v>
      </c>
      <c r="B9" s="148"/>
      <c r="C9" s="17" t="s">
        <v>29</v>
      </c>
      <c r="D9" s="18">
        <v>1</v>
      </c>
      <c r="E9" s="19">
        <v>1</v>
      </c>
      <c r="F9" s="19">
        <f t="shared" si="1"/>
        <v>0</v>
      </c>
      <c r="G9" s="17">
        <v>0</v>
      </c>
      <c r="H9" s="18">
        <v>0</v>
      </c>
      <c r="I9" s="19">
        <v>0</v>
      </c>
      <c r="J9" s="19">
        <f t="shared" si="2"/>
        <v>0</v>
      </c>
      <c r="K9" s="17">
        <v>0</v>
      </c>
      <c r="L9" s="18">
        <v>0</v>
      </c>
      <c r="M9" s="19">
        <v>0</v>
      </c>
      <c r="N9" s="19">
        <f t="shared" si="3"/>
        <v>0</v>
      </c>
      <c r="O9" s="17">
        <v>0</v>
      </c>
      <c r="P9" s="18">
        <v>0</v>
      </c>
      <c r="Q9" s="19">
        <v>0</v>
      </c>
      <c r="R9" s="19">
        <f t="shared" si="4"/>
        <v>0</v>
      </c>
      <c r="S9" s="17">
        <v>0</v>
      </c>
      <c r="T9" s="18">
        <v>0</v>
      </c>
      <c r="U9" s="19">
        <v>0</v>
      </c>
      <c r="V9" s="19">
        <f t="shared" si="5"/>
        <v>0</v>
      </c>
      <c r="W9" s="17">
        <v>0</v>
      </c>
      <c r="X9" s="18">
        <v>3</v>
      </c>
      <c r="Y9" s="19">
        <v>3</v>
      </c>
      <c r="Z9" s="19">
        <f t="shared" si="6"/>
        <v>0</v>
      </c>
      <c r="AA9" s="17">
        <v>0</v>
      </c>
      <c r="AB9" s="18">
        <v>4</v>
      </c>
      <c r="AC9" s="19">
        <v>4</v>
      </c>
      <c r="AD9" s="19">
        <f t="shared" si="7"/>
        <v>0</v>
      </c>
      <c r="AE9" s="17">
        <v>0</v>
      </c>
      <c r="AF9" s="18">
        <v>3</v>
      </c>
      <c r="AG9" s="19">
        <v>3</v>
      </c>
      <c r="AH9" s="19">
        <f t="shared" si="8"/>
        <v>0</v>
      </c>
      <c r="AI9" s="17">
        <v>0</v>
      </c>
      <c r="AJ9" s="18">
        <v>0</v>
      </c>
      <c r="AK9" s="19">
        <v>0</v>
      </c>
      <c r="AL9" s="19">
        <f t="shared" si="9"/>
        <v>0</v>
      </c>
      <c r="AM9" s="17">
        <v>0</v>
      </c>
      <c r="AN9" s="18">
        <v>0</v>
      </c>
      <c r="AO9" s="19">
        <v>0</v>
      </c>
      <c r="AP9" s="19">
        <f t="shared" si="10"/>
        <v>0</v>
      </c>
      <c r="AQ9" s="17">
        <v>0</v>
      </c>
      <c r="AR9" s="18">
        <v>0</v>
      </c>
      <c r="AS9" s="19">
        <v>0</v>
      </c>
      <c r="AT9" s="19">
        <f t="shared" si="11"/>
        <v>0</v>
      </c>
      <c r="AU9" s="17">
        <v>1</v>
      </c>
      <c r="AV9" s="18">
        <v>0</v>
      </c>
      <c r="AW9" s="19">
        <v>0</v>
      </c>
      <c r="AX9" s="19">
        <f t="shared" si="12"/>
        <v>0</v>
      </c>
      <c r="AY9" s="17">
        <v>0</v>
      </c>
      <c r="AZ9" s="18">
        <v>0</v>
      </c>
      <c r="BA9" s="19">
        <v>0</v>
      </c>
      <c r="BB9" s="19">
        <f t="shared" si="13"/>
        <v>0</v>
      </c>
      <c r="BC9" s="17">
        <v>0</v>
      </c>
      <c r="BD9" s="18">
        <v>0</v>
      </c>
      <c r="BE9" s="19">
        <v>0</v>
      </c>
      <c r="BF9" s="19">
        <f t="shared" si="14"/>
        <v>0</v>
      </c>
      <c r="BG9" s="17">
        <v>0</v>
      </c>
      <c r="BH9" s="18">
        <v>1</v>
      </c>
      <c r="BI9" s="19">
        <v>1</v>
      </c>
      <c r="BJ9" s="19">
        <f t="shared" si="15"/>
        <v>0</v>
      </c>
      <c r="BK9" s="17">
        <v>0</v>
      </c>
      <c r="BL9" s="18">
        <v>0</v>
      </c>
      <c r="BM9" s="19">
        <v>0</v>
      </c>
      <c r="BN9" s="19">
        <f t="shared" si="16"/>
        <v>0</v>
      </c>
      <c r="BO9" s="17">
        <v>0</v>
      </c>
      <c r="BP9" s="18">
        <v>0</v>
      </c>
      <c r="BQ9" s="19">
        <v>0</v>
      </c>
      <c r="BR9" s="19">
        <f t="shared" si="17"/>
        <v>0</v>
      </c>
      <c r="BS9" s="17">
        <v>0</v>
      </c>
      <c r="BT9" s="18">
        <f t="shared" si="18"/>
        <v>12</v>
      </c>
      <c r="BU9" s="19">
        <f t="shared" si="19"/>
        <v>0</v>
      </c>
      <c r="BV9" s="19">
        <f t="shared" si="20"/>
        <v>1</v>
      </c>
      <c r="BW9" s="19">
        <f t="shared" si="21"/>
        <v>1</v>
      </c>
      <c r="BX9" s="19">
        <f t="shared" si="22"/>
        <v>0.92307692307692313</v>
      </c>
      <c r="BY9" s="17">
        <f t="shared" si="23"/>
        <v>0.96000000000000008</v>
      </c>
      <c r="CC9" s="133" t="s">
        <v>81</v>
      </c>
      <c r="CD9">
        <f>AVERAGE(BW15:BW16)</f>
        <v>1</v>
      </c>
      <c r="CE9">
        <f t="shared" ref="CE9:CF9" si="29">AVERAGE(BX15:BX16)</f>
        <v>1</v>
      </c>
      <c r="CF9">
        <f t="shared" si="29"/>
        <v>1</v>
      </c>
    </row>
    <row r="10" spans="1:84" x14ac:dyDescent="0.35">
      <c r="A10" s="52" t="s">
        <v>48</v>
      </c>
      <c r="B10" s="148"/>
      <c r="C10" s="17" t="s">
        <v>45</v>
      </c>
      <c r="D10" s="18">
        <v>1</v>
      </c>
      <c r="E10" s="19">
        <v>1</v>
      </c>
      <c r="F10" s="19">
        <f t="shared" si="1"/>
        <v>0</v>
      </c>
      <c r="G10" s="17">
        <v>0</v>
      </c>
      <c r="H10" s="18">
        <v>0</v>
      </c>
      <c r="I10" s="19">
        <v>0</v>
      </c>
      <c r="J10" s="19">
        <f t="shared" si="2"/>
        <v>0</v>
      </c>
      <c r="K10" s="17">
        <v>0</v>
      </c>
      <c r="L10" s="18">
        <v>0</v>
      </c>
      <c r="M10" s="19">
        <v>0</v>
      </c>
      <c r="N10" s="19">
        <f t="shared" si="3"/>
        <v>0</v>
      </c>
      <c r="O10" s="17">
        <v>0</v>
      </c>
      <c r="P10" s="18">
        <v>0</v>
      </c>
      <c r="Q10" s="19">
        <v>0</v>
      </c>
      <c r="R10" s="19">
        <f t="shared" si="4"/>
        <v>0</v>
      </c>
      <c r="S10" s="17">
        <v>0</v>
      </c>
      <c r="T10" s="18">
        <v>0</v>
      </c>
      <c r="U10" s="19">
        <v>0</v>
      </c>
      <c r="V10" s="19">
        <f t="shared" si="5"/>
        <v>0</v>
      </c>
      <c r="W10" s="17">
        <v>0</v>
      </c>
      <c r="X10" s="18">
        <v>3</v>
      </c>
      <c r="Y10" s="19">
        <v>3</v>
      </c>
      <c r="Z10" s="19">
        <f t="shared" si="6"/>
        <v>0</v>
      </c>
      <c r="AA10" s="17">
        <v>0</v>
      </c>
      <c r="AB10" s="18">
        <v>4</v>
      </c>
      <c r="AC10" s="19">
        <v>4</v>
      </c>
      <c r="AD10" s="19">
        <f t="shared" si="7"/>
        <v>0</v>
      </c>
      <c r="AE10" s="17">
        <v>0</v>
      </c>
      <c r="AF10" s="18">
        <v>3</v>
      </c>
      <c r="AG10" s="19">
        <v>3</v>
      </c>
      <c r="AH10" s="19">
        <f t="shared" si="8"/>
        <v>0</v>
      </c>
      <c r="AI10" s="17">
        <v>0</v>
      </c>
      <c r="AJ10" s="18">
        <v>0</v>
      </c>
      <c r="AK10" s="19">
        <v>0</v>
      </c>
      <c r="AL10" s="19">
        <f t="shared" si="9"/>
        <v>0</v>
      </c>
      <c r="AM10" s="17">
        <v>0</v>
      </c>
      <c r="AN10" s="18">
        <v>0</v>
      </c>
      <c r="AO10" s="19">
        <v>0</v>
      </c>
      <c r="AP10" s="19">
        <f t="shared" si="10"/>
        <v>0</v>
      </c>
      <c r="AQ10" s="17">
        <v>0</v>
      </c>
      <c r="AR10" s="18">
        <v>0</v>
      </c>
      <c r="AS10" s="19">
        <v>0</v>
      </c>
      <c r="AT10" s="19">
        <f t="shared" si="11"/>
        <v>0</v>
      </c>
      <c r="AU10" s="17">
        <v>1</v>
      </c>
      <c r="AV10" s="18">
        <v>0</v>
      </c>
      <c r="AW10" s="19">
        <v>0</v>
      </c>
      <c r="AX10" s="19">
        <f t="shared" si="12"/>
        <v>0</v>
      </c>
      <c r="AY10" s="17">
        <v>0</v>
      </c>
      <c r="AZ10" s="18">
        <v>0</v>
      </c>
      <c r="BA10" s="19">
        <v>0</v>
      </c>
      <c r="BB10" s="19">
        <f t="shared" si="13"/>
        <v>0</v>
      </c>
      <c r="BC10" s="17">
        <v>0</v>
      </c>
      <c r="BD10" s="18">
        <v>0</v>
      </c>
      <c r="BE10" s="19">
        <v>0</v>
      </c>
      <c r="BF10" s="19">
        <f t="shared" si="14"/>
        <v>0</v>
      </c>
      <c r="BG10" s="17">
        <v>0</v>
      </c>
      <c r="BH10" s="18">
        <v>1</v>
      </c>
      <c r="BI10" s="19">
        <v>1</v>
      </c>
      <c r="BJ10" s="19">
        <f t="shared" si="15"/>
        <v>0</v>
      </c>
      <c r="BK10" s="17">
        <v>0</v>
      </c>
      <c r="BL10" s="18">
        <v>0</v>
      </c>
      <c r="BM10" s="19">
        <v>0</v>
      </c>
      <c r="BN10" s="19">
        <f t="shared" si="16"/>
        <v>0</v>
      </c>
      <c r="BO10" s="17">
        <v>0</v>
      </c>
      <c r="BP10" s="18">
        <v>0</v>
      </c>
      <c r="BQ10" s="19">
        <v>0</v>
      </c>
      <c r="BR10" s="19">
        <f t="shared" si="17"/>
        <v>0</v>
      </c>
      <c r="BS10" s="17">
        <v>0</v>
      </c>
      <c r="BT10" s="18">
        <f t="shared" si="18"/>
        <v>12</v>
      </c>
      <c r="BU10" s="19">
        <f t="shared" si="19"/>
        <v>0</v>
      </c>
      <c r="BV10" s="19">
        <f t="shared" si="20"/>
        <v>1</v>
      </c>
      <c r="BW10" s="19">
        <f t="shared" si="21"/>
        <v>1</v>
      </c>
      <c r="BX10" s="19">
        <f t="shared" si="22"/>
        <v>0.92307692307692313</v>
      </c>
      <c r="BY10" s="17">
        <f t="shared" si="23"/>
        <v>0.96000000000000008</v>
      </c>
      <c r="CC10" s="133" t="s">
        <v>82</v>
      </c>
      <c r="CD10">
        <f>AVERAGE(BW17:BW18)</f>
        <v>0.86363636363636365</v>
      </c>
      <c r="CE10">
        <f t="shared" ref="CE10:CF10" si="30">AVERAGE(BX17:BX18)</f>
        <v>0.8257575757575758</v>
      </c>
      <c r="CF10">
        <f t="shared" si="30"/>
        <v>0.84387351778656128</v>
      </c>
    </row>
    <row r="11" spans="1:84" x14ac:dyDescent="0.35">
      <c r="A11" s="53" t="s">
        <v>48</v>
      </c>
      <c r="B11" s="148"/>
      <c r="C11" s="20" t="s">
        <v>30</v>
      </c>
      <c r="D11" s="21">
        <v>2</v>
      </c>
      <c r="E11" s="22">
        <v>2</v>
      </c>
      <c r="F11" s="22">
        <f t="shared" si="1"/>
        <v>0</v>
      </c>
      <c r="G11" s="20">
        <v>0</v>
      </c>
      <c r="H11" s="21">
        <v>1</v>
      </c>
      <c r="I11" s="22">
        <v>0</v>
      </c>
      <c r="J11" s="22">
        <f t="shared" si="2"/>
        <v>1</v>
      </c>
      <c r="K11" s="20">
        <v>0</v>
      </c>
      <c r="L11" s="21">
        <v>2</v>
      </c>
      <c r="M11" s="22">
        <v>0</v>
      </c>
      <c r="N11" s="22">
        <f t="shared" si="3"/>
        <v>2</v>
      </c>
      <c r="O11" s="20">
        <v>0</v>
      </c>
      <c r="P11" s="21">
        <v>2</v>
      </c>
      <c r="Q11" s="22">
        <v>2</v>
      </c>
      <c r="R11" s="22">
        <f t="shared" si="4"/>
        <v>0</v>
      </c>
      <c r="S11" s="20">
        <v>2</v>
      </c>
      <c r="T11" s="21">
        <v>2</v>
      </c>
      <c r="U11" s="22">
        <v>2</v>
      </c>
      <c r="V11" s="22">
        <f t="shared" si="5"/>
        <v>0</v>
      </c>
      <c r="W11" s="20">
        <v>0</v>
      </c>
      <c r="X11" s="21">
        <v>4</v>
      </c>
      <c r="Y11" s="22">
        <v>4</v>
      </c>
      <c r="Z11" s="22">
        <f t="shared" si="6"/>
        <v>0</v>
      </c>
      <c r="AA11" s="20">
        <v>0</v>
      </c>
      <c r="AB11" s="21">
        <v>0</v>
      </c>
      <c r="AC11" s="22">
        <v>0</v>
      </c>
      <c r="AD11" s="22">
        <f t="shared" si="7"/>
        <v>0</v>
      </c>
      <c r="AE11" s="20">
        <v>0</v>
      </c>
      <c r="AF11" s="21">
        <v>4</v>
      </c>
      <c r="AG11" s="22">
        <v>4</v>
      </c>
      <c r="AH11" s="22">
        <f t="shared" si="8"/>
        <v>0</v>
      </c>
      <c r="AI11" s="20">
        <v>0</v>
      </c>
      <c r="AJ11" s="21">
        <v>1</v>
      </c>
      <c r="AK11" s="22">
        <v>1</v>
      </c>
      <c r="AL11" s="22">
        <f t="shared" si="9"/>
        <v>0</v>
      </c>
      <c r="AM11" s="20">
        <v>0</v>
      </c>
      <c r="AN11" s="21">
        <v>0</v>
      </c>
      <c r="AO11" s="22">
        <v>0</v>
      </c>
      <c r="AP11" s="22">
        <f t="shared" si="10"/>
        <v>0</v>
      </c>
      <c r="AQ11" s="20">
        <v>0</v>
      </c>
      <c r="AR11" s="21">
        <v>0</v>
      </c>
      <c r="AS11" s="22">
        <v>0</v>
      </c>
      <c r="AT11" s="22">
        <f t="shared" si="11"/>
        <v>0</v>
      </c>
      <c r="AU11" s="20">
        <v>0</v>
      </c>
      <c r="AV11" s="21">
        <v>0</v>
      </c>
      <c r="AW11" s="22">
        <v>0</v>
      </c>
      <c r="AX11" s="22">
        <f t="shared" si="12"/>
        <v>0</v>
      </c>
      <c r="AY11" s="20">
        <v>0</v>
      </c>
      <c r="AZ11" s="21">
        <v>1</v>
      </c>
      <c r="BA11" s="22">
        <v>1</v>
      </c>
      <c r="BB11" s="22">
        <f t="shared" si="13"/>
        <v>0</v>
      </c>
      <c r="BC11" s="20">
        <v>1</v>
      </c>
      <c r="BD11" s="21">
        <v>2</v>
      </c>
      <c r="BE11" s="22">
        <v>1</v>
      </c>
      <c r="BF11" s="22">
        <f t="shared" si="14"/>
        <v>1</v>
      </c>
      <c r="BG11" s="20">
        <v>0</v>
      </c>
      <c r="BH11" s="21">
        <v>0</v>
      </c>
      <c r="BI11" s="22">
        <v>0</v>
      </c>
      <c r="BJ11" s="22">
        <f t="shared" si="15"/>
        <v>0</v>
      </c>
      <c r="BK11" s="20">
        <v>0</v>
      </c>
      <c r="BL11" s="21">
        <v>0</v>
      </c>
      <c r="BM11" s="22">
        <v>0</v>
      </c>
      <c r="BN11" s="22">
        <f t="shared" si="16"/>
        <v>0</v>
      </c>
      <c r="BO11" s="20">
        <v>0</v>
      </c>
      <c r="BP11" s="21">
        <v>0</v>
      </c>
      <c r="BQ11" s="22">
        <v>0</v>
      </c>
      <c r="BR11" s="22">
        <f t="shared" si="17"/>
        <v>0</v>
      </c>
      <c r="BS11" s="20">
        <v>0</v>
      </c>
      <c r="BT11" s="21">
        <f t="shared" si="18"/>
        <v>17</v>
      </c>
      <c r="BU11" s="22">
        <f t="shared" si="19"/>
        <v>4</v>
      </c>
      <c r="BV11" s="22">
        <f t="shared" si="20"/>
        <v>3</v>
      </c>
      <c r="BW11" s="22">
        <f t="shared" si="21"/>
        <v>0.80952380952380953</v>
      </c>
      <c r="BX11" s="22">
        <f t="shared" si="22"/>
        <v>0.85</v>
      </c>
      <c r="BY11" s="20">
        <f t="shared" si="23"/>
        <v>0.8292682926829269</v>
      </c>
      <c r="CC11" s="133" t="s">
        <v>83</v>
      </c>
      <c r="CD11">
        <f>AVERAGE(BW19:BW20)</f>
        <v>0.83333333333333337</v>
      </c>
      <c r="CE11">
        <f t="shared" ref="CE11:CF11" si="31">AVERAGE(BX19:BX20)</f>
        <v>0.7142857142857143</v>
      </c>
      <c r="CF11">
        <f t="shared" si="31"/>
        <v>0.76923076923076916</v>
      </c>
    </row>
    <row r="12" spans="1:84" x14ac:dyDescent="0.35">
      <c r="A12" s="53" t="s">
        <v>48</v>
      </c>
      <c r="B12" s="148"/>
      <c r="C12" s="20" t="s">
        <v>63</v>
      </c>
      <c r="D12" s="21">
        <v>2</v>
      </c>
      <c r="E12" s="22">
        <v>2</v>
      </c>
      <c r="F12" s="22">
        <f t="shared" si="1"/>
        <v>0</v>
      </c>
      <c r="G12" s="20">
        <v>0</v>
      </c>
      <c r="H12" s="21">
        <v>1</v>
      </c>
      <c r="I12" s="22">
        <v>0</v>
      </c>
      <c r="J12" s="22">
        <f>H12-I12</f>
        <v>1</v>
      </c>
      <c r="K12" s="20">
        <v>0</v>
      </c>
      <c r="L12" s="21">
        <v>2</v>
      </c>
      <c r="M12" s="22">
        <v>0</v>
      </c>
      <c r="N12" s="22">
        <f t="shared" si="3"/>
        <v>2</v>
      </c>
      <c r="O12" s="20">
        <v>0</v>
      </c>
      <c r="P12" s="21">
        <v>2</v>
      </c>
      <c r="Q12" s="22">
        <v>2</v>
      </c>
      <c r="R12" s="22">
        <f>P12-Q12</f>
        <v>0</v>
      </c>
      <c r="S12" s="20">
        <v>2</v>
      </c>
      <c r="T12" s="21">
        <v>2</v>
      </c>
      <c r="U12" s="22">
        <v>2</v>
      </c>
      <c r="V12" s="22">
        <f t="shared" si="5"/>
        <v>0</v>
      </c>
      <c r="W12" s="20">
        <v>0</v>
      </c>
      <c r="X12" s="21">
        <v>4</v>
      </c>
      <c r="Y12" s="22">
        <v>4</v>
      </c>
      <c r="Z12" s="22">
        <f t="shared" si="6"/>
        <v>0</v>
      </c>
      <c r="AA12" s="20">
        <v>0</v>
      </c>
      <c r="AB12" s="21">
        <v>0</v>
      </c>
      <c r="AC12" s="22">
        <v>0</v>
      </c>
      <c r="AD12" s="22">
        <f t="shared" si="7"/>
        <v>0</v>
      </c>
      <c r="AE12" s="20">
        <v>0</v>
      </c>
      <c r="AF12" s="21">
        <v>4</v>
      </c>
      <c r="AG12" s="22">
        <v>4</v>
      </c>
      <c r="AH12" s="22">
        <f t="shared" si="8"/>
        <v>0</v>
      </c>
      <c r="AI12" s="20">
        <v>0</v>
      </c>
      <c r="AJ12" s="21">
        <v>1</v>
      </c>
      <c r="AK12" s="22">
        <v>1</v>
      </c>
      <c r="AL12" s="22">
        <f t="shared" si="9"/>
        <v>0</v>
      </c>
      <c r="AM12" s="20">
        <v>0</v>
      </c>
      <c r="AN12" s="21">
        <v>0</v>
      </c>
      <c r="AO12" s="22">
        <v>0</v>
      </c>
      <c r="AP12" s="22">
        <f t="shared" si="10"/>
        <v>0</v>
      </c>
      <c r="AQ12" s="20">
        <v>0</v>
      </c>
      <c r="AR12" s="21">
        <v>0</v>
      </c>
      <c r="AS12" s="22">
        <v>0</v>
      </c>
      <c r="AT12" s="22">
        <f t="shared" si="11"/>
        <v>0</v>
      </c>
      <c r="AU12" s="20">
        <v>0</v>
      </c>
      <c r="AV12" s="21">
        <v>0</v>
      </c>
      <c r="AW12" s="22">
        <v>0</v>
      </c>
      <c r="AX12" s="22">
        <f>AV12-AW12</f>
        <v>0</v>
      </c>
      <c r="AY12" s="20">
        <v>0</v>
      </c>
      <c r="AZ12" s="21">
        <v>1</v>
      </c>
      <c r="BA12" s="22">
        <v>1</v>
      </c>
      <c r="BB12" s="22">
        <f t="shared" si="13"/>
        <v>0</v>
      </c>
      <c r="BC12" s="20">
        <v>0</v>
      </c>
      <c r="BD12" s="21">
        <v>2</v>
      </c>
      <c r="BE12" s="22">
        <v>1</v>
      </c>
      <c r="BF12" s="22">
        <f t="shared" si="14"/>
        <v>1</v>
      </c>
      <c r="BG12" s="20">
        <v>0</v>
      </c>
      <c r="BH12" s="21">
        <v>0</v>
      </c>
      <c r="BI12" s="22">
        <v>0</v>
      </c>
      <c r="BJ12" s="22">
        <f t="shared" si="15"/>
        <v>0</v>
      </c>
      <c r="BK12" s="20">
        <v>0</v>
      </c>
      <c r="BL12" s="21">
        <v>0</v>
      </c>
      <c r="BM12" s="22">
        <v>0</v>
      </c>
      <c r="BN12" s="22">
        <f t="shared" si="16"/>
        <v>0</v>
      </c>
      <c r="BO12" s="20">
        <v>0</v>
      </c>
      <c r="BP12" s="21">
        <v>0</v>
      </c>
      <c r="BQ12" s="22">
        <v>0</v>
      </c>
      <c r="BR12" s="22">
        <f t="shared" si="17"/>
        <v>0</v>
      </c>
      <c r="BS12" s="20">
        <v>0</v>
      </c>
      <c r="BT12" s="21">
        <f t="shared" si="18"/>
        <v>17</v>
      </c>
      <c r="BU12" s="22">
        <f t="shared" si="19"/>
        <v>4</v>
      </c>
      <c r="BV12" s="22">
        <f t="shared" si="20"/>
        <v>2</v>
      </c>
      <c r="BW12" s="22">
        <f t="shared" si="21"/>
        <v>0.80952380952380953</v>
      </c>
      <c r="BX12" s="22">
        <f t="shared" si="22"/>
        <v>0.89473684210526316</v>
      </c>
      <c r="BY12" s="20">
        <f t="shared" si="23"/>
        <v>0.85000000000000009</v>
      </c>
      <c r="CC12" s="133" t="s">
        <v>84</v>
      </c>
      <c r="CD12">
        <f>AVERAGE(BW21:BW22)</f>
        <v>0.58823529411764708</v>
      </c>
      <c r="CE12">
        <f t="shared" ref="CE12:CF12" si="32">AVERAGE(BX21:BX22)</f>
        <v>0.76923076923076927</v>
      </c>
      <c r="CF12">
        <f t="shared" si="32"/>
        <v>0.66666666666666674</v>
      </c>
    </row>
    <row r="13" spans="1:84" ht="13.5" customHeight="1" x14ac:dyDescent="0.35">
      <c r="A13" s="54" t="s">
        <v>48</v>
      </c>
      <c r="B13" s="148"/>
      <c r="C13" s="23" t="s">
        <v>31</v>
      </c>
      <c r="D13" s="24">
        <v>4</v>
      </c>
      <c r="E13" s="25">
        <v>4</v>
      </c>
      <c r="F13" s="25">
        <f t="shared" si="1"/>
        <v>0</v>
      </c>
      <c r="G13" s="23">
        <v>0</v>
      </c>
      <c r="H13" s="24">
        <v>0</v>
      </c>
      <c r="I13" s="25">
        <v>0</v>
      </c>
      <c r="J13" s="25">
        <f t="shared" si="2"/>
        <v>0</v>
      </c>
      <c r="K13" s="23">
        <v>0</v>
      </c>
      <c r="L13" s="24">
        <v>0</v>
      </c>
      <c r="M13" s="25">
        <v>0</v>
      </c>
      <c r="N13" s="25">
        <f t="shared" si="3"/>
        <v>0</v>
      </c>
      <c r="O13" s="23">
        <v>0</v>
      </c>
      <c r="P13" s="24">
        <v>0</v>
      </c>
      <c r="Q13" s="25">
        <v>0</v>
      </c>
      <c r="R13" s="25">
        <f t="shared" si="4"/>
        <v>0</v>
      </c>
      <c r="S13" s="23">
        <v>0</v>
      </c>
      <c r="T13" s="24">
        <v>0</v>
      </c>
      <c r="U13" s="25">
        <v>0</v>
      </c>
      <c r="V13" s="25">
        <f t="shared" si="5"/>
        <v>0</v>
      </c>
      <c r="W13" s="23">
        <v>0</v>
      </c>
      <c r="X13" s="24">
        <v>4</v>
      </c>
      <c r="Y13" s="25">
        <v>4</v>
      </c>
      <c r="Z13" s="25">
        <f t="shared" si="6"/>
        <v>0</v>
      </c>
      <c r="AA13" s="23">
        <v>0</v>
      </c>
      <c r="AB13" s="24">
        <v>0</v>
      </c>
      <c r="AC13" s="25">
        <v>0</v>
      </c>
      <c r="AD13" s="25">
        <f t="shared" si="7"/>
        <v>0</v>
      </c>
      <c r="AE13" s="23">
        <v>0</v>
      </c>
      <c r="AF13" s="24">
        <v>4</v>
      </c>
      <c r="AG13" s="25">
        <v>4</v>
      </c>
      <c r="AH13" s="25">
        <f t="shared" si="8"/>
        <v>0</v>
      </c>
      <c r="AI13" s="23">
        <v>0</v>
      </c>
      <c r="AJ13" s="24">
        <v>3</v>
      </c>
      <c r="AK13" s="25">
        <v>3</v>
      </c>
      <c r="AL13" s="25">
        <f t="shared" si="9"/>
        <v>0</v>
      </c>
      <c r="AM13" s="23">
        <v>0</v>
      </c>
      <c r="AN13" s="24">
        <v>0</v>
      </c>
      <c r="AO13" s="25">
        <v>0</v>
      </c>
      <c r="AP13" s="25">
        <f t="shared" si="10"/>
        <v>0</v>
      </c>
      <c r="AQ13" s="23">
        <v>0</v>
      </c>
      <c r="AR13" s="24">
        <v>0</v>
      </c>
      <c r="AS13" s="25">
        <v>0</v>
      </c>
      <c r="AT13" s="25">
        <f t="shared" si="11"/>
        <v>0</v>
      </c>
      <c r="AU13" s="23">
        <v>0</v>
      </c>
      <c r="AV13" s="24">
        <v>0</v>
      </c>
      <c r="AW13" s="25">
        <v>0</v>
      </c>
      <c r="AX13" s="25">
        <f t="shared" si="12"/>
        <v>0</v>
      </c>
      <c r="AY13" s="23">
        <v>0</v>
      </c>
      <c r="AZ13" s="24">
        <v>3</v>
      </c>
      <c r="BA13" s="25">
        <v>3</v>
      </c>
      <c r="BB13" s="25">
        <f t="shared" si="13"/>
        <v>0</v>
      </c>
      <c r="BC13" s="23">
        <v>0</v>
      </c>
      <c r="BD13" s="24">
        <v>0</v>
      </c>
      <c r="BE13" s="25">
        <v>0</v>
      </c>
      <c r="BF13" s="25">
        <f t="shared" si="14"/>
        <v>0</v>
      </c>
      <c r="BG13" s="23">
        <v>0</v>
      </c>
      <c r="BH13" s="24">
        <v>0</v>
      </c>
      <c r="BI13" s="25">
        <v>0</v>
      </c>
      <c r="BJ13" s="25">
        <f t="shared" si="15"/>
        <v>0</v>
      </c>
      <c r="BK13" s="23">
        <v>0</v>
      </c>
      <c r="BL13" s="24">
        <v>0</v>
      </c>
      <c r="BM13" s="25">
        <v>0</v>
      </c>
      <c r="BN13" s="25">
        <f t="shared" si="16"/>
        <v>0</v>
      </c>
      <c r="BO13" s="23">
        <v>0</v>
      </c>
      <c r="BP13" s="24">
        <v>0</v>
      </c>
      <c r="BQ13" s="25">
        <v>0</v>
      </c>
      <c r="BR13" s="25">
        <f t="shared" si="17"/>
        <v>0</v>
      </c>
      <c r="BS13" s="23">
        <v>0</v>
      </c>
      <c r="BT13" s="24">
        <f t="shared" si="18"/>
        <v>18</v>
      </c>
      <c r="BU13" s="25">
        <f t="shared" si="19"/>
        <v>0</v>
      </c>
      <c r="BV13" s="25">
        <f t="shared" si="20"/>
        <v>0</v>
      </c>
      <c r="BW13" s="25">
        <f t="shared" si="21"/>
        <v>1</v>
      </c>
      <c r="BX13" s="25">
        <f t="shared" si="22"/>
        <v>1</v>
      </c>
      <c r="BY13" s="23">
        <f t="shared" si="23"/>
        <v>1</v>
      </c>
      <c r="CC13" s="133" t="s">
        <v>85</v>
      </c>
      <c r="CD13">
        <f>AVERAGE(BW23:BW24)</f>
        <v>0.90909090909090906</v>
      </c>
      <c r="CE13">
        <f t="shared" ref="CE13:CF13" si="33">AVERAGE(BX23:BX24)</f>
        <v>0.76923076923076927</v>
      </c>
      <c r="CF13">
        <f t="shared" si="33"/>
        <v>0.83333333333333326</v>
      </c>
    </row>
    <row r="14" spans="1:84" x14ac:dyDescent="0.35">
      <c r="A14" s="54" t="s">
        <v>48</v>
      </c>
      <c r="B14" s="148"/>
      <c r="C14" s="23" t="s">
        <v>64</v>
      </c>
      <c r="D14" s="24">
        <v>4</v>
      </c>
      <c r="E14" s="25">
        <v>4</v>
      </c>
      <c r="F14" s="25">
        <f t="shared" si="1"/>
        <v>0</v>
      </c>
      <c r="G14" s="23">
        <v>0</v>
      </c>
      <c r="H14" s="24">
        <v>0</v>
      </c>
      <c r="I14" s="24">
        <v>0</v>
      </c>
      <c r="J14" s="24">
        <v>0</v>
      </c>
      <c r="K14" s="23">
        <v>0</v>
      </c>
      <c r="L14" s="24">
        <v>0</v>
      </c>
      <c r="M14" s="24">
        <v>0</v>
      </c>
      <c r="N14" s="24">
        <v>0</v>
      </c>
      <c r="O14" s="23">
        <v>0</v>
      </c>
      <c r="P14" s="24">
        <v>0</v>
      </c>
      <c r="Q14" s="25">
        <v>0</v>
      </c>
      <c r="R14" s="25">
        <f t="shared" si="4"/>
        <v>0</v>
      </c>
      <c r="S14" s="23">
        <v>0</v>
      </c>
      <c r="T14" s="24">
        <v>0</v>
      </c>
      <c r="U14" s="25">
        <v>0</v>
      </c>
      <c r="V14" s="25">
        <v>0</v>
      </c>
      <c r="W14" s="23">
        <v>0</v>
      </c>
      <c r="X14" s="24">
        <v>4</v>
      </c>
      <c r="Y14" s="24">
        <v>4</v>
      </c>
      <c r="Z14" s="24">
        <f>X14-Y14</f>
        <v>0</v>
      </c>
      <c r="AA14" s="23">
        <v>0</v>
      </c>
      <c r="AB14" s="24">
        <v>0</v>
      </c>
      <c r="AC14" s="24">
        <v>0</v>
      </c>
      <c r="AD14" s="24">
        <f>AB14-AC14</f>
        <v>0</v>
      </c>
      <c r="AE14" s="23">
        <v>0</v>
      </c>
      <c r="AF14" s="24">
        <v>4</v>
      </c>
      <c r="AG14" s="24">
        <v>4</v>
      </c>
      <c r="AH14" s="24">
        <f>AF14-AG14</f>
        <v>0</v>
      </c>
      <c r="AI14" s="23">
        <v>0</v>
      </c>
      <c r="AJ14" s="24">
        <v>3</v>
      </c>
      <c r="AK14" s="24">
        <v>3</v>
      </c>
      <c r="AL14" s="24">
        <f>AJ14-AK14</f>
        <v>0</v>
      </c>
      <c r="AM14" s="23">
        <v>0</v>
      </c>
      <c r="AN14" s="24">
        <v>0</v>
      </c>
      <c r="AO14" s="24">
        <v>0</v>
      </c>
      <c r="AP14" s="24">
        <f>AN14-AO14</f>
        <v>0</v>
      </c>
      <c r="AQ14" s="23">
        <v>0</v>
      </c>
      <c r="AR14" s="24">
        <v>0</v>
      </c>
      <c r="AS14" s="25">
        <v>0</v>
      </c>
      <c r="AT14" s="25">
        <f t="shared" si="11"/>
        <v>0</v>
      </c>
      <c r="AU14" s="23">
        <v>0</v>
      </c>
      <c r="AV14" s="24">
        <v>0</v>
      </c>
      <c r="AW14" s="25">
        <v>0</v>
      </c>
      <c r="AX14" s="25">
        <f t="shared" si="12"/>
        <v>0</v>
      </c>
      <c r="AY14" s="23">
        <v>0</v>
      </c>
      <c r="AZ14" s="24">
        <v>3</v>
      </c>
      <c r="BA14" s="25">
        <v>3</v>
      </c>
      <c r="BB14" s="25">
        <f t="shared" si="13"/>
        <v>0</v>
      </c>
      <c r="BC14" s="23">
        <v>0</v>
      </c>
      <c r="BD14" s="24">
        <v>0</v>
      </c>
      <c r="BE14" s="25">
        <v>0</v>
      </c>
      <c r="BF14" s="25">
        <f t="shared" si="14"/>
        <v>0</v>
      </c>
      <c r="BG14" s="23">
        <v>0</v>
      </c>
      <c r="BH14" s="24">
        <v>0</v>
      </c>
      <c r="BI14" s="25">
        <v>0</v>
      </c>
      <c r="BJ14" s="25">
        <f t="shared" si="15"/>
        <v>0</v>
      </c>
      <c r="BK14" s="23">
        <v>0</v>
      </c>
      <c r="BL14" s="24">
        <v>0</v>
      </c>
      <c r="BM14" s="25">
        <v>0</v>
      </c>
      <c r="BN14" s="25">
        <f t="shared" si="16"/>
        <v>0</v>
      </c>
      <c r="BO14" s="23">
        <v>0</v>
      </c>
      <c r="BP14" s="24">
        <v>0</v>
      </c>
      <c r="BQ14" s="25">
        <v>0</v>
      </c>
      <c r="BR14" s="25">
        <f t="shared" si="17"/>
        <v>0</v>
      </c>
      <c r="BS14" s="23">
        <v>0</v>
      </c>
      <c r="BT14" s="24">
        <f t="shared" si="18"/>
        <v>18</v>
      </c>
      <c r="BU14" s="25">
        <f t="shared" si="19"/>
        <v>0</v>
      </c>
      <c r="BV14" s="25">
        <f t="shared" si="20"/>
        <v>0</v>
      </c>
      <c r="BW14" s="25">
        <f t="shared" si="21"/>
        <v>1</v>
      </c>
      <c r="BX14" s="25">
        <f t="shared" si="22"/>
        <v>1</v>
      </c>
      <c r="BY14" s="23">
        <f t="shared" si="23"/>
        <v>1</v>
      </c>
      <c r="CC14" s="133" t="s">
        <v>86</v>
      </c>
      <c r="CD14">
        <f>AVERAGE(BW25:BW26)</f>
        <v>0.90625</v>
      </c>
      <c r="CE14">
        <f t="shared" ref="CE14:CF14" si="34">AVERAGE(BX25:BX26)</f>
        <v>0.74342105263157898</v>
      </c>
      <c r="CF14">
        <f t="shared" si="34"/>
        <v>0.81666666666666665</v>
      </c>
    </row>
    <row r="15" spans="1:84" x14ac:dyDescent="0.35">
      <c r="A15" s="55" t="s">
        <v>48</v>
      </c>
      <c r="B15" s="148"/>
      <c r="C15" s="26" t="s">
        <v>32</v>
      </c>
      <c r="D15" s="27">
        <v>3</v>
      </c>
      <c r="E15" s="28">
        <v>3</v>
      </c>
      <c r="F15" s="28">
        <f t="shared" si="1"/>
        <v>0</v>
      </c>
      <c r="G15" s="26">
        <v>0</v>
      </c>
      <c r="H15" s="27">
        <v>0</v>
      </c>
      <c r="I15" s="27">
        <v>0</v>
      </c>
      <c r="J15" s="27">
        <f t="shared" si="2"/>
        <v>0</v>
      </c>
      <c r="K15" s="26">
        <v>0</v>
      </c>
      <c r="L15" s="27">
        <v>0</v>
      </c>
      <c r="M15" s="27">
        <v>0</v>
      </c>
      <c r="N15" s="27">
        <f t="shared" si="3"/>
        <v>0</v>
      </c>
      <c r="O15" s="26">
        <v>0</v>
      </c>
      <c r="P15" s="27">
        <v>0</v>
      </c>
      <c r="Q15" s="28">
        <v>0</v>
      </c>
      <c r="R15" s="28">
        <f t="shared" si="4"/>
        <v>0</v>
      </c>
      <c r="S15" s="26">
        <v>0</v>
      </c>
      <c r="T15" s="27">
        <v>0</v>
      </c>
      <c r="U15" s="28">
        <v>0</v>
      </c>
      <c r="V15" s="28">
        <f t="shared" si="5"/>
        <v>0</v>
      </c>
      <c r="W15" s="26">
        <v>0</v>
      </c>
      <c r="X15" s="27">
        <v>3</v>
      </c>
      <c r="Y15" s="27">
        <v>3</v>
      </c>
      <c r="Z15" s="27">
        <f t="shared" si="6"/>
        <v>0</v>
      </c>
      <c r="AA15" s="26">
        <v>0</v>
      </c>
      <c r="AB15" s="27">
        <v>0</v>
      </c>
      <c r="AC15" s="27">
        <v>0</v>
      </c>
      <c r="AD15" s="27">
        <f t="shared" si="7"/>
        <v>0</v>
      </c>
      <c r="AE15" s="26">
        <v>0</v>
      </c>
      <c r="AF15" s="27">
        <v>3</v>
      </c>
      <c r="AG15" s="27">
        <v>3</v>
      </c>
      <c r="AH15" s="27">
        <f t="shared" si="8"/>
        <v>0</v>
      </c>
      <c r="AI15" s="26">
        <v>0</v>
      </c>
      <c r="AJ15" s="27">
        <v>2</v>
      </c>
      <c r="AK15" s="27">
        <v>2</v>
      </c>
      <c r="AL15" s="27">
        <f t="shared" si="9"/>
        <v>0</v>
      </c>
      <c r="AM15" s="26">
        <v>0</v>
      </c>
      <c r="AN15" s="27">
        <v>0</v>
      </c>
      <c r="AO15" s="27">
        <v>0</v>
      </c>
      <c r="AP15" s="27">
        <f t="shared" si="10"/>
        <v>0</v>
      </c>
      <c r="AQ15" s="26">
        <v>0</v>
      </c>
      <c r="AR15" s="27">
        <v>0</v>
      </c>
      <c r="AS15" s="28">
        <v>0</v>
      </c>
      <c r="AT15" s="28">
        <f t="shared" si="11"/>
        <v>0</v>
      </c>
      <c r="AU15" s="26">
        <v>0</v>
      </c>
      <c r="AV15" s="27">
        <v>0</v>
      </c>
      <c r="AW15" s="28">
        <v>0</v>
      </c>
      <c r="AX15" s="28">
        <f t="shared" si="12"/>
        <v>0</v>
      </c>
      <c r="AY15" s="26">
        <v>0</v>
      </c>
      <c r="AZ15" s="27">
        <v>2</v>
      </c>
      <c r="BA15" s="28">
        <v>2</v>
      </c>
      <c r="BB15" s="28">
        <f t="shared" si="13"/>
        <v>0</v>
      </c>
      <c r="BC15" s="26">
        <v>0</v>
      </c>
      <c r="BD15" s="27">
        <v>0</v>
      </c>
      <c r="BE15" s="28">
        <v>0</v>
      </c>
      <c r="BF15" s="28">
        <f t="shared" si="14"/>
        <v>0</v>
      </c>
      <c r="BG15" s="26">
        <v>0</v>
      </c>
      <c r="BH15" s="27">
        <v>0</v>
      </c>
      <c r="BI15" s="28">
        <v>0</v>
      </c>
      <c r="BJ15" s="28">
        <f t="shared" si="15"/>
        <v>0</v>
      </c>
      <c r="BK15" s="26">
        <v>0</v>
      </c>
      <c r="BL15" s="27">
        <v>0</v>
      </c>
      <c r="BM15" s="28">
        <v>0</v>
      </c>
      <c r="BN15" s="28">
        <f t="shared" si="16"/>
        <v>0</v>
      </c>
      <c r="BO15" s="26">
        <v>0</v>
      </c>
      <c r="BP15" s="27">
        <v>0</v>
      </c>
      <c r="BQ15" s="28">
        <v>0</v>
      </c>
      <c r="BR15" s="28">
        <f t="shared" si="17"/>
        <v>0</v>
      </c>
      <c r="BS15" s="26">
        <v>0</v>
      </c>
      <c r="BT15" s="27">
        <f t="shared" si="18"/>
        <v>13</v>
      </c>
      <c r="BU15" s="28">
        <f t="shared" si="19"/>
        <v>0</v>
      </c>
      <c r="BV15" s="28">
        <f t="shared" si="20"/>
        <v>0</v>
      </c>
      <c r="BW15" s="28">
        <f t="shared" si="21"/>
        <v>1</v>
      </c>
      <c r="BX15" s="28">
        <f t="shared" si="22"/>
        <v>1</v>
      </c>
      <c r="BY15" s="26">
        <f t="shared" si="23"/>
        <v>1</v>
      </c>
      <c r="CC15" s="133" t="s">
        <v>87</v>
      </c>
      <c r="CD15">
        <f>AVERAGE(BW27:BW28)</f>
        <v>0.6428571428571429</v>
      </c>
      <c r="CE15">
        <f t="shared" ref="CE15:CF15" si="35">AVERAGE(BX27:BX28)</f>
        <v>0.81818181818181823</v>
      </c>
      <c r="CF15">
        <f t="shared" si="35"/>
        <v>0.72000000000000008</v>
      </c>
    </row>
    <row r="16" spans="1:84" x14ac:dyDescent="0.35">
      <c r="A16" s="55" t="s">
        <v>48</v>
      </c>
      <c r="B16" s="148"/>
      <c r="C16" s="26" t="s">
        <v>65</v>
      </c>
      <c r="D16" s="27">
        <v>3</v>
      </c>
      <c r="E16" s="28">
        <v>3</v>
      </c>
      <c r="F16" s="28">
        <f t="shared" si="1"/>
        <v>0</v>
      </c>
      <c r="G16" s="26">
        <v>0</v>
      </c>
      <c r="H16" s="27">
        <v>0</v>
      </c>
      <c r="I16" s="27">
        <v>0</v>
      </c>
      <c r="J16" s="27">
        <f t="shared" si="2"/>
        <v>0</v>
      </c>
      <c r="K16" s="26">
        <v>0</v>
      </c>
      <c r="L16" s="27">
        <v>0</v>
      </c>
      <c r="M16" s="27">
        <v>0</v>
      </c>
      <c r="N16" s="27">
        <f t="shared" si="3"/>
        <v>0</v>
      </c>
      <c r="O16" s="26">
        <v>0</v>
      </c>
      <c r="P16" s="27">
        <v>0</v>
      </c>
      <c r="Q16" s="28">
        <v>0</v>
      </c>
      <c r="R16" s="28">
        <f t="shared" si="4"/>
        <v>0</v>
      </c>
      <c r="S16" s="26">
        <v>0</v>
      </c>
      <c r="T16" s="27">
        <v>0</v>
      </c>
      <c r="U16" s="28">
        <v>0</v>
      </c>
      <c r="V16" s="28">
        <f t="shared" si="5"/>
        <v>0</v>
      </c>
      <c r="W16" s="26">
        <v>0</v>
      </c>
      <c r="X16" s="27">
        <v>3</v>
      </c>
      <c r="Y16" s="27">
        <v>3</v>
      </c>
      <c r="Z16" s="27">
        <v>0</v>
      </c>
      <c r="AA16" s="26">
        <v>0</v>
      </c>
      <c r="AB16" s="27">
        <v>0</v>
      </c>
      <c r="AC16" s="27">
        <v>0</v>
      </c>
      <c r="AD16" s="27">
        <f t="shared" si="7"/>
        <v>0</v>
      </c>
      <c r="AE16" s="26">
        <v>0</v>
      </c>
      <c r="AF16" s="27">
        <v>3</v>
      </c>
      <c r="AG16" s="27">
        <v>3</v>
      </c>
      <c r="AH16" s="27">
        <f t="shared" si="8"/>
        <v>0</v>
      </c>
      <c r="AI16" s="26">
        <v>0</v>
      </c>
      <c r="AJ16" s="27">
        <v>2</v>
      </c>
      <c r="AK16" s="27">
        <v>2</v>
      </c>
      <c r="AL16" s="27">
        <f t="shared" si="9"/>
        <v>0</v>
      </c>
      <c r="AM16" s="26">
        <v>0</v>
      </c>
      <c r="AN16" s="27">
        <v>0</v>
      </c>
      <c r="AO16" s="27">
        <v>0</v>
      </c>
      <c r="AP16" s="27">
        <f t="shared" si="10"/>
        <v>0</v>
      </c>
      <c r="AQ16" s="26">
        <v>0</v>
      </c>
      <c r="AR16" s="27">
        <v>0</v>
      </c>
      <c r="AS16" s="28">
        <v>0</v>
      </c>
      <c r="AT16" s="28">
        <f t="shared" si="11"/>
        <v>0</v>
      </c>
      <c r="AU16" s="26">
        <v>0</v>
      </c>
      <c r="AV16" s="27">
        <v>0</v>
      </c>
      <c r="AW16" s="28">
        <v>0</v>
      </c>
      <c r="AX16" s="28">
        <f t="shared" si="12"/>
        <v>0</v>
      </c>
      <c r="AY16" s="26">
        <v>0</v>
      </c>
      <c r="AZ16" s="27">
        <v>2</v>
      </c>
      <c r="BA16" s="28">
        <v>2</v>
      </c>
      <c r="BB16" s="28">
        <f t="shared" si="13"/>
        <v>0</v>
      </c>
      <c r="BC16" s="26">
        <v>0</v>
      </c>
      <c r="BD16" s="27">
        <v>0</v>
      </c>
      <c r="BE16" s="28">
        <v>0</v>
      </c>
      <c r="BF16" s="28">
        <f t="shared" si="14"/>
        <v>0</v>
      </c>
      <c r="BG16" s="26">
        <v>0</v>
      </c>
      <c r="BH16" s="27">
        <v>0</v>
      </c>
      <c r="BI16" s="28">
        <v>0</v>
      </c>
      <c r="BJ16" s="28">
        <f t="shared" si="15"/>
        <v>0</v>
      </c>
      <c r="BK16" s="26">
        <v>0</v>
      </c>
      <c r="BL16" s="27">
        <v>0</v>
      </c>
      <c r="BM16" s="28">
        <v>0</v>
      </c>
      <c r="BN16" s="28">
        <f t="shared" si="16"/>
        <v>0</v>
      </c>
      <c r="BO16" s="26">
        <v>0</v>
      </c>
      <c r="BP16" s="27">
        <v>0</v>
      </c>
      <c r="BQ16" s="28">
        <v>0</v>
      </c>
      <c r="BR16" s="28">
        <f t="shared" si="17"/>
        <v>0</v>
      </c>
      <c r="BS16" s="26">
        <v>0</v>
      </c>
      <c r="BT16" s="27">
        <f t="shared" si="18"/>
        <v>13</v>
      </c>
      <c r="BU16" s="28">
        <f t="shared" si="19"/>
        <v>0</v>
      </c>
      <c r="BV16" s="28">
        <f t="shared" si="20"/>
        <v>0</v>
      </c>
      <c r="BW16" s="28">
        <f t="shared" si="21"/>
        <v>1</v>
      </c>
      <c r="BX16" s="28">
        <f t="shared" si="22"/>
        <v>1</v>
      </c>
      <c r="BY16" s="26">
        <f t="shared" si="23"/>
        <v>1</v>
      </c>
      <c r="CC16" s="133" t="s">
        <v>88</v>
      </c>
      <c r="CD16">
        <f>AVERAGE(BW29:BW30)</f>
        <v>0.81818181818181823</v>
      </c>
      <c r="CE16">
        <f t="shared" ref="CE16:CF16" si="36">AVERAGE(BX29:BX30)</f>
        <v>1</v>
      </c>
      <c r="CF16">
        <f t="shared" si="36"/>
        <v>0.9</v>
      </c>
    </row>
    <row r="17" spans="1:84" x14ac:dyDescent="0.35">
      <c r="A17" s="56" t="s">
        <v>48</v>
      </c>
      <c r="B17" s="148"/>
      <c r="C17" s="29" t="s">
        <v>33</v>
      </c>
      <c r="D17" s="30">
        <v>2</v>
      </c>
      <c r="E17" s="31">
        <v>2</v>
      </c>
      <c r="F17" s="31">
        <f t="shared" si="1"/>
        <v>0</v>
      </c>
      <c r="G17" s="29">
        <v>0</v>
      </c>
      <c r="H17" s="30">
        <v>2</v>
      </c>
      <c r="I17" s="31">
        <v>1</v>
      </c>
      <c r="J17" s="31">
        <f t="shared" si="2"/>
        <v>1</v>
      </c>
      <c r="K17" s="29">
        <v>0</v>
      </c>
      <c r="L17" s="30">
        <v>1</v>
      </c>
      <c r="M17" s="31">
        <v>1</v>
      </c>
      <c r="N17" s="31">
        <f t="shared" si="3"/>
        <v>0</v>
      </c>
      <c r="O17" s="29">
        <v>0</v>
      </c>
      <c r="P17" s="30">
        <v>1</v>
      </c>
      <c r="Q17" s="31">
        <v>1</v>
      </c>
      <c r="R17" s="31">
        <f t="shared" si="4"/>
        <v>0</v>
      </c>
      <c r="S17" s="29">
        <v>1</v>
      </c>
      <c r="T17" s="30">
        <v>1</v>
      </c>
      <c r="U17" s="31">
        <v>1</v>
      </c>
      <c r="V17" s="31">
        <f t="shared" si="5"/>
        <v>0</v>
      </c>
      <c r="W17" s="29">
        <v>0</v>
      </c>
      <c r="X17" s="30">
        <v>1</v>
      </c>
      <c r="Y17" s="31">
        <v>1</v>
      </c>
      <c r="Z17" s="31">
        <f t="shared" si="6"/>
        <v>0</v>
      </c>
      <c r="AA17" s="29">
        <v>0</v>
      </c>
      <c r="AB17" s="30">
        <v>0</v>
      </c>
      <c r="AC17" s="31">
        <v>0</v>
      </c>
      <c r="AD17" s="31">
        <f t="shared" si="7"/>
        <v>0</v>
      </c>
      <c r="AE17" s="29">
        <v>0</v>
      </c>
      <c r="AF17" s="30">
        <v>1</v>
      </c>
      <c r="AG17" s="31">
        <v>1</v>
      </c>
      <c r="AH17" s="31">
        <f t="shared" si="8"/>
        <v>0</v>
      </c>
      <c r="AI17" s="29">
        <v>0</v>
      </c>
      <c r="AJ17" s="30">
        <v>0</v>
      </c>
      <c r="AK17" s="31">
        <v>0</v>
      </c>
      <c r="AL17" s="31">
        <f t="shared" si="9"/>
        <v>0</v>
      </c>
      <c r="AM17" s="29">
        <v>0</v>
      </c>
      <c r="AN17" s="30">
        <v>0</v>
      </c>
      <c r="AO17" s="31">
        <v>0</v>
      </c>
      <c r="AP17" s="31">
        <f t="shared" si="10"/>
        <v>0</v>
      </c>
      <c r="AQ17" s="29">
        <v>0</v>
      </c>
      <c r="AR17" s="30">
        <v>0</v>
      </c>
      <c r="AS17" s="31">
        <v>0</v>
      </c>
      <c r="AT17" s="31">
        <f t="shared" si="11"/>
        <v>0</v>
      </c>
      <c r="AU17" s="29">
        <v>0</v>
      </c>
      <c r="AV17" s="30">
        <v>1</v>
      </c>
      <c r="AW17" s="31">
        <v>1</v>
      </c>
      <c r="AX17" s="31">
        <f t="shared" si="12"/>
        <v>0</v>
      </c>
      <c r="AY17" s="29">
        <v>0</v>
      </c>
      <c r="AZ17" s="30">
        <v>1</v>
      </c>
      <c r="BA17" s="31">
        <v>0</v>
      </c>
      <c r="BB17" s="31">
        <f t="shared" si="13"/>
        <v>1</v>
      </c>
      <c r="BC17" s="29">
        <v>1</v>
      </c>
      <c r="BD17" s="30">
        <v>0</v>
      </c>
      <c r="BE17" s="31">
        <v>0</v>
      </c>
      <c r="BF17" s="31">
        <f t="shared" si="14"/>
        <v>0</v>
      </c>
      <c r="BG17" s="29">
        <v>0</v>
      </c>
      <c r="BH17" s="30">
        <v>0</v>
      </c>
      <c r="BI17" s="31">
        <v>0</v>
      </c>
      <c r="BJ17" s="31">
        <f t="shared" si="15"/>
        <v>0</v>
      </c>
      <c r="BK17" s="29">
        <v>0</v>
      </c>
      <c r="BL17" s="30">
        <v>0</v>
      </c>
      <c r="BM17" s="31">
        <v>0</v>
      </c>
      <c r="BN17" s="31">
        <f t="shared" si="16"/>
        <v>0</v>
      </c>
      <c r="BO17" s="29">
        <v>0</v>
      </c>
      <c r="BP17" s="30">
        <v>0</v>
      </c>
      <c r="BQ17" s="31">
        <v>0</v>
      </c>
      <c r="BR17" s="31">
        <f t="shared" si="17"/>
        <v>0</v>
      </c>
      <c r="BS17" s="29">
        <v>0</v>
      </c>
      <c r="BT17" s="30">
        <f t="shared" si="18"/>
        <v>9</v>
      </c>
      <c r="BU17" s="31">
        <f t="shared" si="19"/>
        <v>2</v>
      </c>
      <c r="BV17" s="31">
        <f t="shared" si="20"/>
        <v>2</v>
      </c>
      <c r="BW17" s="31">
        <f t="shared" si="21"/>
        <v>0.81818181818181823</v>
      </c>
      <c r="BX17" s="31">
        <f t="shared" si="22"/>
        <v>0.81818181818181823</v>
      </c>
      <c r="BY17" s="29">
        <f t="shared" si="23"/>
        <v>0.81818181818181823</v>
      </c>
      <c r="CC17" s="133" t="s">
        <v>89</v>
      </c>
      <c r="CD17">
        <f>AVERAGE(BW31:BW32)</f>
        <v>0.79166666666666674</v>
      </c>
      <c r="CE17">
        <f t="shared" ref="CE17:CF17" si="37">AVERAGE(BX31:BX32)</f>
        <v>0.90454545454545454</v>
      </c>
      <c r="CF17">
        <f t="shared" si="37"/>
        <v>0.84387351778656128</v>
      </c>
    </row>
    <row r="18" spans="1:84" x14ac:dyDescent="0.35">
      <c r="A18" s="56" t="s">
        <v>48</v>
      </c>
      <c r="B18" s="148"/>
      <c r="C18" s="29" t="s">
        <v>66</v>
      </c>
      <c r="D18" s="30">
        <v>2</v>
      </c>
      <c r="E18" s="31">
        <v>2</v>
      </c>
      <c r="F18" s="31">
        <f t="shared" si="1"/>
        <v>0</v>
      </c>
      <c r="G18" s="29">
        <v>0</v>
      </c>
      <c r="H18" s="30">
        <v>2</v>
      </c>
      <c r="I18" s="31">
        <v>2</v>
      </c>
      <c r="J18" s="31">
        <f t="shared" si="2"/>
        <v>0</v>
      </c>
      <c r="K18" s="29">
        <v>0</v>
      </c>
      <c r="L18" s="30">
        <v>1</v>
      </c>
      <c r="M18" s="31">
        <v>1</v>
      </c>
      <c r="N18" s="31">
        <f t="shared" si="3"/>
        <v>0</v>
      </c>
      <c r="O18" s="29">
        <v>0</v>
      </c>
      <c r="P18" s="30">
        <v>1</v>
      </c>
      <c r="Q18" s="31">
        <v>1</v>
      </c>
      <c r="R18" s="31">
        <f t="shared" si="4"/>
        <v>0</v>
      </c>
      <c r="S18" s="29">
        <v>1</v>
      </c>
      <c r="T18" s="30">
        <v>1</v>
      </c>
      <c r="U18" s="31">
        <v>1</v>
      </c>
      <c r="V18" s="31">
        <f t="shared" si="5"/>
        <v>0</v>
      </c>
      <c r="W18" s="29">
        <v>0</v>
      </c>
      <c r="X18" s="30">
        <v>1</v>
      </c>
      <c r="Y18" s="31">
        <v>1</v>
      </c>
      <c r="Z18" s="31">
        <f t="shared" si="6"/>
        <v>0</v>
      </c>
      <c r="AA18" s="29">
        <v>0</v>
      </c>
      <c r="AB18" s="30">
        <v>0</v>
      </c>
      <c r="AC18" s="31">
        <v>0</v>
      </c>
      <c r="AD18" s="31">
        <f t="shared" si="7"/>
        <v>0</v>
      </c>
      <c r="AE18" s="29">
        <v>0</v>
      </c>
      <c r="AF18" s="30">
        <v>1</v>
      </c>
      <c r="AG18" s="31">
        <v>1</v>
      </c>
      <c r="AH18" s="31">
        <f t="shared" si="8"/>
        <v>0</v>
      </c>
      <c r="AI18" s="29">
        <v>0</v>
      </c>
      <c r="AJ18" s="30">
        <v>0</v>
      </c>
      <c r="AK18" s="31">
        <v>0</v>
      </c>
      <c r="AL18" s="31">
        <f t="shared" si="9"/>
        <v>0</v>
      </c>
      <c r="AM18" s="29">
        <v>0</v>
      </c>
      <c r="AN18" s="30">
        <v>0</v>
      </c>
      <c r="AO18" s="31">
        <v>0</v>
      </c>
      <c r="AP18" s="31">
        <f t="shared" si="10"/>
        <v>0</v>
      </c>
      <c r="AQ18" s="29">
        <v>0</v>
      </c>
      <c r="AR18" s="30">
        <v>0</v>
      </c>
      <c r="AS18" s="31">
        <v>0</v>
      </c>
      <c r="AT18" s="31">
        <f t="shared" si="11"/>
        <v>0</v>
      </c>
      <c r="AU18" s="29">
        <v>0</v>
      </c>
      <c r="AV18" s="30">
        <v>1</v>
      </c>
      <c r="AW18" s="31">
        <v>1</v>
      </c>
      <c r="AX18" s="31">
        <f t="shared" si="12"/>
        <v>0</v>
      </c>
      <c r="AY18" s="29">
        <v>0</v>
      </c>
      <c r="AZ18" s="30">
        <v>1</v>
      </c>
      <c r="BA18" s="31">
        <v>0</v>
      </c>
      <c r="BB18" s="31">
        <f t="shared" si="13"/>
        <v>1</v>
      </c>
      <c r="BC18" s="29">
        <v>1</v>
      </c>
      <c r="BD18" s="30">
        <v>0</v>
      </c>
      <c r="BE18" s="31">
        <v>0</v>
      </c>
      <c r="BF18" s="31">
        <f t="shared" si="14"/>
        <v>0</v>
      </c>
      <c r="BG18" s="29">
        <v>0</v>
      </c>
      <c r="BH18" s="30">
        <v>0</v>
      </c>
      <c r="BI18" s="31">
        <v>0</v>
      </c>
      <c r="BJ18" s="31">
        <f t="shared" si="15"/>
        <v>0</v>
      </c>
      <c r="BK18" s="29">
        <v>0</v>
      </c>
      <c r="BL18" s="30">
        <v>0</v>
      </c>
      <c r="BM18" s="31">
        <v>0</v>
      </c>
      <c r="BN18" s="31">
        <f>BL18-BM18</f>
        <v>0</v>
      </c>
      <c r="BO18" s="29">
        <v>0</v>
      </c>
      <c r="BP18" s="30">
        <v>0</v>
      </c>
      <c r="BQ18" s="31">
        <v>0</v>
      </c>
      <c r="BR18" s="31">
        <f t="shared" si="17"/>
        <v>0</v>
      </c>
      <c r="BS18" s="29">
        <v>0</v>
      </c>
      <c r="BT18" s="30">
        <f t="shared" si="18"/>
        <v>10</v>
      </c>
      <c r="BU18" s="31">
        <f t="shared" si="19"/>
        <v>1</v>
      </c>
      <c r="BV18" s="31">
        <f t="shared" si="20"/>
        <v>2</v>
      </c>
      <c r="BW18" s="31">
        <f t="shared" si="21"/>
        <v>0.90909090909090906</v>
      </c>
      <c r="BX18" s="31">
        <f t="shared" si="22"/>
        <v>0.83333333333333337</v>
      </c>
      <c r="BY18" s="29">
        <f t="shared" si="23"/>
        <v>0.86956521739130432</v>
      </c>
      <c r="CC18" s="133" t="s">
        <v>90</v>
      </c>
      <c r="CD18">
        <f>AVERAGE(BW33:BW34)</f>
        <v>0.5</v>
      </c>
      <c r="CE18">
        <f t="shared" ref="CE18:CF18" si="38">AVERAGE(BX33:BX34)</f>
        <v>1</v>
      </c>
      <c r="CF18">
        <f t="shared" si="38"/>
        <v>0.66666666666666663</v>
      </c>
    </row>
    <row r="19" spans="1:84" x14ac:dyDescent="0.35">
      <c r="A19" s="57" t="s">
        <v>48</v>
      </c>
      <c r="B19" s="148"/>
      <c r="C19" s="32" t="s">
        <v>34</v>
      </c>
      <c r="D19" s="33">
        <v>2</v>
      </c>
      <c r="E19" s="34">
        <v>2</v>
      </c>
      <c r="F19" s="34">
        <f t="shared" si="1"/>
        <v>0</v>
      </c>
      <c r="G19" s="32">
        <v>0</v>
      </c>
      <c r="H19" s="33">
        <v>2</v>
      </c>
      <c r="I19" s="34">
        <v>2</v>
      </c>
      <c r="J19" s="34">
        <f t="shared" si="2"/>
        <v>0</v>
      </c>
      <c r="K19" s="32">
        <v>0</v>
      </c>
      <c r="L19" s="33">
        <v>1</v>
      </c>
      <c r="M19" s="34">
        <v>1</v>
      </c>
      <c r="N19" s="34">
        <f t="shared" si="3"/>
        <v>0</v>
      </c>
      <c r="O19" s="32">
        <v>0</v>
      </c>
      <c r="P19" s="33">
        <v>1</v>
      </c>
      <c r="Q19" s="34">
        <v>1</v>
      </c>
      <c r="R19" s="34">
        <f t="shared" si="4"/>
        <v>0</v>
      </c>
      <c r="S19" s="32">
        <v>1</v>
      </c>
      <c r="T19" s="33">
        <v>1</v>
      </c>
      <c r="U19" s="34">
        <v>1</v>
      </c>
      <c r="V19" s="34">
        <f t="shared" si="5"/>
        <v>0</v>
      </c>
      <c r="W19" s="32">
        <v>0</v>
      </c>
      <c r="X19" s="33">
        <v>1</v>
      </c>
      <c r="Y19" s="34">
        <v>1</v>
      </c>
      <c r="Z19" s="34">
        <f t="shared" si="6"/>
        <v>0</v>
      </c>
      <c r="AA19" s="32">
        <v>0</v>
      </c>
      <c r="AB19" s="33">
        <v>1</v>
      </c>
      <c r="AC19" s="34">
        <v>1</v>
      </c>
      <c r="AD19" s="34">
        <f t="shared" si="7"/>
        <v>0</v>
      </c>
      <c r="AE19" s="32">
        <v>0</v>
      </c>
      <c r="AF19" s="33">
        <v>1</v>
      </c>
      <c r="AG19" s="34">
        <v>1</v>
      </c>
      <c r="AH19" s="34">
        <f t="shared" si="8"/>
        <v>0</v>
      </c>
      <c r="AI19" s="32">
        <v>0</v>
      </c>
      <c r="AJ19" s="33">
        <v>0</v>
      </c>
      <c r="AK19" s="34">
        <v>0</v>
      </c>
      <c r="AL19" s="34">
        <f t="shared" si="9"/>
        <v>0</v>
      </c>
      <c r="AM19" s="32">
        <v>0</v>
      </c>
      <c r="AN19" s="33">
        <v>0</v>
      </c>
      <c r="AO19" s="34">
        <v>0</v>
      </c>
      <c r="AP19" s="34">
        <f t="shared" si="10"/>
        <v>0</v>
      </c>
      <c r="AQ19" s="32">
        <v>0</v>
      </c>
      <c r="AR19" s="33">
        <v>0</v>
      </c>
      <c r="AS19" s="34">
        <v>0</v>
      </c>
      <c r="AT19" s="34">
        <f t="shared" si="11"/>
        <v>0</v>
      </c>
      <c r="AU19" s="32">
        <v>0</v>
      </c>
      <c r="AV19" s="33">
        <v>1</v>
      </c>
      <c r="AW19" s="34">
        <v>0</v>
      </c>
      <c r="AX19" s="34">
        <f t="shared" si="12"/>
        <v>1</v>
      </c>
      <c r="AY19" s="32">
        <v>1</v>
      </c>
      <c r="AZ19" s="33">
        <v>1</v>
      </c>
      <c r="BA19" s="34">
        <v>0</v>
      </c>
      <c r="BB19" s="34">
        <f t="shared" si="13"/>
        <v>1</v>
      </c>
      <c r="BC19" s="32">
        <v>1</v>
      </c>
      <c r="BD19" s="33">
        <v>0</v>
      </c>
      <c r="BE19" s="34">
        <v>0</v>
      </c>
      <c r="BF19" s="34">
        <f t="shared" si="14"/>
        <v>0</v>
      </c>
      <c r="BG19" s="32">
        <v>0</v>
      </c>
      <c r="BH19" s="33">
        <v>0</v>
      </c>
      <c r="BI19" s="34">
        <v>0</v>
      </c>
      <c r="BJ19" s="34">
        <f t="shared" si="15"/>
        <v>0</v>
      </c>
      <c r="BK19" s="32">
        <v>0</v>
      </c>
      <c r="BL19" s="33">
        <v>0</v>
      </c>
      <c r="BM19" s="34">
        <v>0</v>
      </c>
      <c r="BN19" s="34">
        <f t="shared" si="16"/>
        <v>0</v>
      </c>
      <c r="BO19" s="32">
        <v>1</v>
      </c>
      <c r="BP19" s="33">
        <v>0</v>
      </c>
      <c r="BQ19" s="34">
        <v>0</v>
      </c>
      <c r="BR19" s="34">
        <f t="shared" si="17"/>
        <v>0</v>
      </c>
      <c r="BS19" s="32">
        <v>0</v>
      </c>
      <c r="BT19" s="33">
        <f t="shared" si="18"/>
        <v>10</v>
      </c>
      <c r="BU19" s="34">
        <f t="shared" si="19"/>
        <v>2</v>
      </c>
      <c r="BV19" s="34">
        <f t="shared" si="20"/>
        <v>4</v>
      </c>
      <c r="BW19" s="34">
        <f t="shared" si="21"/>
        <v>0.83333333333333337</v>
      </c>
      <c r="BX19" s="34">
        <f t="shared" si="22"/>
        <v>0.7142857142857143</v>
      </c>
      <c r="BY19" s="32">
        <f t="shared" si="23"/>
        <v>0.76923076923076916</v>
      </c>
      <c r="CC19" s="133" t="s">
        <v>57</v>
      </c>
      <c r="CD19">
        <f>AVERAGE(CD3:CD18)</f>
        <v>0.81720470858798056</v>
      </c>
      <c r="CE19">
        <f t="shared" ref="CE19:CF19" si="39">AVERAGE(CE3:CE18)</f>
        <v>0.86580743817585937</v>
      </c>
      <c r="CF19">
        <f t="shared" si="39"/>
        <v>0.82959304509305232</v>
      </c>
    </row>
    <row r="20" spans="1:84" x14ac:dyDescent="0.35">
      <c r="A20" s="57" t="s">
        <v>48</v>
      </c>
      <c r="B20" s="148"/>
      <c r="C20" s="32" t="s">
        <v>67</v>
      </c>
      <c r="D20" s="33">
        <v>2</v>
      </c>
      <c r="E20" s="34">
        <v>2</v>
      </c>
      <c r="F20" s="34">
        <f t="shared" si="1"/>
        <v>0</v>
      </c>
      <c r="G20" s="32">
        <v>0</v>
      </c>
      <c r="H20" s="33">
        <v>2</v>
      </c>
      <c r="I20" s="34">
        <v>2</v>
      </c>
      <c r="J20" s="34">
        <f t="shared" si="2"/>
        <v>0</v>
      </c>
      <c r="K20" s="32">
        <v>0</v>
      </c>
      <c r="L20" s="33">
        <v>1</v>
      </c>
      <c r="M20" s="34">
        <v>1</v>
      </c>
      <c r="N20" s="34">
        <f t="shared" si="3"/>
        <v>0</v>
      </c>
      <c r="O20" s="32">
        <v>0</v>
      </c>
      <c r="P20" s="33">
        <v>1</v>
      </c>
      <c r="Q20" s="34">
        <v>1</v>
      </c>
      <c r="R20" s="34">
        <f t="shared" si="4"/>
        <v>0</v>
      </c>
      <c r="S20" s="32">
        <v>1</v>
      </c>
      <c r="T20" s="33">
        <v>1</v>
      </c>
      <c r="U20" s="34">
        <v>1</v>
      </c>
      <c r="V20" s="34">
        <f t="shared" si="5"/>
        <v>0</v>
      </c>
      <c r="W20" s="32">
        <v>0</v>
      </c>
      <c r="X20" s="33">
        <v>1</v>
      </c>
      <c r="Y20" s="34">
        <v>1</v>
      </c>
      <c r="Z20" s="34">
        <f t="shared" si="6"/>
        <v>0</v>
      </c>
      <c r="AA20" s="32">
        <v>0</v>
      </c>
      <c r="AB20" s="33">
        <v>1</v>
      </c>
      <c r="AC20" s="34">
        <v>1</v>
      </c>
      <c r="AD20" s="34">
        <f t="shared" si="7"/>
        <v>0</v>
      </c>
      <c r="AE20" s="32">
        <v>0</v>
      </c>
      <c r="AF20" s="33">
        <v>1</v>
      </c>
      <c r="AG20" s="34">
        <v>1</v>
      </c>
      <c r="AH20" s="34">
        <f t="shared" si="8"/>
        <v>0</v>
      </c>
      <c r="AI20" s="32">
        <v>0</v>
      </c>
      <c r="AJ20" s="33">
        <v>0</v>
      </c>
      <c r="AK20" s="34">
        <v>0</v>
      </c>
      <c r="AL20" s="34">
        <f t="shared" si="9"/>
        <v>0</v>
      </c>
      <c r="AM20" s="32">
        <v>0</v>
      </c>
      <c r="AN20" s="33">
        <v>0</v>
      </c>
      <c r="AO20" s="34">
        <v>0</v>
      </c>
      <c r="AP20" s="34">
        <f t="shared" si="10"/>
        <v>0</v>
      </c>
      <c r="AQ20" s="32">
        <v>0</v>
      </c>
      <c r="AR20" s="33">
        <v>0</v>
      </c>
      <c r="AS20" s="34">
        <v>0</v>
      </c>
      <c r="AT20" s="34">
        <f t="shared" si="11"/>
        <v>0</v>
      </c>
      <c r="AU20" s="32">
        <v>0</v>
      </c>
      <c r="AV20" s="33">
        <v>1</v>
      </c>
      <c r="AW20" s="34">
        <v>0</v>
      </c>
      <c r="AX20" s="34">
        <f t="shared" si="12"/>
        <v>1</v>
      </c>
      <c r="AY20" s="32">
        <v>1</v>
      </c>
      <c r="AZ20" s="33">
        <v>1</v>
      </c>
      <c r="BA20" s="34">
        <v>0</v>
      </c>
      <c r="BB20" s="34">
        <f t="shared" si="13"/>
        <v>1</v>
      </c>
      <c r="BC20" s="32">
        <v>1</v>
      </c>
      <c r="BD20" s="33">
        <v>0</v>
      </c>
      <c r="BE20" s="34">
        <v>0</v>
      </c>
      <c r="BF20" s="34">
        <f t="shared" si="14"/>
        <v>0</v>
      </c>
      <c r="BG20" s="32">
        <v>0</v>
      </c>
      <c r="BH20" s="33">
        <v>0</v>
      </c>
      <c r="BI20" s="34">
        <v>0</v>
      </c>
      <c r="BJ20" s="34">
        <f t="shared" si="15"/>
        <v>0</v>
      </c>
      <c r="BK20" s="32">
        <v>0</v>
      </c>
      <c r="BL20" s="33">
        <v>0</v>
      </c>
      <c r="BM20" s="34">
        <v>0</v>
      </c>
      <c r="BN20" s="34">
        <f t="shared" si="16"/>
        <v>0</v>
      </c>
      <c r="BO20" s="32">
        <v>0</v>
      </c>
      <c r="BP20" s="33">
        <v>0</v>
      </c>
      <c r="BQ20" s="34">
        <v>0</v>
      </c>
      <c r="BR20" s="34">
        <f t="shared" si="17"/>
        <v>0</v>
      </c>
      <c r="BS20" s="32">
        <v>1</v>
      </c>
      <c r="BT20" s="33">
        <f t="shared" si="18"/>
        <v>10</v>
      </c>
      <c r="BU20" s="34">
        <f t="shared" si="19"/>
        <v>2</v>
      </c>
      <c r="BV20" s="34">
        <f t="shared" si="20"/>
        <v>4</v>
      </c>
      <c r="BW20" s="34">
        <f t="shared" si="21"/>
        <v>0.83333333333333337</v>
      </c>
      <c r="BX20" s="34">
        <f t="shared" si="22"/>
        <v>0.7142857142857143</v>
      </c>
      <c r="BY20" s="32">
        <f t="shared" si="23"/>
        <v>0.76923076923076916</v>
      </c>
    </row>
    <row r="21" spans="1:84" x14ac:dyDescent="0.35">
      <c r="A21" s="58" t="s">
        <v>48</v>
      </c>
      <c r="B21" s="148"/>
      <c r="C21" s="35" t="s">
        <v>35</v>
      </c>
      <c r="D21" s="36">
        <v>2</v>
      </c>
      <c r="E21" s="37">
        <v>2</v>
      </c>
      <c r="F21" s="37">
        <f t="shared" si="1"/>
        <v>0</v>
      </c>
      <c r="G21" s="35">
        <v>0</v>
      </c>
      <c r="H21" s="36">
        <v>2</v>
      </c>
      <c r="I21" s="37">
        <v>0</v>
      </c>
      <c r="J21" s="37">
        <f t="shared" si="2"/>
        <v>2</v>
      </c>
      <c r="K21" s="35">
        <v>0</v>
      </c>
      <c r="L21" s="36">
        <v>3</v>
      </c>
      <c r="M21" s="37">
        <v>0</v>
      </c>
      <c r="N21" s="37">
        <f t="shared" si="3"/>
        <v>3</v>
      </c>
      <c r="O21" s="35">
        <v>0</v>
      </c>
      <c r="P21" s="36">
        <v>2</v>
      </c>
      <c r="Q21" s="37">
        <v>2</v>
      </c>
      <c r="R21" s="37">
        <f t="shared" si="4"/>
        <v>0</v>
      </c>
      <c r="S21" s="35">
        <v>1</v>
      </c>
      <c r="T21" s="36">
        <v>2</v>
      </c>
      <c r="U21" s="37">
        <v>2</v>
      </c>
      <c r="V21" s="37">
        <f t="shared" si="5"/>
        <v>0</v>
      </c>
      <c r="W21" s="35">
        <v>0</v>
      </c>
      <c r="X21" s="36">
        <v>2</v>
      </c>
      <c r="Y21" s="37">
        <v>2</v>
      </c>
      <c r="Z21" s="37">
        <f t="shared" si="6"/>
        <v>0</v>
      </c>
      <c r="AA21" s="35">
        <v>0</v>
      </c>
      <c r="AB21" s="36">
        <v>0</v>
      </c>
      <c r="AC21" s="37">
        <v>0</v>
      </c>
      <c r="AD21" s="37">
        <f t="shared" si="7"/>
        <v>0</v>
      </c>
      <c r="AE21" s="35">
        <v>0</v>
      </c>
      <c r="AF21" s="36">
        <v>2</v>
      </c>
      <c r="AG21" s="37">
        <v>2</v>
      </c>
      <c r="AH21" s="37">
        <f t="shared" si="8"/>
        <v>0</v>
      </c>
      <c r="AI21" s="35">
        <v>0</v>
      </c>
      <c r="AJ21" s="36">
        <v>0</v>
      </c>
      <c r="AK21" s="37">
        <v>0</v>
      </c>
      <c r="AL21" s="37">
        <f t="shared" si="9"/>
        <v>0</v>
      </c>
      <c r="AM21" s="35">
        <v>0</v>
      </c>
      <c r="AN21" s="36">
        <v>0</v>
      </c>
      <c r="AO21" s="37">
        <v>0</v>
      </c>
      <c r="AP21" s="37">
        <f t="shared" si="10"/>
        <v>0</v>
      </c>
      <c r="AQ21" s="35">
        <v>0</v>
      </c>
      <c r="AR21" s="36">
        <v>0</v>
      </c>
      <c r="AS21" s="37">
        <v>0</v>
      </c>
      <c r="AT21" s="37">
        <f t="shared" si="11"/>
        <v>0</v>
      </c>
      <c r="AU21" s="35">
        <v>0</v>
      </c>
      <c r="AV21" s="36">
        <v>1</v>
      </c>
      <c r="AW21" s="37">
        <v>0</v>
      </c>
      <c r="AX21" s="37">
        <f t="shared" si="12"/>
        <v>1</v>
      </c>
      <c r="AY21" s="35">
        <v>1</v>
      </c>
      <c r="AZ21" s="36">
        <v>1</v>
      </c>
      <c r="BA21" s="37">
        <v>0</v>
      </c>
      <c r="BB21" s="37">
        <f t="shared" si="13"/>
        <v>1</v>
      </c>
      <c r="BC21" s="35">
        <v>1</v>
      </c>
      <c r="BD21" s="36">
        <v>0</v>
      </c>
      <c r="BE21" s="37">
        <v>0</v>
      </c>
      <c r="BF21" s="37">
        <f t="shared" si="14"/>
        <v>0</v>
      </c>
      <c r="BG21" s="35">
        <v>0</v>
      </c>
      <c r="BH21" s="36">
        <v>0</v>
      </c>
      <c r="BI21" s="37">
        <v>0</v>
      </c>
      <c r="BJ21" s="37">
        <f t="shared" si="15"/>
        <v>0</v>
      </c>
      <c r="BK21" s="35">
        <v>0</v>
      </c>
      <c r="BL21" s="36">
        <v>0</v>
      </c>
      <c r="BM21" s="37">
        <v>0</v>
      </c>
      <c r="BN21" s="37">
        <f t="shared" si="16"/>
        <v>0</v>
      </c>
      <c r="BO21" s="35">
        <v>0</v>
      </c>
      <c r="BP21" s="36">
        <v>0</v>
      </c>
      <c r="BQ21" s="37">
        <v>0</v>
      </c>
      <c r="BR21" s="37">
        <f t="shared" si="17"/>
        <v>0</v>
      </c>
      <c r="BS21" s="35">
        <v>0</v>
      </c>
      <c r="BT21" s="36">
        <f t="shared" si="18"/>
        <v>10</v>
      </c>
      <c r="BU21" s="37">
        <f t="shared" si="19"/>
        <v>7</v>
      </c>
      <c r="BV21" s="37">
        <f t="shared" si="20"/>
        <v>3</v>
      </c>
      <c r="BW21" s="37">
        <f t="shared" si="21"/>
        <v>0.58823529411764708</v>
      </c>
      <c r="BX21" s="37">
        <f t="shared" si="22"/>
        <v>0.76923076923076927</v>
      </c>
      <c r="BY21" s="35">
        <f t="shared" si="23"/>
        <v>0.66666666666666674</v>
      </c>
    </row>
    <row r="22" spans="1:84" x14ac:dyDescent="0.35">
      <c r="A22" s="58" t="s">
        <v>48</v>
      </c>
      <c r="B22" s="148"/>
      <c r="C22" s="35" t="s">
        <v>68</v>
      </c>
      <c r="D22" s="36">
        <v>2</v>
      </c>
      <c r="E22" s="37">
        <v>2</v>
      </c>
      <c r="F22" s="37">
        <f t="shared" si="1"/>
        <v>0</v>
      </c>
      <c r="G22" s="35">
        <v>0</v>
      </c>
      <c r="H22" s="36">
        <v>2</v>
      </c>
      <c r="I22" s="37">
        <v>0</v>
      </c>
      <c r="J22" s="37">
        <f t="shared" si="2"/>
        <v>2</v>
      </c>
      <c r="K22" s="35">
        <v>0</v>
      </c>
      <c r="L22" s="36">
        <v>3</v>
      </c>
      <c r="M22" s="37">
        <v>0</v>
      </c>
      <c r="N22" s="37">
        <f t="shared" si="3"/>
        <v>3</v>
      </c>
      <c r="O22" s="35">
        <v>0</v>
      </c>
      <c r="P22" s="36">
        <v>2</v>
      </c>
      <c r="Q22" s="37">
        <v>2</v>
      </c>
      <c r="R22" s="37">
        <f t="shared" si="4"/>
        <v>0</v>
      </c>
      <c r="S22" s="35">
        <v>1</v>
      </c>
      <c r="T22" s="36">
        <v>2</v>
      </c>
      <c r="U22" s="37">
        <v>2</v>
      </c>
      <c r="V22" s="37">
        <f t="shared" si="5"/>
        <v>0</v>
      </c>
      <c r="W22" s="35">
        <v>0</v>
      </c>
      <c r="X22" s="36">
        <v>2</v>
      </c>
      <c r="Y22" s="37">
        <v>2</v>
      </c>
      <c r="Z22" s="37">
        <f t="shared" si="6"/>
        <v>0</v>
      </c>
      <c r="AA22" s="35">
        <v>0</v>
      </c>
      <c r="AB22" s="36">
        <v>0</v>
      </c>
      <c r="AC22" s="37">
        <v>0</v>
      </c>
      <c r="AD22" s="37">
        <f t="shared" si="7"/>
        <v>0</v>
      </c>
      <c r="AE22" s="35">
        <v>0</v>
      </c>
      <c r="AF22" s="36">
        <v>2</v>
      </c>
      <c r="AG22" s="37">
        <v>2</v>
      </c>
      <c r="AH22" s="37">
        <f t="shared" si="8"/>
        <v>0</v>
      </c>
      <c r="AI22" s="35">
        <v>0</v>
      </c>
      <c r="AJ22" s="36">
        <v>0</v>
      </c>
      <c r="AK22" s="37">
        <v>0</v>
      </c>
      <c r="AL22" s="37">
        <f t="shared" si="9"/>
        <v>0</v>
      </c>
      <c r="AM22" s="35">
        <v>0</v>
      </c>
      <c r="AN22" s="36">
        <v>0</v>
      </c>
      <c r="AO22" s="37">
        <v>0</v>
      </c>
      <c r="AP22" s="37">
        <f t="shared" si="10"/>
        <v>0</v>
      </c>
      <c r="AQ22" s="35">
        <v>0</v>
      </c>
      <c r="AR22" s="36">
        <v>0</v>
      </c>
      <c r="AS22" s="37">
        <v>0</v>
      </c>
      <c r="AT22" s="37">
        <f t="shared" si="11"/>
        <v>0</v>
      </c>
      <c r="AU22" s="35">
        <v>0</v>
      </c>
      <c r="AV22" s="36">
        <v>1</v>
      </c>
      <c r="AW22" s="37">
        <v>0</v>
      </c>
      <c r="AX22" s="37">
        <f t="shared" si="12"/>
        <v>1</v>
      </c>
      <c r="AY22" s="35">
        <v>1</v>
      </c>
      <c r="AZ22" s="36">
        <v>1</v>
      </c>
      <c r="BA22" s="37">
        <v>0</v>
      </c>
      <c r="BB22" s="37">
        <f t="shared" si="13"/>
        <v>1</v>
      </c>
      <c r="BC22" s="35">
        <v>1</v>
      </c>
      <c r="BD22" s="36">
        <v>0</v>
      </c>
      <c r="BE22" s="37">
        <v>0</v>
      </c>
      <c r="BF22" s="37">
        <f t="shared" si="14"/>
        <v>0</v>
      </c>
      <c r="BG22" s="35">
        <v>0</v>
      </c>
      <c r="BH22" s="36">
        <v>0</v>
      </c>
      <c r="BI22" s="37">
        <v>0</v>
      </c>
      <c r="BJ22" s="37">
        <f t="shared" si="15"/>
        <v>0</v>
      </c>
      <c r="BK22" s="35">
        <v>0</v>
      </c>
      <c r="BL22" s="36">
        <v>0</v>
      </c>
      <c r="BM22" s="37">
        <v>0</v>
      </c>
      <c r="BN22" s="37">
        <f t="shared" si="16"/>
        <v>0</v>
      </c>
      <c r="BO22" s="35">
        <v>0</v>
      </c>
      <c r="BP22" s="36">
        <v>0</v>
      </c>
      <c r="BQ22" s="37">
        <v>0</v>
      </c>
      <c r="BR22" s="37">
        <f t="shared" si="17"/>
        <v>0</v>
      </c>
      <c r="BS22" s="35">
        <v>0</v>
      </c>
      <c r="BT22" s="36">
        <f t="shared" si="18"/>
        <v>10</v>
      </c>
      <c r="BU22" s="37">
        <f t="shared" si="19"/>
        <v>7</v>
      </c>
      <c r="BV22" s="37">
        <f t="shared" si="20"/>
        <v>3</v>
      </c>
      <c r="BW22" s="37">
        <f t="shared" si="21"/>
        <v>0.58823529411764708</v>
      </c>
      <c r="BX22" s="37">
        <f t="shared" si="22"/>
        <v>0.76923076923076927</v>
      </c>
      <c r="BY22" s="35">
        <f t="shared" si="23"/>
        <v>0.66666666666666674</v>
      </c>
    </row>
    <row r="23" spans="1:84" x14ac:dyDescent="0.35">
      <c r="A23" s="59" t="s">
        <v>48</v>
      </c>
      <c r="B23" s="148"/>
      <c r="C23" s="38" t="s">
        <v>36</v>
      </c>
      <c r="D23" s="39">
        <v>2</v>
      </c>
      <c r="E23" s="40">
        <v>2</v>
      </c>
      <c r="F23" s="40">
        <f t="shared" si="1"/>
        <v>0</v>
      </c>
      <c r="G23" s="38">
        <v>0</v>
      </c>
      <c r="H23" s="39">
        <v>2</v>
      </c>
      <c r="I23" s="40">
        <v>2</v>
      </c>
      <c r="J23" s="40">
        <f t="shared" si="2"/>
        <v>0</v>
      </c>
      <c r="K23" s="38">
        <v>0</v>
      </c>
      <c r="L23" s="39">
        <v>0</v>
      </c>
      <c r="M23" s="40">
        <v>0</v>
      </c>
      <c r="N23" s="40">
        <f t="shared" si="3"/>
        <v>0</v>
      </c>
      <c r="O23" s="38">
        <v>0</v>
      </c>
      <c r="P23" s="39">
        <v>1</v>
      </c>
      <c r="Q23" s="40">
        <v>1</v>
      </c>
      <c r="R23" s="40">
        <f t="shared" si="4"/>
        <v>0</v>
      </c>
      <c r="S23" s="38">
        <v>1</v>
      </c>
      <c r="T23" s="39">
        <v>1</v>
      </c>
      <c r="U23" s="40">
        <v>1</v>
      </c>
      <c r="V23" s="40">
        <f t="shared" si="5"/>
        <v>0</v>
      </c>
      <c r="W23" s="38">
        <v>0</v>
      </c>
      <c r="X23" s="39">
        <v>1</v>
      </c>
      <c r="Y23" s="40">
        <v>1</v>
      </c>
      <c r="Z23" s="40">
        <f t="shared" si="6"/>
        <v>0</v>
      </c>
      <c r="AA23" s="38">
        <v>0</v>
      </c>
      <c r="AB23" s="39">
        <v>1</v>
      </c>
      <c r="AC23" s="40">
        <v>1</v>
      </c>
      <c r="AD23" s="40">
        <f t="shared" si="7"/>
        <v>0</v>
      </c>
      <c r="AE23" s="38">
        <v>0</v>
      </c>
      <c r="AF23" s="39">
        <v>1</v>
      </c>
      <c r="AG23" s="40">
        <v>1</v>
      </c>
      <c r="AH23" s="40">
        <f t="shared" si="8"/>
        <v>0</v>
      </c>
      <c r="AI23" s="38">
        <v>0</v>
      </c>
      <c r="AJ23" s="39">
        <v>0</v>
      </c>
      <c r="AK23" s="40">
        <v>0</v>
      </c>
      <c r="AL23" s="40">
        <f t="shared" si="9"/>
        <v>0</v>
      </c>
      <c r="AM23" s="38">
        <v>0</v>
      </c>
      <c r="AN23" s="39">
        <v>0</v>
      </c>
      <c r="AO23" s="40">
        <v>0</v>
      </c>
      <c r="AP23" s="40">
        <f t="shared" si="10"/>
        <v>0</v>
      </c>
      <c r="AQ23" s="38">
        <v>0</v>
      </c>
      <c r="AR23" s="39">
        <v>1</v>
      </c>
      <c r="AS23" s="40">
        <v>0</v>
      </c>
      <c r="AT23" s="40">
        <f t="shared" si="11"/>
        <v>1</v>
      </c>
      <c r="AU23" s="38">
        <v>0</v>
      </c>
      <c r="AV23" s="39">
        <v>0</v>
      </c>
      <c r="AW23" s="40">
        <v>0</v>
      </c>
      <c r="AX23" s="40">
        <f t="shared" si="12"/>
        <v>0</v>
      </c>
      <c r="AY23" s="38">
        <v>1</v>
      </c>
      <c r="AZ23" s="39">
        <v>1</v>
      </c>
      <c r="BA23" s="40">
        <v>1</v>
      </c>
      <c r="BB23" s="40">
        <f t="shared" si="13"/>
        <v>0</v>
      </c>
      <c r="BC23" s="38">
        <v>0</v>
      </c>
      <c r="BD23" s="39">
        <v>0</v>
      </c>
      <c r="BE23" s="40">
        <v>0</v>
      </c>
      <c r="BF23" s="40">
        <f t="shared" si="14"/>
        <v>0</v>
      </c>
      <c r="BG23" s="38">
        <v>0</v>
      </c>
      <c r="BH23" s="39">
        <v>0</v>
      </c>
      <c r="BI23" s="40">
        <v>0</v>
      </c>
      <c r="BJ23" s="40">
        <f t="shared" si="15"/>
        <v>0</v>
      </c>
      <c r="BK23" s="38">
        <v>0</v>
      </c>
      <c r="BL23" s="39">
        <v>0</v>
      </c>
      <c r="BM23" s="40">
        <v>0</v>
      </c>
      <c r="BN23" s="40">
        <f t="shared" si="16"/>
        <v>0</v>
      </c>
      <c r="BO23" s="38">
        <v>1</v>
      </c>
      <c r="BP23" s="39">
        <v>0</v>
      </c>
      <c r="BQ23" s="40">
        <v>0</v>
      </c>
      <c r="BR23" s="40">
        <f t="shared" si="17"/>
        <v>0</v>
      </c>
      <c r="BS23" s="38">
        <v>0</v>
      </c>
      <c r="BT23" s="39">
        <f t="shared" si="18"/>
        <v>10</v>
      </c>
      <c r="BU23" s="40">
        <f t="shared" si="19"/>
        <v>1</v>
      </c>
      <c r="BV23" s="40">
        <f t="shared" si="20"/>
        <v>3</v>
      </c>
      <c r="BW23" s="40">
        <f t="shared" si="21"/>
        <v>0.90909090909090906</v>
      </c>
      <c r="BX23" s="40">
        <f t="shared" si="22"/>
        <v>0.76923076923076927</v>
      </c>
      <c r="BY23" s="38">
        <f t="shared" si="23"/>
        <v>0.83333333333333326</v>
      </c>
    </row>
    <row r="24" spans="1:84" x14ac:dyDescent="0.35">
      <c r="A24" s="59" t="s">
        <v>48</v>
      </c>
      <c r="B24" s="148"/>
      <c r="C24" s="38" t="s">
        <v>69</v>
      </c>
      <c r="D24" s="39">
        <v>2</v>
      </c>
      <c r="E24" s="40">
        <v>2</v>
      </c>
      <c r="F24" s="40">
        <f t="shared" si="1"/>
        <v>0</v>
      </c>
      <c r="G24" s="38">
        <v>0</v>
      </c>
      <c r="H24" s="39">
        <v>2</v>
      </c>
      <c r="I24" s="40">
        <v>2</v>
      </c>
      <c r="J24" s="40">
        <f t="shared" si="2"/>
        <v>0</v>
      </c>
      <c r="K24" s="38">
        <v>0</v>
      </c>
      <c r="L24" s="39">
        <v>0</v>
      </c>
      <c r="M24" s="40">
        <v>0</v>
      </c>
      <c r="N24" s="40">
        <f t="shared" si="3"/>
        <v>0</v>
      </c>
      <c r="O24" s="38">
        <v>0</v>
      </c>
      <c r="P24" s="39">
        <v>1</v>
      </c>
      <c r="Q24" s="40">
        <v>1</v>
      </c>
      <c r="R24" s="40">
        <f t="shared" si="4"/>
        <v>0</v>
      </c>
      <c r="S24" s="38">
        <v>1</v>
      </c>
      <c r="T24" s="39">
        <v>1</v>
      </c>
      <c r="U24" s="40">
        <v>1</v>
      </c>
      <c r="V24" s="40">
        <f t="shared" si="5"/>
        <v>0</v>
      </c>
      <c r="W24" s="38">
        <v>0</v>
      </c>
      <c r="X24" s="39">
        <v>1</v>
      </c>
      <c r="Y24" s="40">
        <v>1</v>
      </c>
      <c r="Z24" s="40">
        <f t="shared" si="6"/>
        <v>0</v>
      </c>
      <c r="AA24" s="38">
        <v>0</v>
      </c>
      <c r="AB24" s="39">
        <v>1</v>
      </c>
      <c r="AC24" s="40">
        <v>1</v>
      </c>
      <c r="AD24" s="40">
        <f t="shared" si="7"/>
        <v>0</v>
      </c>
      <c r="AE24" s="38">
        <v>0</v>
      </c>
      <c r="AF24" s="39">
        <v>1</v>
      </c>
      <c r="AG24" s="40">
        <v>1</v>
      </c>
      <c r="AH24" s="40">
        <f t="shared" si="8"/>
        <v>0</v>
      </c>
      <c r="AI24" s="38">
        <v>0</v>
      </c>
      <c r="AJ24" s="39">
        <v>0</v>
      </c>
      <c r="AK24" s="40">
        <v>0</v>
      </c>
      <c r="AL24" s="40">
        <f t="shared" si="9"/>
        <v>0</v>
      </c>
      <c r="AM24" s="38">
        <v>0</v>
      </c>
      <c r="AN24" s="39">
        <v>0</v>
      </c>
      <c r="AO24" s="40">
        <v>0</v>
      </c>
      <c r="AP24" s="40">
        <f t="shared" si="10"/>
        <v>0</v>
      </c>
      <c r="AQ24" s="38">
        <v>0</v>
      </c>
      <c r="AR24" s="39">
        <v>1</v>
      </c>
      <c r="AS24" s="40">
        <v>0</v>
      </c>
      <c r="AT24" s="40">
        <f t="shared" si="11"/>
        <v>1</v>
      </c>
      <c r="AU24" s="38">
        <v>0</v>
      </c>
      <c r="AV24" s="39">
        <v>0</v>
      </c>
      <c r="AW24" s="40">
        <v>0</v>
      </c>
      <c r="AX24" s="40">
        <f t="shared" si="12"/>
        <v>0</v>
      </c>
      <c r="AY24" s="38">
        <v>1</v>
      </c>
      <c r="AZ24" s="39">
        <v>1</v>
      </c>
      <c r="BA24" s="40">
        <v>1</v>
      </c>
      <c r="BB24" s="40">
        <f t="shared" si="13"/>
        <v>0</v>
      </c>
      <c r="BC24" s="38">
        <v>0</v>
      </c>
      <c r="BD24" s="39">
        <v>0</v>
      </c>
      <c r="BE24" s="40">
        <v>0</v>
      </c>
      <c r="BF24" s="40">
        <f t="shared" si="14"/>
        <v>0</v>
      </c>
      <c r="BG24" s="38">
        <v>0</v>
      </c>
      <c r="BH24" s="39">
        <v>0</v>
      </c>
      <c r="BI24" s="40">
        <v>0</v>
      </c>
      <c r="BJ24" s="40">
        <f t="shared" si="15"/>
        <v>0</v>
      </c>
      <c r="BK24" s="38">
        <v>0</v>
      </c>
      <c r="BL24" s="39">
        <v>0</v>
      </c>
      <c r="BM24" s="40">
        <v>0</v>
      </c>
      <c r="BN24" s="40">
        <f t="shared" si="16"/>
        <v>0</v>
      </c>
      <c r="BO24" s="38">
        <v>1</v>
      </c>
      <c r="BP24" s="39">
        <v>0</v>
      </c>
      <c r="BQ24" s="40">
        <v>0</v>
      </c>
      <c r="BR24" s="40">
        <f t="shared" si="17"/>
        <v>0</v>
      </c>
      <c r="BS24" s="38">
        <v>0</v>
      </c>
      <c r="BT24" s="39">
        <f t="shared" si="18"/>
        <v>10</v>
      </c>
      <c r="BU24" s="40">
        <f t="shared" si="19"/>
        <v>1</v>
      </c>
      <c r="BV24" s="40">
        <f t="shared" si="20"/>
        <v>3</v>
      </c>
      <c r="BW24" s="40">
        <f t="shared" si="21"/>
        <v>0.90909090909090906</v>
      </c>
      <c r="BX24" s="40">
        <f t="shared" si="22"/>
        <v>0.76923076923076927</v>
      </c>
      <c r="BY24" s="38">
        <f t="shared" si="23"/>
        <v>0.83333333333333326</v>
      </c>
    </row>
    <row r="25" spans="1:84" x14ac:dyDescent="0.35">
      <c r="A25" s="60" t="s">
        <v>48</v>
      </c>
      <c r="B25" s="148"/>
      <c r="C25" s="41" t="s">
        <v>37</v>
      </c>
      <c r="D25" s="42">
        <v>2</v>
      </c>
      <c r="E25" s="43">
        <v>2</v>
      </c>
      <c r="F25" s="43">
        <f t="shared" si="1"/>
        <v>0</v>
      </c>
      <c r="G25" s="41">
        <v>0</v>
      </c>
      <c r="H25" s="42">
        <v>2</v>
      </c>
      <c r="I25" s="43">
        <v>2</v>
      </c>
      <c r="J25" s="43">
        <f t="shared" si="2"/>
        <v>0</v>
      </c>
      <c r="K25" s="41">
        <v>0</v>
      </c>
      <c r="L25" s="42">
        <v>0</v>
      </c>
      <c r="M25" s="43">
        <v>0</v>
      </c>
      <c r="N25" s="43">
        <f t="shared" si="3"/>
        <v>0</v>
      </c>
      <c r="O25" s="41">
        <v>0</v>
      </c>
      <c r="P25" s="42">
        <v>2</v>
      </c>
      <c r="Q25" s="43">
        <v>2</v>
      </c>
      <c r="R25" s="43">
        <f t="shared" si="4"/>
        <v>0</v>
      </c>
      <c r="S25" s="41">
        <v>2</v>
      </c>
      <c r="T25" s="42">
        <v>2</v>
      </c>
      <c r="U25" s="43">
        <v>2</v>
      </c>
      <c r="V25" s="43">
        <f t="shared" si="5"/>
        <v>0</v>
      </c>
      <c r="W25" s="41">
        <v>0</v>
      </c>
      <c r="X25" s="42">
        <v>2</v>
      </c>
      <c r="Y25" s="43">
        <v>2</v>
      </c>
      <c r="Z25" s="43">
        <f t="shared" si="6"/>
        <v>0</v>
      </c>
      <c r="AA25" s="41">
        <v>0</v>
      </c>
      <c r="AB25" s="42">
        <v>2</v>
      </c>
      <c r="AC25" s="43">
        <v>2</v>
      </c>
      <c r="AD25" s="43">
        <f t="shared" si="7"/>
        <v>0</v>
      </c>
      <c r="AE25" s="41">
        <v>0</v>
      </c>
      <c r="AF25" s="42">
        <v>2</v>
      </c>
      <c r="AG25" s="43">
        <v>2</v>
      </c>
      <c r="AH25" s="43">
        <f t="shared" si="8"/>
        <v>0</v>
      </c>
      <c r="AI25" s="41">
        <v>0</v>
      </c>
      <c r="AJ25" s="42">
        <v>0</v>
      </c>
      <c r="AK25" s="43">
        <v>0</v>
      </c>
      <c r="AL25" s="43">
        <f t="shared" si="9"/>
        <v>0</v>
      </c>
      <c r="AM25" s="41">
        <v>0</v>
      </c>
      <c r="AN25" s="42">
        <v>0</v>
      </c>
      <c r="AO25" s="43">
        <v>0</v>
      </c>
      <c r="AP25" s="43">
        <f t="shared" si="10"/>
        <v>0</v>
      </c>
      <c r="AQ25" s="41">
        <v>1</v>
      </c>
      <c r="AR25" s="42">
        <v>1</v>
      </c>
      <c r="AS25" s="43">
        <v>0</v>
      </c>
      <c r="AT25" s="43">
        <f t="shared" si="11"/>
        <v>1</v>
      </c>
      <c r="AU25" s="41">
        <v>0</v>
      </c>
      <c r="AV25" s="42">
        <v>0</v>
      </c>
      <c r="AW25" s="43">
        <v>0</v>
      </c>
      <c r="AX25" s="43">
        <f t="shared" si="12"/>
        <v>0</v>
      </c>
      <c r="AY25" s="41">
        <v>0</v>
      </c>
      <c r="AZ25" s="42">
        <v>1</v>
      </c>
      <c r="BA25" s="43">
        <v>0</v>
      </c>
      <c r="BB25" s="43">
        <f t="shared" si="13"/>
        <v>1</v>
      </c>
      <c r="BC25" s="41">
        <v>1</v>
      </c>
      <c r="BD25" s="42">
        <v>0</v>
      </c>
      <c r="BE25" s="43">
        <v>0</v>
      </c>
      <c r="BF25" s="43">
        <f t="shared" si="14"/>
        <v>0</v>
      </c>
      <c r="BG25" s="41">
        <v>0</v>
      </c>
      <c r="BH25" s="42">
        <v>0</v>
      </c>
      <c r="BI25" s="43">
        <v>0</v>
      </c>
      <c r="BJ25" s="43">
        <f t="shared" si="15"/>
        <v>0</v>
      </c>
      <c r="BK25" s="41">
        <v>0</v>
      </c>
      <c r="BL25" s="42">
        <v>0</v>
      </c>
      <c r="BM25" s="43">
        <v>0</v>
      </c>
      <c r="BN25" s="43">
        <f t="shared" si="16"/>
        <v>0</v>
      </c>
      <c r="BO25" s="41">
        <v>1</v>
      </c>
      <c r="BP25" s="42">
        <v>0</v>
      </c>
      <c r="BQ25" s="43">
        <v>0</v>
      </c>
      <c r="BR25" s="43">
        <f t="shared" si="17"/>
        <v>0</v>
      </c>
      <c r="BS25" s="41">
        <v>0</v>
      </c>
      <c r="BT25" s="42">
        <f t="shared" si="18"/>
        <v>14</v>
      </c>
      <c r="BU25" s="43">
        <f t="shared" si="19"/>
        <v>2</v>
      </c>
      <c r="BV25" s="43">
        <f t="shared" si="20"/>
        <v>5</v>
      </c>
      <c r="BW25" s="43">
        <f t="shared" si="21"/>
        <v>0.875</v>
      </c>
      <c r="BX25" s="43">
        <f t="shared" si="22"/>
        <v>0.73684210526315785</v>
      </c>
      <c r="BY25" s="41">
        <f t="shared" si="23"/>
        <v>0.79999999999999993</v>
      </c>
    </row>
    <row r="26" spans="1:84" x14ac:dyDescent="0.35">
      <c r="A26" s="60" t="s">
        <v>48</v>
      </c>
      <c r="B26" s="148"/>
      <c r="C26" s="41" t="s">
        <v>70</v>
      </c>
      <c r="D26" s="42">
        <v>2</v>
      </c>
      <c r="E26" s="43">
        <v>2</v>
      </c>
      <c r="F26" s="43">
        <f t="shared" si="1"/>
        <v>0</v>
      </c>
      <c r="G26" s="41">
        <v>0</v>
      </c>
      <c r="H26" s="42">
        <v>2</v>
      </c>
      <c r="I26" s="43">
        <v>2</v>
      </c>
      <c r="J26" s="43">
        <f t="shared" si="2"/>
        <v>0</v>
      </c>
      <c r="K26" s="41">
        <v>0</v>
      </c>
      <c r="L26" s="42">
        <v>0</v>
      </c>
      <c r="M26" s="43">
        <v>0</v>
      </c>
      <c r="N26" s="43">
        <f t="shared" si="3"/>
        <v>0</v>
      </c>
      <c r="O26" s="41">
        <v>0</v>
      </c>
      <c r="P26" s="42">
        <v>2</v>
      </c>
      <c r="Q26" s="43">
        <v>2</v>
      </c>
      <c r="R26" s="43">
        <f t="shared" si="4"/>
        <v>0</v>
      </c>
      <c r="S26" s="41">
        <v>2</v>
      </c>
      <c r="T26" s="42">
        <v>2</v>
      </c>
      <c r="U26" s="43">
        <v>2</v>
      </c>
      <c r="V26" s="43">
        <f t="shared" si="5"/>
        <v>0</v>
      </c>
      <c r="W26" s="41">
        <v>0</v>
      </c>
      <c r="X26" s="42">
        <v>2</v>
      </c>
      <c r="Y26" s="43">
        <v>2</v>
      </c>
      <c r="Z26" s="43">
        <f t="shared" si="6"/>
        <v>0</v>
      </c>
      <c r="AA26" s="41">
        <v>0</v>
      </c>
      <c r="AB26" s="42">
        <v>2</v>
      </c>
      <c r="AC26" s="43">
        <v>2</v>
      </c>
      <c r="AD26" s="43">
        <f t="shared" si="7"/>
        <v>0</v>
      </c>
      <c r="AE26" s="41">
        <v>0</v>
      </c>
      <c r="AF26" s="42">
        <v>2</v>
      </c>
      <c r="AG26" s="43">
        <v>2</v>
      </c>
      <c r="AH26" s="43">
        <f t="shared" si="8"/>
        <v>0</v>
      </c>
      <c r="AI26" s="41">
        <v>0</v>
      </c>
      <c r="AJ26" s="42">
        <v>0</v>
      </c>
      <c r="AK26" s="43">
        <v>0</v>
      </c>
      <c r="AL26" s="43">
        <f t="shared" si="9"/>
        <v>0</v>
      </c>
      <c r="AM26" s="41">
        <v>0</v>
      </c>
      <c r="AN26" s="42">
        <v>0</v>
      </c>
      <c r="AO26" s="43">
        <v>0</v>
      </c>
      <c r="AP26" s="43">
        <f t="shared" si="10"/>
        <v>0</v>
      </c>
      <c r="AQ26" s="41">
        <v>2</v>
      </c>
      <c r="AR26" s="42">
        <v>1</v>
      </c>
      <c r="AS26" s="43">
        <v>0</v>
      </c>
      <c r="AT26" s="43">
        <f t="shared" si="11"/>
        <v>1</v>
      </c>
      <c r="AU26" s="41">
        <v>0</v>
      </c>
      <c r="AV26" s="42">
        <v>0</v>
      </c>
      <c r="AW26" s="43">
        <v>0</v>
      </c>
      <c r="AX26" s="43">
        <f t="shared" si="12"/>
        <v>0</v>
      </c>
      <c r="AY26" s="41">
        <v>0</v>
      </c>
      <c r="AZ26" s="42">
        <v>1</v>
      </c>
      <c r="BA26" s="43">
        <v>1</v>
      </c>
      <c r="BB26" s="43">
        <f t="shared" si="13"/>
        <v>0</v>
      </c>
      <c r="BC26" s="41">
        <v>1</v>
      </c>
      <c r="BD26" s="42">
        <v>0</v>
      </c>
      <c r="BE26" s="43">
        <v>0</v>
      </c>
      <c r="BF26" s="43">
        <f t="shared" si="14"/>
        <v>0</v>
      </c>
      <c r="BG26" s="41">
        <v>0</v>
      </c>
      <c r="BH26" s="42">
        <v>0</v>
      </c>
      <c r="BI26" s="43">
        <v>0</v>
      </c>
      <c r="BJ26" s="43">
        <f t="shared" si="15"/>
        <v>0</v>
      </c>
      <c r="BK26" s="41">
        <v>0</v>
      </c>
      <c r="BL26" s="42">
        <v>0</v>
      </c>
      <c r="BM26" s="43">
        <v>0</v>
      </c>
      <c r="BN26" s="43">
        <f t="shared" si="16"/>
        <v>0</v>
      </c>
      <c r="BO26" s="41">
        <v>0</v>
      </c>
      <c r="BP26" s="42">
        <v>0</v>
      </c>
      <c r="BQ26" s="43">
        <v>0</v>
      </c>
      <c r="BR26" s="43">
        <f t="shared" si="17"/>
        <v>0</v>
      </c>
      <c r="BS26" s="41">
        <v>0</v>
      </c>
      <c r="BT26" s="42">
        <f t="shared" si="18"/>
        <v>15</v>
      </c>
      <c r="BU26" s="43">
        <f t="shared" si="19"/>
        <v>1</v>
      </c>
      <c r="BV26" s="43">
        <f t="shared" si="20"/>
        <v>5</v>
      </c>
      <c r="BW26" s="43">
        <f t="shared" si="21"/>
        <v>0.9375</v>
      </c>
      <c r="BX26" s="43">
        <f t="shared" si="22"/>
        <v>0.75</v>
      </c>
      <c r="BY26" s="41">
        <f t="shared" si="23"/>
        <v>0.83333333333333337</v>
      </c>
    </row>
    <row r="27" spans="1:84" x14ac:dyDescent="0.35">
      <c r="A27" s="47" t="s">
        <v>48</v>
      </c>
      <c r="B27" s="148"/>
      <c r="C27" s="44" t="s">
        <v>38</v>
      </c>
      <c r="D27" s="45">
        <v>2</v>
      </c>
      <c r="E27" s="46">
        <v>2</v>
      </c>
      <c r="F27" s="46">
        <f t="shared" si="1"/>
        <v>0</v>
      </c>
      <c r="G27" s="44">
        <v>0</v>
      </c>
      <c r="H27" s="45">
        <v>2</v>
      </c>
      <c r="I27" s="46">
        <v>0</v>
      </c>
      <c r="J27" s="46">
        <f t="shared" si="2"/>
        <v>2</v>
      </c>
      <c r="K27" s="44">
        <v>0</v>
      </c>
      <c r="L27" s="45">
        <v>2</v>
      </c>
      <c r="M27" s="46">
        <v>0</v>
      </c>
      <c r="N27" s="46">
        <f t="shared" si="3"/>
        <v>2</v>
      </c>
      <c r="O27" s="44">
        <v>0</v>
      </c>
      <c r="P27" s="45">
        <v>2</v>
      </c>
      <c r="Q27" s="46">
        <v>2</v>
      </c>
      <c r="R27" s="46">
        <f t="shared" si="4"/>
        <v>0</v>
      </c>
      <c r="S27" s="44">
        <v>0</v>
      </c>
      <c r="T27" s="45">
        <v>2</v>
      </c>
      <c r="U27" s="46">
        <v>2</v>
      </c>
      <c r="V27" s="46">
        <f t="shared" si="5"/>
        <v>0</v>
      </c>
      <c r="W27" s="44">
        <v>0</v>
      </c>
      <c r="X27" s="45">
        <v>1</v>
      </c>
      <c r="Y27" s="46">
        <v>1</v>
      </c>
      <c r="Z27" s="46">
        <f t="shared" si="6"/>
        <v>0</v>
      </c>
      <c r="AA27" s="44">
        <v>0</v>
      </c>
      <c r="AB27" s="45">
        <v>0</v>
      </c>
      <c r="AC27" s="46">
        <v>0</v>
      </c>
      <c r="AD27" s="46">
        <f t="shared" si="7"/>
        <v>0</v>
      </c>
      <c r="AE27" s="44">
        <v>0</v>
      </c>
      <c r="AF27" s="45">
        <v>1</v>
      </c>
      <c r="AG27" s="46">
        <v>1</v>
      </c>
      <c r="AH27" s="46">
        <f t="shared" si="8"/>
        <v>0</v>
      </c>
      <c r="AI27" s="44">
        <v>0</v>
      </c>
      <c r="AJ27" s="45">
        <v>0</v>
      </c>
      <c r="AK27" s="46">
        <v>0</v>
      </c>
      <c r="AL27" s="46">
        <f t="shared" si="9"/>
        <v>0</v>
      </c>
      <c r="AM27" s="44">
        <v>0</v>
      </c>
      <c r="AN27" s="45">
        <v>0</v>
      </c>
      <c r="AO27" s="46">
        <v>0</v>
      </c>
      <c r="AP27" s="46">
        <f t="shared" si="10"/>
        <v>0</v>
      </c>
      <c r="AQ27" s="44">
        <v>1</v>
      </c>
      <c r="AR27" s="45">
        <v>0</v>
      </c>
      <c r="AS27" s="46">
        <v>0</v>
      </c>
      <c r="AT27" s="46">
        <f t="shared" si="11"/>
        <v>0</v>
      </c>
      <c r="AU27" s="44">
        <v>0</v>
      </c>
      <c r="AV27" s="45">
        <v>0</v>
      </c>
      <c r="AW27" s="46">
        <v>0</v>
      </c>
      <c r="AX27" s="46">
        <f t="shared" si="12"/>
        <v>0</v>
      </c>
      <c r="AY27" s="44">
        <v>1</v>
      </c>
      <c r="AZ27" s="45">
        <v>1</v>
      </c>
      <c r="BA27" s="46">
        <v>1</v>
      </c>
      <c r="BB27" s="46">
        <f t="shared" si="13"/>
        <v>0</v>
      </c>
      <c r="BC27" s="44">
        <v>0</v>
      </c>
      <c r="BD27" s="45">
        <v>0</v>
      </c>
      <c r="BE27" s="46">
        <v>0</v>
      </c>
      <c r="BF27" s="46">
        <f t="shared" si="14"/>
        <v>0</v>
      </c>
      <c r="BG27" s="44">
        <v>0</v>
      </c>
      <c r="BH27" s="45">
        <v>0</v>
      </c>
      <c r="BI27" s="46">
        <v>0</v>
      </c>
      <c r="BJ27" s="46">
        <f t="shared" si="15"/>
        <v>0</v>
      </c>
      <c r="BK27" s="44">
        <v>0</v>
      </c>
      <c r="BL27" s="45">
        <v>0</v>
      </c>
      <c r="BM27" s="46">
        <v>0</v>
      </c>
      <c r="BN27" s="46">
        <f t="shared" si="16"/>
        <v>0</v>
      </c>
      <c r="BO27" s="44">
        <v>0</v>
      </c>
      <c r="BP27" s="45">
        <v>1</v>
      </c>
      <c r="BQ27" s="46">
        <v>0</v>
      </c>
      <c r="BR27" s="46">
        <f t="shared" si="17"/>
        <v>1</v>
      </c>
      <c r="BS27" s="44">
        <v>0</v>
      </c>
      <c r="BT27" s="45">
        <f t="shared" si="18"/>
        <v>9</v>
      </c>
      <c r="BU27" s="46">
        <f t="shared" si="19"/>
        <v>5</v>
      </c>
      <c r="BV27" s="46">
        <f t="shared" si="20"/>
        <v>2</v>
      </c>
      <c r="BW27" s="46">
        <f t="shared" si="21"/>
        <v>0.6428571428571429</v>
      </c>
      <c r="BX27" s="46">
        <f t="shared" si="22"/>
        <v>0.81818181818181823</v>
      </c>
      <c r="BY27" s="44">
        <f t="shared" si="23"/>
        <v>0.72000000000000008</v>
      </c>
    </row>
    <row r="28" spans="1:84" x14ac:dyDescent="0.35">
      <c r="A28" s="47" t="s">
        <v>48</v>
      </c>
      <c r="B28" s="148"/>
      <c r="C28" s="44" t="s">
        <v>71</v>
      </c>
      <c r="D28" s="45">
        <v>2</v>
      </c>
      <c r="E28" s="46">
        <v>2</v>
      </c>
      <c r="F28" s="46">
        <f t="shared" si="1"/>
        <v>0</v>
      </c>
      <c r="G28" s="44">
        <v>0</v>
      </c>
      <c r="H28" s="45">
        <v>2</v>
      </c>
      <c r="I28" s="46">
        <v>0</v>
      </c>
      <c r="J28" s="46">
        <f t="shared" si="2"/>
        <v>2</v>
      </c>
      <c r="K28" s="44">
        <v>0</v>
      </c>
      <c r="L28" s="45">
        <v>2</v>
      </c>
      <c r="M28" s="46">
        <v>0</v>
      </c>
      <c r="N28" s="46">
        <f t="shared" si="3"/>
        <v>2</v>
      </c>
      <c r="O28" s="44">
        <v>0</v>
      </c>
      <c r="P28" s="45">
        <v>2</v>
      </c>
      <c r="Q28" s="46">
        <v>2</v>
      </c>
      <c r="R28" s="46">
        <f t="shared" si="4"/>
        <v>0</v>
      </c>
      <c r="S28" s="44">
        <v>0</v>
      </c>
      <c r="T28" s="45">
        <v>2</v>
      </c>
      <c r="U28" s="46">
        <v>2</v>
      </c>
      <c r="V28" s="46">
        <f t="shared" si="5"/>
        <v>0</v>
      </c>
      <c r="W28" s="44">
        <v>0</v>
      </c>
      <c r="X28" s="45">
        <v>1</v>
      </c>
      <c r="Y28" s="46">
        <v>1</v>
      </c>
      <c r="Z28" s="46">
        <f t="shared" si="6"/>
        <v>0</v>
      </c>
      <c r="AA28" s="44">
        <v>0</v>
      </c>
      <c r="AB28" s="45">
        <v>0</v>
      </c>
      <c r="AC28" s="46">
        <v>0</v>
      </c>
      <c r="AD28" s="46">
        <f t="shared" si="7"/>
        <v>0</v>
      </c>
      <c r="AE28" s="44">
        <v>0</v>
      </c>
      <c r="AF28" s="45">
        <v>1</v>
      </c>
      <c r="AG28" s="46">
        <v>1</v>
      </c>
      <c r="AH28" s="46">
        <f t="shared" si="8"/>
        <v>0</v>
      </c>
      <c r="AI28" s="44">
        <v>0</v>
      </c>
      <c r="AJ28" s="45">
        <v>0</v>
      </c>
      <c r="AK28" s="46">
        <v>0</v>
      </c>
      <c r="AL28" s="46">
        <f t="shared" si="9"/>
        <v>0</v>
      </c>
      <c r="AM28" s="44">
        <v>0</v>
      </c>
      <c r="AN28" s="45">
        <v>0</v>
      </c>
      <c r="AO28" s="46">
        <v>0</v>
      </c>
      <c r="AP28" s="46">
        <f t="shared" si="10"/>
        <v>0</v>
      </c>
      <c r="AQ28" s="44">
        <v>1</v>
      </c>
      <c r="AR28" s="45">
        <v>0</v>
      </c>
      <c r="AS28" s="46">
        <v>0</v>
      </c>
      <c r="AT28" s="46">
        <f t="shared" si="11"/>
        <v>0</v>
      </c>
      <c r="AU28" s="44">
        <v>0</v>
      </c>
      <c r="AV28" s="45">
        <v>0</v>
      </c>
      <c r="AW28" s="46">
        <v>0</v>
      </c>
      <c r="AX28" s="46">
        <f t="shared" si="12"/>
        <v>0</v>
      </c>
      <c r="AY28" s="44">
        <v>1</v>
      </c>
      <c r="AZ28" s="45">
        <v>1</v>
      </c>
      <c r="BA28" s="46">
        <v>1</v>
      </c>
      <c r="BB28" s="46">
        <f t="shared" si="13"/>
        <v>0</v>
      </c>
      <c r="BC28" s="44">
        <v>0</v>
      </c>
      <c r="BD28" s="45">
        <v>0</v>
      </c>
      <c r="BE28" s="46">
        <v>0</v>
      </c>
      <c r="BF28" s="46">
        <f t="shared" si="14"/>
        <v>0</v>
      </c>
      <c r="BG28" s="44">
        <v>0</v>
      </c>
      <c r="BH28" s="45">
        <v>0</v>
      </c>
      <c r="BI28" s="46">
        <v>0</v>
      </c>
      <c r="BJ28" s="46">
        <f t="shared" si="15"/>
        <v>0</v>
      </c>
      <c r="BK28" s="44">
        <v>0</v>
      </c>
      <c r="BL28" s="45">
        <v>0</v>
      </c>
      <c r="BM28" s="46">
        <v>0</v>
      </c>
      <c r="BN28" s="46">
        <f t="shared" si="16"/>
        <v>0</v>
      </c>
      <c r="BO28" s="44">
        <v>0</v>
      </c>
      <c r="BP28" s="45">
        <v>1</v>
      </c>
      <c r="BQ28" s="46">
        <v>0</v>
      </c>
      <c r="BR28" s="46">
        <f t="shared" si="17"/>
        <v>1</v>
      </c>
      <c r="BS28" s="44">
        <v>0</v>
      </c>
      <c r="BT28" s="45">
        <f t="shared" si="18"/>
        <v>9</v>
      </c>
      <c r="BU28" s="46">
        <f t="shared" si="19"/>
        <v>5</v>
      </c>
      <c r="BV28" s="46">
        <f t="shared" si="20"/>
        <v>2</v>
      </c>
      <c r="BW28" s="46">
        <f t="shared" si="21"/>
        <v>0.6428571428571429</v>
      </c>
      <c r="BX28" s="46">
        <f t="shared" si="22"/>
        <v>0.81818181818181823</v>
      </c>
      <c r="BY28" s="44">
        <f t="shared" si="23"/>
        <v>0.72000000000000008</v>
      </c>
    </row>
    <row r="29" spans="1:84" x14ac:dyDescent="0.35">
      <c r="A29" s="61" t="s">
        <v>48</v>
      </c>
      <c r="B29" s="148"/>
      <c r="C29" s="126" t="s">
        <v>39</v>
      </c>
      <c r="D29" s="127">
        <v>2</v>
      </c>
      <c r="E29" s="128">
        <v>2</v>
      </c>
      <c r="F29" s="128">
        <f t="shared" si="1"/>
        <v>0</v>
      </c>
      <c r="G29" s="126">
        <v>0</v>
      </c>
      <c r="H29" s="127">
        <v>2</v>
      </c>
      <c r="I29" s="128">
        <v>0</v>
      </c>
      <c r="J29" s="128">
        <f t="shared" si="2"/>
        <v>2</v>
      </c>
      <c r="K29" s="126">
        <v>0</v>
      </c>
      <c r="L29" s="127">
        <v>2</v>
      </c>
      <c r="M29" s="128">
        <v>0</v>
      </c>
      <c r="N29" s="128">
        <f t="shared" si="3"/>
        <v>2</v>
      </c>
      <c r="O29" s="126">
        <v>0</v>
      </c>
      <c r="P29" s="127">
        <v>2</v>
      </c>
      <c r="Q29" s="128">
        <v>2</v>
      </c>
      <c r="R29" s="128">
        <f t="shared" si="4"/>
        <v>0</v>
      </c>
      <c r="S29" s="126">
        <v>0</v>
      </c>
      <c r="T29" s="127">
        <v>2</v>
      </c>
      <c r="U29" s="128">
        <v>2</v>
      </c>
      <c r="V29" s="128">
        <f t="shared" si="5"/>
        <v>0</v>
      </c>
      <c r="W29" s="126">
        <v>0</v>
      </c>
      <c r="X29" s="127">
        <v>4</v>
      </c>
      <c r="Y29" s="128">
        <v>4</v>
      </c>
      <c r="Z29" s="128">
        <f t="shared" si="6"/>
        <v>0</v>
      </c>
      <c r="AA29" s="126">
        <v>0</v>
      </c>
      <c r="AB29" s="127">
        <v>2</v>
      </c>
      <c r="AC29" s="128">
        <v>2</v>
      </c>
      <c r="AD29" s="128">
        <f t="shared" si="7"/>
        <v>0</v>
      </c>
      <c r="AE29" s="126">
        <v>0</v>
      </c>
      <c r="AF29" s="127">
        <v>4</v>
      </c>
      <c r="AG29" s="128">
        <v>4</v>
      </c>
      <c r="AH29" s="128">
        <f t="shared" si="8"/>
        <v>0</v>
      </c>
      <c r="AI29" s="126">
        <v>0</v>
      </c>
      <c r="AJ29" s="127">
        <v>0</v>
      </c>
      <c r="AK29" s="128">
        <v>0</v>
      </c>
      <c r="AL29" s="128">
        <f t="shared" si="9"/>
        <v>0</v>
      </c>
      <c r="AM29" s="126">
        <v>0</v>
      </c>
      <c r="AN29" s="127">
        <v>0</v>
      </c>
      <c r="AO29" s="128">
        <v>0</v>
      </c>
      <c r="AP29" s="128">
        <f t="shared" si="10"/>
        <v>0</v>
      </c>
      <c r="AQ29" s="126">
        <v>0</v>
      </c>
      <c r="AR29" s="127">
        <v>0</v>
      </c>
      <c r="AS29" s="128">
        <v>0</v>
      </c>
      <c r="AT29" s="128">
        <f t="shared" si="11"/>
        <v>0</v>
      </c>
      <c r="AU29" s="126">
        <v>0</v>
      </c>
      <c r="AV29" s="127">
        <v>0</v>
      </c>
      <c r="AW29" s="128">
        <v>0</v>
      </c>
      <c r="AX29" s="128">
        <f t="shared" si="12"/>
        <v>0</v>
      </c>
      <c r="AY29" s="126">
        <v>0</v>
      </c>
      <c r="AZ29" s="127">
        <v>1</v>
      </c>
      <c r="BA29" s="128">
        <v>1</v>
      </c>
      <c r="BB29" s="128">
        <f t="shared" si="13"/>
        <v>0</v>
      </c>
      <c r="BC29" s="126">
        <v>0</v>
      </c>
      <c r="BD29" s="127">
        <v>0</v>
      </c>
      <c r="BE29" s="128">
        <v>0</v>
      </c>
      <c r="BF29" s="128">
        <f t="shared" si="14"/>
        <v>0</v>
      </c>
      <c r="BG29" s="126">
        <v>0</v>
      </c>
      <c r="BH29" s="127">
        <v>0</v>
      </c>
      <c r="BI29" s="128">
        <v>0</v>
      </c>
      <c r="BJ29" s="128">
        <f t="shared" si="15"/>
        <v>0</v>
      </c>
      <c r="BK29" s="126">
        <v>0</v>
      </c>
      <c r="BL29" s="127">
        <v>0</v>
      </c>
      <c r="BM29" s="128">
        <v>0</v>
      </c>
      <c r="BN29" s="128">
        <f t="shared" si="16"/>
        <v>0</v>
      </c>
      <c r="BO29" s="126">
        <v>0</v>
      </c>
      <c r="BP29" s="127">
        <v>1</v>
      </c>
      <c r="BQ29" s="128">
        <v>1</v>
      </c>
      <c r="BR29" s="128">
        <f t="shared" si="17"/>
        <v>0</v>
      </c>
      <c r="BS29" s="126">
        <v>0</v>
      </c>
      <c r="BT29" s="127">
        <f t="shared" si="18"/>
        <v>18</v>
      </c>
      <c r="BU29" s="128">
        <f t="shared" si="19"/>
        <v>4</v>
      </c>
      <c r="BV29" s="128">
        <f t="shared" si="20"/>
        <v>0</v>
      </c>
      <c r="BW29" s="128">
        <f t="shared" si="21"/>
        <v>0.81818181818181823</v>
      </c>
      <c r="BX29" s="128">
        <f t="shared" si="22"/>
        <v>1</v>
      </c>
      <c r="BY29" s="126">
        <f t="shared" si="23"/>
        <v>0.9</v>
      </c>
    </row>
    <row r="30" spans="1:84" x14ac:dyDescent="0.35">
      <c r="A30" s="128" t="s">
        <v>48</v>
      </c>
      <c r="B30" s="148"/>
      <c r="C30" s="104" t="s">
        <v>72</v>
      </c>
      <c r="D30" s="107">
        <v>2</v>
      </c>
      <c r="E30" s="61">
        <v>2</v>
      </c>
      <c r="F30" s="61">
        <f t="shared" si="1"/>
        <v>0</v>
      </c>
      <c r="G30" s="104">
        <v>0</v>
      </c>
      <c r="H30" s="107">
        <v>2</v>
      </c>
      <c r="I30" s="61">
        <v>0</v>
      </c>
      <c r="J30" s="61">
        <f t="shared" si="2"/>
        <v>2</v>
      </c>
      <c r="K30" s="104">
        <v>0</v>
      </c>
      <c r="L30" s="107">
        <v>2</v>
      </c>
      <c r="M30" s="61">
        <v>0</v>
      </c>
      <c r="N30" s="61">
        <f t="shared" si="3"/>
        <v>2</v>
      </c>
      <c r="O30" s="104">
        <v>0</v>
      </c>
      <c r="P30" s="107">
        <v>2</v>
      </c>
      <c r="Q30" s="61">
        <v>2</v>
      </c>
      <c r="R30" s="61">
        <f t="shared" si="4"/>
        <v>0</v>
      </c>
      <c r="S30" s="104">
        <v>0</v>
      </c>
      <c r="T30" s="107">
        <v>2</v>
      </c>
      <c r="U30" s="61">
        <v>2</v>
      </c>
      <c r="V30" s="61">
        <f t="shared" si="5"/>
        <v>0</v>
      </c>
      <c r="W30" s="104">
        <v>0</v>
      </c>
      <c r="X30" s="107">
        <v>4</v>
      </c>
      <c r="Y30" s="61">
        <v>4</v>
      </c>
      <c r="Z30" s="61">
        <f t="shared" si="6"/>
        <v>0</v>
      </c>
      <c r="AA30" s="104">
        <v>0</v>
      </c>
      <c r="AB30" s="107">
        <v>2</v>
      </c>
      <c r="AC30" s="61">
        <v>2</v>
      </c>
      <c r="AD30" s="61">
        <v>0</v>
      </c>
      <c r="AE30" s="104">
        <v>0</v>
      </c>
      <c r="AF30" s="107">
        <v>4</v>
      </c>
      <c r="AG30" s="61">
        <v>4</v>
      </c>
      <c r="AH30" s="61">
        <f t="shared" si="8"/>
        <v>0</v>
      </c>
      <c r="AI30" s="104">
        <v>0</v>
      </c>
      <c r="AJ30" s="107">
        <v>0</v>
      </c>
      <c r="AK30" s="61">
        <v>0</v>
      </c>
      <c r="AL30" s="61">
        <f t="shared" si="9"/>
        <v>0</v>
      </c>
      <c r="AM30" s="104">
        <v>0</v>
      </c>
      <c r="AN30" s="107">
        <v>0</v>
      </c>
      <c r="AO30" s="61">
        <v>0</v>
      </c>
      <c r="AP30" s="61">
        <f t="shared" si="10"/>
        <v>0</v>
      </c>
      <c r="AQ30" s="104">
        <v>0</v>
      </c>
      <c r="AR30" s="107">
        <v>0</v>
      </c>
      <c r="AS30" s="61">
        <v>0</v>
      </c>
      <c r="AT30" s="61">
        <f t="shared" si="11"/>
        <v>0</v>
      </c>
      <c r="AU30" s="104">
        <v>0</v>
      </c>
      <c r="AV30" s="107">
        <v>0</v>
      </c>
      <c r="AW30" s="61">
        <v>0</v>
      </c>
      <c r="AX30" s="61">
        <f t="shared" si="12"/>
        <v>0</v>
      </c>
      <c r="AY30" s="104">
        <v>0</v>
      </c>
      <c r="AZ30" s="107">
        <v>1</v>
      </c>
      <c r="BA30" s="61">
        <v>1</v>
      </c>
      <c r="BB30" s="61">
        <f t="shared" si="13"/>
        <v>0</v>
      </c>
      <c r="BC30" s="104">
        <v>0</v>
      </c>
      <c r="BD30" s="107">
        <v>0</v>
      </c>
      <c r="BE30" s="61">
        <v>0</v>
      </c>
      <c r="BF30" s="61">
        <f t="shared" si="14"/>
        <v>0</v>
      </c>
      <c r="BG30" s="104">
        <v>0</v>
      </c>
      <c r="BH30" s="107">
        <v>0</v>
      </c>
      <c r="BI30" s="61">
        <v>0</v>
      </c>
      <c r="BJ30" s="61">
        <f t="shared" si="15"/>
        <v>0</v>
      </c>
      <c r="BK30" s="104">
        <v>0</v>
      </c>
      <c r="BL30" s="107">
        <v>0</v>
      </c>
      <c r="BM30" s="61">
        <v>0</v>
      </c>
      <c r="BN30" s="61">
        <f t="shared" si="16"/>
        <v>0</v>
      </c>
      <c r="BO30" s="104">
        <v>0</v>
      </c>
      <c r="BP30" s="107">
        <v>1</v>
      </c>
      <c r="BQ30" s="61">
        <v>1</v>
      </c>
      <c r="BR30" s="61">
        <f t="shared" si="17"/>
        <v>0</v>
      </c>
      <c r="BS30" s="104">
        <v>0</v>
      </c>
      <c r="BT30" s="107">
        <f t="shared" si="18"/>
        <v>18</v>
      </c>
      <c r="BU30" s="61">
        <f t="shared" si="19"/>
        <v>4</v>
      </c>
      <c r="BV30" s="61">
        <f t="shared" si="20"/>
        <v>0</v>
      </c>
      <c r="BW30" s="61">
        <f t="shared" si="21"/>
        <v>0.81818181818181823</v>
      </c>
      <c r="BX30" s="61">
        <f t="shared" si="22"/>
        <v>1</v>
      </c>
      <c r="BY30" s="104">
        <f t="shared" si="23"/>
        <v>0.9</v>
      </c>
    </row>
    <row r="31" spans="1:84" x14ac:dyDescent="0.35">
      <c r="A31" s="108" t="s">
        <v>48</v>
      </c>
      <c r="B31" s="148"/>
      <c r="C31" s="112" t="s">
        <v>42</v>
      </c>
      <c r="D31" s="114">
        <v>2</v>
      </c>
      <c r="E31" s="108">
        <v>2</v>
      </c>
      <c r="F31" s="108">
        <f t="shared" si="1"/>
        <v>0</v>
      </c>
      <c r="G31" s="112">
        <v>0</v>
      </c>
      <c r="H31" s="114">
        <v>1</v>
      </c>
      <c r="I31" s="108">
        <v>0</v>
      </c>
      <c r="J31" s="108">
        <f t="shared" si="2"/>
        <v>1</v>
      </c>
      <c r="K31" s="112">
        <v>0</v>
      </c>
      <c r="L31" s="114">
        <v>1</v>
      </c>
      <c r="M31" s="108">
        <v>0</v>
      </c>
      <c r="N31" s="108">
        <f t="shared" si="3"/>
        <v>1</v>
      </c>
      <c r="O31" s="112">
        <v>0</v>
      </c>
      <c r="P31" s="114">
        <v>1</v>
      </c>
      <c r="Q31" s="108">
        <v>1</v>
      </c>
      <c r="R31" s="108">
        <f t="shared" si="4"/>
        <v>0</v>
      </c>
      <c r="S31" s="112">
        <v>0</v>
      </c>
      <c r="T31" s="114">
        <v>1</v>
      </c>
      <c r="U31" s="108">
        <v>1</v>
      </c>
      <c r="V31" s="108">
        <f t="shared" si="5"/>
        <v>0</v>
      </c>
      <c r="W31" s="112">
        <v>0</v>
      </c>
      <c r="X31" s="114">
        <v>2</v>
      </c>
      <c r="Y31" s="108">
        <v>2</v>
      </c>
      <c r="Z31" s="108">
        <f t="shared" si="6"/>
        <v>0</v>
      </c>
      <c r="AA31" s="112">
        <v>0</v>
      </c>
      <c r="AB31" s="114">
        <v>0</v>
      </c>
      <c r="AC31" s="108">
        <v>0</v>
      </c>
      <c r="AD31" s="108">
        <v>0</v>
      </c>
      <c r="AE31" s="112">
        <v>0</v>
      </c>
      <c r="AF31" s="114">
        <v>2</v>
      </c>
      <c r="AG31" s="108">
        <v>2</v>
      </c>
      <c r="AH31" s="108">
        <f t="shared" si="8"/>
        <v>0</v>
      </c>
      <c r="AI31" s="112">
        <v>0</v>
      </c>
      <c r="AJ31" s="114">
        <v>0</v>
      </c>
      <c r="AK31" s="108">
        <v>0</v>
      </c>
      <c r="AL31" s="108">
        <f t="shared" si="9"/>
        <v>0</v>
      </c>
      <c r="AM31" s="112">
        <v>0</v>
      </c>
      <c r="AN31" s="114">
        <v>0</v>
      </c>
      <c r="AO31" s="108">
        <v>0</v>
      </c>
      <c r="AP31" s="108">
        <f t="shared" si="10"/>
        <v>0</v>
      </c>
      <c r="AQ31" s="112">
        <v>1</v>
      </c>
      <c r="AR31" s="114">
        <v>0</v>
      </c>
      <c r="AS31" s="108">
        <v>0</v>
      </c>
      <c r="AT31" s="108">
        <f t="shared" si="11"/>
        <v>0</v>
      </c>
      <c r="AU31" s="112">
        <v>0</v>
      </c>
      <c r="AV31" s="114">
        <v>0</v>
      </c>
      <c r="AW31" s="108">
        <v>0</v>
      </c>
      <c r="AX31" s="108">
        <f t="shared" si="12"/>
        <v>0</v>
      </c>
      <c r="AY31" s="112">
        <v>0</v>
      </c>
      <c r="AZ31" s="114">
        <v>1</v>
      </c>
      <c r="BA31" s="108">
        <v>1</v>
      </c>
      <c r="BB31" s="108">
        <f t="shared" si="13"/>
        <v>0</v>
      </c>
      <c r="BC31" s="112">
        <v>0</v>
      </c>
      <c r="BD31" s="114">
        <v>0</v>
      </c>
      <c r="BE31" s="108">
        <v>0</v>
      </c>
      <c r="BF31" s="108">
        <f t="shared" si="14"/>
        <v>0</v>
      </c>
      <c r="BG31" s="112">
        <v>0</v>
      </c>
      <c r="BH31" s="114">
        <v>0</v>
      </c>
      <c r="BI31" s="108">
        <v>0</v>
      </c>
      <c r="BJ31" s="108">
        <f t="shared" si="15"/>
        <v>0</v>
      </c>
      <c r="BK31" s="112">
        <v>0</v>
      </c>
      <c r="BL31" s="114">
        <v>0</v>
      </c>
      <c r="BM31" s="108">
        <v>0</v>
      </c>
      <c r="BN31" s="108">
        <f t="shared" si="16"/>
        <v>0</v>
      </c>
      <c r="BO31" s="112">
        <v>0</v>
      </c>
      <c r="BP31" s="114">
        <v>1</v>
      </c>
      <c r="BQ31" s="108">
        <v>0</v>
      </c>
      <c r="BR31" s="108">
        <f t="shared" si="17"/>
        <v>1</v>
      </c>
      <c r="BS31" s="112">
        <v>0</v>
      </c>
      <c r="BT31" s="114">
        <f t="shared" si="18"/>
        <v>9</v>
      </c>
      <c r="BU31" s="108">
        <f t="shared" si="19"/>
        <v>3</v>
      </c>
      <c r="BV31" s="108">
        <f t="shared" si="20"/>
        <v>1</v>
      </c>
      <c r="BW31" s="108">
        <f t="shared" si="21"/>
        <v>0.75</v>
      </c>
      <c r="BX31" s="108">
        <f t="shared" si="22"/>
        <v>0.9</v>
      </c>
      <c r="BY31" s="112">
        <f t="shared" si="23"/>
        <v>0.81818181818181823</v>
      </c>
    </row>
    <row r="32" spans="1:84" x14ac:dyDescent="0.35">
      <c r="A32" s="108" t="s">
        <v>48</v>
      </c>
      <c r="B32" s="148"/>
      <c r="C32" s="112" t="s">
        <v>73</v>
      </c>
      <c r="D32" s="114">
        <v>2</v>
      </c>
      <c r="E32" s="108">
        <v>2</v>
      </c>
      <c r="F32" s="108">
        <f t="shared" si="1"/>
        <v>0</v>
      </c>
      <c r="G32" s="112">
        <v>0</v>
      </c>
      <c r="H32" s="114">
        <v>1</v>
      </c>
      <c r="I32" s="108">
        <v>0</v>
      </c>
      <c r="J32" s="108">
        <f t="shared" si="2"/>
        <v>1</v>
      </c>
      <c r="K32" s="112">
        <v>0</v>
      </c>
      <c r="L32" s="114">
        <v>1</v>
      </c>
      <c r="M32" s="108">
        <v>0</v>
      </c>
      <c r="N32" s="108">
        <f t="shared" si="3"/>
        <v>1</v>
      </c>
      <c r="O32" s="112">
        <v>0</v>
      </c>
      <c r="P32" s="114">
        <v>1</v>
      </c>
      <c r="Q32" s="108">
        <v>1</v>
      </c>
      <c r="R32" s="108">
        <f t="shared" si="4"/>
        <v>0</v>
      </c>
      <c r="S32" s="112">
        <v>0</v>
      </c>
      <c r="T32" s="114">
        <v>1</v>
      </c>
      <c r="U32" s="108">
        <v>1</v>
      </c>
      <c r="V32" s="108">
        <f t="shared" si="5"/>
        <v>0</v>
      </c>
      <c r="W32" s="112">
        <v>0</v>
      </c>
      <c r="X32" s="114">
        <v>2</v>
      </c>
      <c r="Y32" s="108">
        <v>2</v>
      </c>
      <c r="Z32" s="108">
        <f t="shared" si="6"/>
        <v>0</v>
      </c>
      <c r="AA32" s="112">
        <v>0</v>
      </c>
      <c r="AB32" s="114">
        <v>0</v>
      </c>
      <c r="AC32" s="108">
        <v>0</v>
      </c>
      <c r="AD32" s="108">
        <v>0</v>
      </c>
      <c r="AE32" s="112">
        <v>0</v>
      </c>
      <c r="AF32" s="114">
        <v>2</v>
      </c>
      <c r="AG32" s="108">
        <v>2</v>
      </c>
      <c r="AH32" s="108">
        <f t="shared" si="8"/>
        <v>0</v>
      </c>
      <c r="AI32" s="112">
        <v>0</v>
      </c>
      <c r="AJ32" s="114">
        <v>0</v>
      </c>
      <c r="AK32" s="108">
        <v>0</v>
      </c>
      <c r="AL32" s="108">
        <f t="shared" si="9"/>
        <v>0</v>
      </c>
      <c r="AM32" s="112">
        <v>0</v>
      </c>
      <c r="AN32" s="114">
        <v>0</v>
      </c>
      <c r="AO32" s="108">
        <v>0</v>
      </c>
      <c r="AP32" s="108">
        <f t="shared" si="10"/>
        <v>0</v>
      </c>
      <c r="AQ32" s="112">
        <v>1</v>
      </c>
      <c r="AR32" s="114">
        <v>0</v>
      </c>
      <c r="AS32" s="108">
        <v>0</v>
      </c>
      <c r="AT32" s="108">
        <f t="shared" si="11"/>
        <v>0</v>
      </c>
      <c r="AU32" s="112">
        <v>0</v>
      </c>
      <c r="AV32" s="114">
        <v>0</v>
      </c>
      <c r="AW32" s="108">
        <v>0</v>
      </c>
      <c r="AX32" s="108">
        <f t="shared" si="12"/>
        <v>0</v>
      </c>
      <c r="AY32" s="112">
        <v>0</v>
      </c>
      <c r="AZ32" s="114">
        <v>1</v>
      </c>
      <c r="BA32" s="108">
        <v>1</v>
      </c>
      <c r="BB32" s="108">
        <f t="shared" si="13"/>
        <v>0</v>
      </c>
      <c r="BC32" s="112">
        <v>0</v>
      </c>
      <c r="BD32" s="114">
        <v>0</v>
      </c>
      <c r="BE32" s="108">
        <v>0</v>
      </c>
      <c r="BF32" s="108">
        <f t="shared" si="14"/>
        <v>0</v>
      </c>
      <c r="BG32" s="112">
        <v>0</v>
      </c>
      <c r="BH32" s="114">
        <v>0</v>
      </c>
      <c r="BI32" s="108">
        <v>0</v>
      </c>
      <c r="BJ32" s="108">
        <f t="shared" si="15"/>
        <v>0</v>
      </c>
      <c r="BK32" s="112">
        <v>0</v>
      </c>
      <c r="BL32" s="114">
        <v>0</v>
      </c>
      <c r="BM32" s="108">
        <v>0</v>
      </c>
      <c r="BN32" s="108">
        <f t="shared" si="16"/>
        <v>0</v>
      </c>
      <c r="BO32" s="112">
        <v>0</v>
      </c>
      <c r="BP32" s="114">
        <v>1</v>
      </c>
      <c r="BQ32" s="108">
        <v>1</v>
      </c>
      <c r="BR32" s="108">
        <f t="shared" si="17"/>
        <v>0</v>
      </c>
      <c r="BS32" s="112">
        <v>0</v>
      </c>
      <c r="BT32" s="114">
        <f t="shared" si="18"/>
        <v>10</v>
      </c>
      <c r="BU32" s="108">
        <f t="shared" si="19"/>
        <v>2</v>
      </c>
      <c r="BV32" s="108">
        <f t="shared" si="20"/>
        <v>1</v>
      </c>
      <c r="BW32" s="108">
        <f t="shared" si="21"/>
        <v>0.83333333333333337</v>
      </c>
      <c r="BX32" s="108">
        <f t="shared" si="22"/>
        <v>0.90909090909090906</v>
      </c>
      <c r="BY32" s="112">
        <f t="shared" si="23"/>
        <v>0.86956521739130432</v>
      </c>
    </row>
    <row r="33" spans="1:77" x14ac:dyDescent="0.35">
      <c r="A33" s="109" t="s">
        <v>48</v>
      </c>
      <c r="B33" s="148"/>
      <c r="C33" s="113" t="s">
        <v>43</v>
      </c>
      <c r="D33" s="115">
        <v>1</v>
      </c>
      <c r="E33" s="109">
        <v>1</v>
      </c>
      <c r="F33" s="109">
        <f t="shared" si="1"/>
        <v>0</v>
      </c>
      <c r="G33" s="113">
        <v>0</v>
      </c>
      <c r="H33" s="115">
        <v>1</v>
      </c>
      <c r="I33" s="109">
        <v>0</v>
      </c>
      <c r="J33" s="109">
        <f t="shared" si="2"/>
        <v>1</v>
      </c>
      <c r="K33" s="113">
        <v>0</v>
      </c>
      <c r="L33" s="115">
        <v>0</v>
      </c>
      <c r="M33" s="109">
        <v>0</v>
      </c>
      <c r="N33" s="109">
        <f t="shared" si="3"/>
        <v>0</v>
      </c>
      <c r="O33" s="113">
        <v>0</v>
      </c>
      <c r="P33" s="115">
        <v>5</v>
      </c>
      <c r="Q33" s="109">
        <v>5</v>
      </c>
      <c r="R33" s="109">
        <f t="shared" si="4"/>
        <v>0</v>
      </c>
      <c r="S33" s="113">
        <v>0</v>
      </c>
      <c r="T33" s="115">
        <v>5</v>
      </c>
      <c r="U33" s="109">
        <v>0</v>
      </c>
      <c r="V33" s="109">
        <f t="shared" si="5"/>
        <v>5</v>
      </c>
      <c r="W33" s="113">
        <v>0</v>
      </c>
      <c r="X33" s="115">
        <v>0</v>
      </c>
      <c r="Y33" s="109">
        <v>0</v>
      </c>
      <c r="Z33" s="109">
        <f t="shared" si="6"/>
        <v>0</v>
      </c>
      <c r="AA33" s="113">
        <v>0</v>
      </c>
      <c r="AB33" s="115">
        <v>0</v>
      </c>
      <c r="AC33" s="109">
        <v>0</v>
      </c>
      <c r="AD33" s="109">
        <v>0</v>
      </c>
      <c r="AE33" s="113">
        <v>0</v>
      </c>
      <c r="AF33" s="115">
        <v>0</v>
      </c>
      <c r="AG33" s="109">
        <v>0</v>
      </c>
      <c r="AH33" s="109">
        <f t="shared" si="8"/>
        <v>0</v>
      </c>
      <c r="AI33" s="113">
        <v>0</v>
      </c>
      <c r="AJ33" s="115">
        <v>0</v>
      </c>
      <c r="AK33" s="109">
        <v>0</v>
      </c>
      <c r="AL33" s="109">
        <f t="shared" si="9"/>
        <v>0</v>
      </c>
      <c r="AM33" s="113">
        <v>0</v>
      </c>
      <c r="AN33" s="115">
        <v>0</v>
      </c>
      <c r="AO33" s="109">
        <v>0</v>
      </c>
      <c r="AP33" s="109">
        <f t="shared" si="10"/>
        <v>0</v>
      </c>
      <c r="AQ33" s="113">
        <v>0</v>
      </c>
      <c r="AR33" s="115">
        <v>0</v>
      </c>
      <c r="AS33" s="109">
        <v>0</v>
      </c>
      <c r="AT33" s="109">
        <f t="shared" si="11"/>
        <v>0</v>
      </c>
      <c r="AU33" s="113">
        <v>0</v>
      </c>
      <c r="AV33" s="115">
        <v>0</v>
      </c>
      <c r="AW33" s="109">
        <v>0</v>
      </c>
      <c r="AX33" s="109">
        <f t="shared" si="12"/>
        <v>0</v>
      </c>
      <c r="AY33" s="113">
        <v>0</v>
      </c>
      <c r="AZ33" s="115">
        <v>0</v>
      </c>
      <c r="BA33" s="109">
        <v>0</v>
      </c>
      <c r="BB33" s="109">
        <f t="shared" si="13"/>
        <v>0</v>
      </c>
      <c r="BC33" s="113">
        <v>0</v>
      </c>
      <c r="BD33" s="115">
        <v>0</v>
      </c>
      <c r="BE33" s="109">
        <v>0</v>
      </c>
      <c r="BF33" s="109">
        <f t="shared" si="14"/>
        <v>0</v>
      </c>
      <c r="BG33" s="113">
        <v>0</v>
      </c>
      <c r="BH33" s="115">
        <v>0</v>
      </c>
      <c r="BI33" s="109">
        <v>0</v>
      </c>
      <c r="BJ33" s="109">
        <f t="shared" si="15"/>
        <v>0</v>
      </c>
      <c r="BK33" s="113">
        <v>0</v>
      </c>
      <c r="BL33" s="115">
        <v>0</v>
      </c>
      <c r="BM33" s="109">
        <v>0</v>
      </c>
      <c r="BN33" s="109">
        <f t="shared" si="16"/>
        <v>0</v>
      </c>
      <c r="BO33" s="113">
        <v>0</v>
      </c>
      <c r="BP33" s="115">
        <v>0</v>
      </c>
      <c r="BQ33" s="109">
        <v>0</v>
      </c>
      <c r="BR33" s="109">
        <f t="shared" si="17"/>
        <v>0</v>
      </c>
      <c r="BS33" s="113">
        <v>0</v>
      </c>
      <c r="BT33" s="115">
        <f t="shared" si="18"/>
        <v>6</v>
      </c>
      <c r="BU33" s="109">
        <f t="shared" si="19"/>
        <v>6</v>
      </c>
      <c r="BV33" s="109">
        <f t="shared" si="20"/>
        <v>0</v>
      </c>
      <c r="BW33" s="109">
        <f t="shared" si="21"/>
        <v>0.5</v>
      </c>
      <c r="BX33" s="109">
        <f t="shared" si="22"/>
        <v>1</v>
      </c>
      <c r="BY33" s="113">
        <f t="shared" si="23"/>
        <v>0.66666666666666663</v>
      </c>
    </row>
    <row r="34" spans="1:77" ht="15" thickBot="1" x14ac:dyDescent="0.4">
      <c r="A34" s="109" t="s">
        <v>48</v>
      </c>
      <c r="B34" s="148"/>
      <c r="C34" s="113" t="s">
        <v>74</v>
      </c>
      <c r="D34" s="130">
        <v>1</v>
      </c>
      <c r="E34" s="131">
        <v>1</v>
      </c>
      <c r="F34" s="131">
        <f t="shared" si="1"/>
        <v>0</v>
      </c>
      <c r="G34" s="129">
        <v>0</v>
      </c>
      <c r="H34" s="130">
        <v>1</v>
      </c>
      <c r="I34" s="131">
        <v>0</v>
      </c>
      <c r="J34" s="131">
        <f t="shared" si="2"/>
        <v>1</v>
      </c>
      <c r="K34" s="129">
        <v>0</v>
      </c>
      <c r="L34" s="130">
        <v>0</v>
      </c>
      <c r="M34" s="131">
        <v>0</v>
      </c>
      <c r="N34" s="131">
        <f t="shared" si="3"/>
        <v>0</v>
      </c>
      <c r="O34" s="129">
        <v>0</v>
      </c>
      <c r="P34" s="130">
        <v>5</v>
      </c>
      <c r="Q34" s="131">
        <v>5</v>
      </c>
      <c r="R34" s="131">
        <f t="shared" si="4"/>
        <v>0</v>
      </c>
      <c r="S34" s="129">
        <v>0</v>
      </c>
      <c r="T34" s="130">
        <v>5</v>
      </c>
      <c r="U34" s="131">
        <v>0</v>
      </c>
      <c r="V34" s="131">
        <f t="shared" si="5"/>
        <v>5</v>
      </c>
      <c r="W34" s="129">
        <v>0</v>
      </c>
      <c r="X34" s="130">
        <v>0</v>
      </c>
      <c r="Y34" s="131">
        <v>0</v>
      </c>
      <c r="Z34" s="131">
        <f t="shared" si="6"/>
        <v>0</v>
      </c>
      <c r="AA34" s="129">
        <v>0</v>
      </c>
      <c r="AB34" s="130">
        <v>0</v>
      </c>
      <c r="AC34" s="131">
        <v>0</v>
      </c>
      <c r="AD34" s="131">
        <v>0</v>
      </c>
      <c r="AE34" s="129">
        <v>0</v>
      </c>
      <c r="AF34" s="130">
        <v>0</v>
      </c>
      <c r="AG34" s="131">
        <v>0</v>
      </c>
      <c r="AH34" s="131">
        <f t="shared" si="8"/>
        <v>0</v>
      </c>
      <c r="AI34" s="129">
        <v>0</v>
      </c>
      <c r="AJ34" s="130">
        <v>0</v>
      </c>
      <c r="AK34" s="131">
        <v>0</v>
      </c>
      <c r="AL34" s="131">
        <f t="shared" si="9"/>
        <v>0</v>
      </c>
      <c r="AM34" s="129">
        <v>0</v>
      </c>
      <c r="AN34" s="130">
        <v>0</v>
      </c>
      <c r="AO34" s="131">
        <v>0</v>
      </c>
      <c r="AP34" s="131">
        <f t="shared" si="10"/>
        <v>0</v>
      </c>
      <c r="AQ34" s="129">
        <v>0</v>
      </c>
      <c r="AR34" s="130">
        <v>0</v>
      </c>
      <c r="AS34" s="131">
        <v>0</v>
      </c>
      <c r="AT34" s="131">
        <f t="shared" si="11"/>
        <v>0</v>
      </c>
      <c r="AU34" s="129">
        <v>0</v>
      </c>
      <c r="AV34" s="130">
        <v>0</v>
      </c>
      <c r="AW34" s="131">
        <v>0</v>
      </c>
      <c r="AX34" s="131">
        <f t="shared" si="12"/>
        <v>0</v>
      </c>
      <c r="AY34" s="129">
        <v>0</v>
      </c>
      <c r="AZ34" s="130">
        <v>0</v>
      </c>
      <c r="BA34" s="131">
        <v>0</v>
      </c>
      <c r="BB34" s="131">
        <f t="shared" si="13"/>
        <v>0</v>
      </c>
      <c r="BC34" s="129">
        <v>0</v>
      </c>
      <c r="BD34" s="130">
        <v>0</v>
      </c>
      <c r="BE34" s="131">
        <v>0</v>
      </c>
      <c r="BF34" s="131">
        <f t="shared" si="14"/>
        <v>0</v>
      </c>
      <c r="BG34" s="129">
        <v>0</v>
      </c>
      <c r="BH34" s="132">
        <v>0</v>
      </c>
      <c r="BI34" s="131">
        <v>0</v>
      </c>
      <c r="BJ34" s="131">
        <f t="shared" si="15"/>
        <v>0</v>
      </c>
      <c r="BK34" s="129">
        <v>0</v>
      </c>
      <c r="BL34" s="130">
        <v>0</v>
      </c>
      <c r="BM34" s="131">
        <v>0</v>
      </c>
      <c r="BN34" s="131">
        <f t="shared" si="16"/>
        <v>0</v>
      </c>
      <c r="BO34" s="129">
        <v>0</v>
      </c>
      <c r="BP34" s="130">
        <v>0</v>
      </c>
      <c r="BQ34" s="131">
        <v>0</v>
      </c>
      <c r="BR34" s="131">
        <f t="shared" si="17"/>
        <v>0</v>
      </c>
      <c r="BS34" s="129">
        <v>0</v>
      </c>
      <c r="BT34" s="130">
        <f t="shared" si="18"/>
        <v>6</v>
      </c>
      <c r="BU34" s="131">
        <f t="shared" si="19"/>
        <v>6</v>
      </c>
      <c r="BV34" s="131">
        <f t="shared" si="20"/>
        <v>0</v>
      </c>
      <c r="BW34" s="131">
        <f t="shared" si="21"/>
        <v>0.5</v>
      </c>
      <c r="BX34" s="131">
        <f t="shared" si="22"/>
        <v>1</v>
      </c>
      <c r="BY34" s="129">
        <f t="shared" si="23"/>
        <v>0.66666666666666663</v>
      </c>
    </row>
    <row r="35" spans="1:77" ht="15" thickTop="1" x14ac:dyDescent="0.35">
      <c r="C35" s="5" t="s">
        <v>111</v>
      </c>
      <c r="D35" s="48">
        <f>SUM(D3:D34)</f>
        <v>68</v>
      </c>
      <c r="E35" s="48">
        <f t="shared" ref="E35:BP35" si="40">SUM(E3:E34)</f>
        <v>68</v>
      </c>
      <c r="F35" s="48">
        <f t="shared" si="40"/>
        <v>0</v>
      </c>
      <c r="G35" s="48">
        <f t="shared" si="40"/>
        <v>0</v>
      </c>
      <c r="H35" s="48">
        <f t="shared" si="40"/>
        <v>46</v>
      </c>
      <c r="I35" s="48">
        <f t="shared" si="40"/>
        <v>21</v>
      </c>
      <c r="J35" s="48">
        <f t="shared" si="40"/>
        <v>25</v>
      </c>
      <c r="K35" s="48">
        <f t="shared" si="40"/>
        <v>0</v>
      </c>
      <c r="L35" s="48">
        <f t="shared" si="40"/>
        <v>38</v>
      </c>
      <c r="M35" s="48">
        <f t="shared" si="40"/>
        <v>6</v>
      </c>
      <c r="N35" s="48">
        <f t="shared" si="40"/>
        <v>32</v>
      </c>
      <c r="O35" s="48">
        <f t="shared" si="40"/>
        <v>0</v>
      </c>
      <c r="P35" s="48">
        <f t="shared" si="40"/>
        <v>48</v>
      </c>
      <c r="Q35" s="48">
        <f t="shared" si="40"/>
        <v>48</v>
      </c>
      <c r="R35" s="48">
        <f t="shared" si="40"/>
        <v>0</v>
      </c>
      <c r="S35" s="48">
        <f t="shared" si="40"/>
        <v>18</v>
      </c>
      <c r="T35" s="48">
        <f t="shared" si="40"/>
        <v>48</v>
      </c>
      <c r="U35" s="48">
        <f t="shared" si="40"/>
        <v>38</v>
      </c>
      <c r="V35" s="48">
        <f t="shared" si="40"/>
        <v>10</v>
      </c>
      <c r="W35" s="48">
        <f t="shared" si="40"/>
        <v>0</v>
      </c>
      <c r="X35" s="48">
        <f t="shared" si="40"/>
        <v>72</v>
      </c>
      <c r="Y35" s="48">
        <f t="shared" si="40"/>
        <v>72</v>
      </c>
      <c r="Z35" s="48">
        <f t="shared" si="40"/>
        <v>0</v>
      </c>
      <c r="AA35" s="48">
        <f t="shared" si="40"/>
        <v>2</v>
      </c>
      <c r="AB35" s="48">
        <f t="shared" si="40"/>
        <v>20</v>
      </c>
      <c r="AC35" s="48">
        <f>SUM(AC3:AC34)</f>
        <v>20</v>
      </c>
      <c r="AD35" s="48">
        <f t="shared" si="40"/>
        <v>0</v>
      </c>
      <c r="AE35" s="48">
        <f t="shared" si="40"/>
        <v>0</v>
      </c>
      <c r="AF35" s="48">
        <f t="shared" si="40"/>
        <v>72</v>
      </c>
      <c r="AG35" s="48">
        <f t="shared" si="40"/>
        <v>72</v>
      </c>
      <c r="AH35" s="48">
        <f t="shared" si="40"/>
        <v>0</v>
      </c>
      <c r="AI35" s="48">
        <f t="shared" si="40"/>
        <v>0</v>
      </c>
      <c r="AJ35" s="48">
        <f t="shared" si="40"/>
        <v>16</v>
      </c>
      <c r="AK35" s="48">
        <f t="shared" si="40"/>
        <v>16</v>
      </c>
      <c r="AL35" s="48">
        <f t="shared" si="40"/>
        <v>0</v>
      </c>
      <c r="AM35" s="48">
        <f t="shared" si="40"/>
        <v>4</v>
      </c>
      <c r="AN35" s="48">
        <f t="shared" si="40"/>
        <v>2</v>
      </c>
      <c r="AO35" s="48">
        <f t="shared" si="40"/>
        <v>0</v>
      </c>
      <c r="AP35" s="48">
        <f t="shared" si="40"/>
        <v>2</v>
      </c>
      <c r="AQ35" s="48">
        <f t="shared" si="40"/>
        <v>7</v>
      </c>
      <c r="AR35" s="48">
        <f t="shared" si="40"/>
        <v>4</v>
      </c>
      <c r="AS35" s="48">
        <f t="shared" si="40"/>
        <v>0</v>
      </c>
      <c r="AT35" s="48">
        <f t="shared" si="40"/>
        <v>4</v>
      </c>
      <c r="AU35" s="48">
        <f t="shared" si="40"/>
        <v>2</v>
      </c>
      <c r="AV35" s="48">
        <f t="shared" si="40"/>
        <v>8</v>
      </c>
      <c r="AW35" s="48">
        <f t="shared" si="40"/>
        <v>2</v>
      </c>
      <c r="AX35" s="48">
        <f t="shared" si="40"/>
        <v>6</v>
      </c>
      <c r="AY35" s="48">
        <f t="shared" si="40"/>
        <v>10</v>
      </c>
      <c r="AZ35" s="48">
        <f t="shared" si="40"/>
        <v>36</v>
      </c>
      <c r="BA35" s="48">
        <f t="shared" si="40"/>
        <v>29</v>
      </c>
      <c r="BB35" s="48">
        <f t="shared" si="40"/>
        <v>7</v>
      </c>
      <c r="BC35" s="48">
        <f t="shared" si="40"/>
        <v>13</v>
      </c>
      <c r="BD35" s="48">
        <f t="shared" si="40"/>
        <v>8</v>
      </c>
      <c r="BE35" s="48">
        <f t="shared" si="40"/>
        <v>2</v>
      </c>
      <c r="BF35" s="48">
        <f t="shared" si="40"/>
        <v>6</v>
      </c>
      <c r="BG35" s="48">
        <f t="shared" si="40"/>
        <v>0</v>
      </c>
      <c r="BH35" s="48">
        <f t="shared" si="40"/>
        <v>2</v>
      </c>
      <c r="BI35" s="48">
        <f t="shared" si="40"/>
        <v>2</v>
      </c>
      <c r="BJ35" s="48">
        <f t="shared" si="40"/>
        <v>0</v>
      </c>
      <c r="BK35" s="48">
        <f t="shared" si="40"/>
        <v>0</v>
      </c>
      <c r="BL35" s="48">
        <f t="shared" si="40"/>
        <v>0</v>
      </c>
      <c r="BM35" s="48">
        <f t="shared" si="40"/>
        <v>0</v>
      </c>
      <c r="BN35" s="48">
        <f t="shared" si="40"/>
        <v>0</v>
      </c>
      <c r="BO35" s="48">
        <f t="shared" si="40"/>
        <v>4</v>
      </c>
      <c r="BP35" s="48">
        <f t="shared" si="40"/>
        <v>6</v>
      </c>
      <c r="BQ35" s="48">
        <f t="shared" ref="BQ35:BS35" si="41">SUM(BQ3:BQ34)</f>
        <v>3</v>
      </c>
      <c r="BR35" s="48">
        <f t="shared" si="41"/>
        <v>3</v>
      </c>
      <c r="BS35" s="48">
        <f t="shared" si="41"/>
        <v>1</v>
      </c>
    </row>
    <row r="37" spans="1:77" x14ac:dyDescent="0.35">
      <c r="C37" s="134" t="s">
        <v>23</v>
      </c>
      <c r="D37" s="143">
        <f>IFERROR(E35/(E35+F35),"")</f>
        <v>1</v>
      </c>
      <c r="E37" s="144"/>
      <c r="F37" s="144"/>
      <c r="G37" s="145"/>
      <c r="H37" s="143">
        <f t="shared" ref="H37" si="42">IFERROR(I35/(I35+J35),"")</f>
        <v>0.45652173913043476</v>
      </c>
      <c r="I37" s="144"/>
      <c r="J37" s="144"/>
      <c r="K37" s="145"/>
      <c r="L37" s="143">
        <f t="shared" ref="L37" si="43">IFERROR(M35/(M35+N35),"")</f>
        <v>0.15789473684210525</v>
      </c>
      <c r="M37" s="144"/>
      <c r="N37" s="144"/>
      <c r="O37" s="145"/>
      <c r="P37" s="143">
        <f t="shared" ref="P37" si="44">IFERROR(Q35/(Q35+R35),"")</f>
        <v>1</v>
      </c>
      <c r="Q37" s="144"/>
      <c r="R37" s="144"/>
      <c r="S37" s="145"/>
      <c r="T37" s="143">
        <f t="shared" ref="T37" si="45">IFERROR(U35/(U35+V35),"")</f>
        <v>0.79166666666666663</v>
      </c>
      <c r="U37" s="144"/>
      <c r="V37" s="144"/>
      <c r="W37" s="145"/>
      <c r="X37" s="143">
        <f t="shared" ref="X37" si="46">IFERROR(Y35/(Y35+Z35),"")</f>
        <v>1</v>
      </c>
      <c r="Y37" s="144"/>
      <c r="Z37" s="144"/>
      <c r="AA37" s="145"/>
      <c r="AB37" s="143">
        <f t="shared" ref="AB37" si="47">IFERROR(AC35/(AC35+AD35),"")</f>
        <v>1</v>
      </c>
      <c r="AC37" s="144"/>
      <c r="AD37" s="144"/>
      <c r="AE37" s="145"/>
      <c r="AF37" s="143">
        <f t="shared" ref="AF37" si="48">IFERROR(AG35/(AG35+AH35),"")</f>
        <v>1</v>
      </c>
      <c r="AG37" s="144"/>
      <c r="AH37" s="144"/>
      <c r="AI37" s="145"/>
      <c r="AJ37" s="143">
        <f t="shared" ref="AJ37" si="49">IFERROR(AK35/(AK35+AL35),"")</f>
        <v>1</v>
      </c>
      <c r="AK37" s="144"/>
      <c r="AL37" s="144"/>
      <c r="AM37" s="145"/>
      <c r="AN37" s="143">
        <f t="shared" ref="AN37" si="50">IFERROR(AO35/(AO35+AP35),"")</f>
        <v>0</v>
      </c>
      <c r="AO37" s="144"/>
      <c r="AP37" s="144"/>
      <c r="AQ37" s="145"/>
      <c r="AR37" s="143">
        <f t="shared" ref="AR37" si="51">IFERROR(AS35/(AS35+AT35),"")</f>
        <v>0</v>
      </c>
      <c r="AS37" s="144"/>
      <c r="AT37" s="144"/>
      <c r="AU37" s="145"/>
      <c r="AV37" s="143">
        <f t="shared" ref="AV37" si="52">IFERROR(AW35/(AW35+AX35),"")</f>
        <v>0.25</v>
      </c>
      <c r="AW37" s="144"/>
      <c r="AX37" s="144"/>
      <c r="AY37" s="145"/>
      <c r="AZ37" s="143">
        <f t="shared" ref="AZ37" si="53">IFERROR(BA35/(BA35+BB35),"")</f>
        <v>0.80555555555555558</v>
      </c>
      <c r="BA37" s="144"/>
      <c r="BB37" s="144"/>
      <c r="BC37" s="145"/>
      <c r="BD37" s="143">
        <f t="shared" ref="BD37" si="54">IFERROR(BE35/(BE35+BF35),"")</f>
        <v>0.25</v>
      </c>
      <c r="BE37" s="144"/>
      <c r="BF37" s="144"/>
      <c r="BG37" s="145"/>
      <c r="BH37" s="143">
        <f t="shared" ref="BH37" si="55">IFERROR(BI35/(BI35+BJ35),"")</f>
        <v>1</v>
      </c>
      <c r="BI37" s="144"/>
      <c r="BJ37" s="144"/>
      <c r="BK37" s="145"/>
      <c r="BL37" s="143" t="str">
        <f t="shared" ref="BL37" si="56">IFERROR(BM35/(BM35+BN35),"")</f>
        <v/>
      </c>
      <c r="BM37" s="144"/>
      <c r="BN37" s="144"/>
      <c r="BO37" s="145"/>
      <c r="BP37" s="143">
        <f t="shared" ref="BP37" si="57">IFERROR(BQ35/(BQ35+BR35),"")</f>
        <v>0.5</v>
      </c>
      <c r="BQ37" s="144"/>
      <c r="BR37" s="144"/>
      <c r="BS37" s="145"/>
    </row>
    <row r="38" spans="1:77" x14ac:dyDescent="0.35">
      <c r="C38" s="134" t="s">
        <v>141</v>
      </c>
      <c r="D38" s="143">
        <f>IFERROR(E35/(E35+G35),"")</f>
        <v>1</v>
      </c>
      <c r="E38" s="144"/>
      <c r="F38" s="144"/>
      <c r="G38" s="145"/>
      <c r="H38" s="143">
        <f t="shared" ref="H38" si="58">IFERROR(I35/(I35+K35),"")</f>
        <v>1</v>
      </c>
      <c r="I38" s="144"/>
      <c r="J38" s="144"/>
      <c r="K38" s="145"/>
      <c r="L38" s="143">
        <f t="shared" ref="L38" si="59">IFERROR(M35/(M35+O35),"")</f>
        <v>1</v>
      </c>
      <c r="M38" s="144"/>
      <c r="N38" s="144"/>
      <c r="O38" s="145"/>
      <c r="P38" s="143">
        <f t="shared" ref="P38" si="60">IFERROR(Q35/(Q35+S35),"")</f>
        <v>0.72727272727272729</v>
      </c>
      <c r="Q38" s="144"/>
      <c r="R38" s="144"/>
      <c r="S38" s="145"/>
      <c r="T38" s="143">
        <f t="shared" ref="T38" si="61">IFERROR(U35/(U35+W35),"")</f>
        <v>1</v>
      </c>
      <c r="U38" s="144"/>
      <c r="V38" s="144"/>
      <c r="W38" s="145"/>
      <c r="X38" s="143">
        <f t="shared" ref="X38" si="62">IFERROR(Y35/(Y35+AA35),"")</f>
        <v>0.97297297297297303</v>
      </c>
      <c r="Y38" s="144"/>
      <c r="Z38" s="144"/>
      <c r="AA38" s="145"/>
      <c r="AB38" s="143">
        <f t="shared" ref="AB38" si="63">IFERROR(AC35/(AC35+AE35),"")</f>
        <v>1</v>
      </c>
      <c r="AC38" s="144"/>
      <c r="AD38" s="144"/>
      <c r="AE38" s="145"/>
      <c r="AF38" s="143">
        <f t="shared" ref="AF38" si="64">IFERROR(AG35/(AG35+AI35),"")</f>
        <v>1</v>
      </c>
      <c r="AG38" s="144"/>
      <c r="AH38" s="144"/>
      <c r="AI38" s="145"/>
      <c r="AJ38" s="143">
        <f t="shared" ref="AJ38" si="65">IFERROR(AK35/(AK35+AM35),"")</f>
        <v>0.8</v>
      </c>
      <c r="AK38" s="144"/>
      <c r="AL38" s="144"/>
      <c r="AM38" s="145"/>
      <c r="AN38" s="143">
        <f t="shared" ref="AN38" si="66">IFERROR(AO35/(AO35+AQ35),"")</f>
        <v>0</v>
      </c>
      <c r="AO38" s="144"/>
      <c r="AP38" s="144"/>
      <c r="AQ38" s="145"/>
      <c r="AR38" s="143">
        <f t="shared" ref="AR38" si="67">IFERROR(AS35/(AS35+AU35),"")</f>
        <v>0</v>
      </c>
      <c r="AS38" s="144"/>
      <c r="AT38" s="144"/>
      <c r="AU38" s="145"/>
      <c r="AV38" s="143">
        <f t="shared" ref="AV38" si="68">IFERROR(AW35/(AW35+AY35),"")</f>
        <v>0.16666666666666666</v>
      </c>
      <c r="AW38" s="144"/>
      <c r="AX38" s="144"/>
      <c r="AY38" s="145"/>
      <c r="AZ38" s="143">
        <f t="shared" ref="AZ38" si="69">IFERROR(BA35/(BA35+BC35),"")</f>
        <v>0.69047619047619047</v>
      </c>
      <c r="BA38" s="144"/>
      <c r="BB38" s="144"/>
      <c r="BC38" s="145"/>
      <c r="BD38" s="143">
        <f t="shared" ref="BD38" si="70">IFERROR(BE35/(BE35+BG35),"")</f>
        <v>1</v>
      </c>
      <c r="BE38" s="144"/>
      <c r="BF38" s="144"/>
      <c r="BG38" s="145"/>
      <c r="BH38" s="143">
        <f t="shared" ref="BH38" si="71">IFERROR(BI35/(BI35+BK35),"")</f>
        <v>1</v>
      </c>
      <c r="BI38" s="144"/>
      <c r="BJ38" s="144"/>
      <c r="BK38" s="145"/>
      <c r="BL38" s="143">
        <f t="shared" ref="BL38" si="72">IFERROR(BM35/(BM35+BO35),"")</f>
        <v>0</v>
      </c>
      <c r="BM38" s="144"/>
      <c r="BN38" s="144"/>
      <c r="BO38" s="145"/>
      <c r="BP38" s="143">
        <f t="shared" ref="BP38" si="73">IFERROR(BQ35/(BQ35+BS35),"")</f>
        <v>0.75</v>
      </c>
      <c r="BQ38" s="144"/>
      <c r="BR38" s="144"/>
      <c r="BS38" s="145"/>
    </row>
    <row r="39" spans="1:77" x14ac:dyDescent="0.35">
      <c r="C39" s="134" t="s">
        <v>24</v>
      </c>
      <c r="D39" s="143">
        <f>IFERROR(2*D37*D38/(D37+D38),IF(AND(D37=0,D38=0),0,""))</f>
        <v>1</v>
      </c>
      <c r="E39" s="144"/>
      <c r="F39" s="144"/>
      <c r="G39" s="145"/>
      <c r="H39" s="143">
        <f t="shared" ref="H39" si="74">IFERROR(2*H37*H38/(H37+H38),IF(AND(H37=0,H38=0),0,""))</f>
        <v>0.62686567164179097</v>
      </c>
      <c r="I39" s="144"/>
      <c r="J39" s="144"/>
      <c r="K39" s="145"/>
      <c r="L39" s="143">
        <f t="shared" ref="L39" si="75">IFERROR(2*L37*L38/(L37+L38),IF(AND(L37=0,L38=0),0,""))</f>
        <v>0.27272727272727271</v>
      </c>
      <c r="M39" s="144"/>
      <c r="N39" s="144"/>
      <c r="O39" s="145"/>
      <c r="P39" s="143">
        <f t="shared" ref="P39" si="76">IFERROR(2*P37*P38/(P37+P38),IF(AND(P37=0,P38=0),0,""))</f>
        <v>0.8421052631578948</v>
      </c>
      <c r="Q39" s="144"/>
      <c r="R39" s="144"/>
      <c r="S39" s="145"/>
      <c r="T39" s="143">
        <f t="shared" ref="T39" si="77">IFERROR(2*T37*T38/(T37+T38),IF(AND(T37=0,T38=0),0,""))</f>
        <v>0.88372093023255816</v>
      </c>
      <c r="U39" s="144"/>
      <c r="V39" s="144"/>
      <c r="W39" s="145"/>
      <c r="X39" s="143">
        <f t="shared" ref="X39" si="78">IFERROR(2*X37*X38/(X37+X38),IF(AND(X37=0,X38=0),0,""))</f>
        <v>0.98630136986301375</v>
      </c>
      <c r="Y39" s="144"/>
      <c r="Z39" s="144"/>
      <c r="AA39" s="145"/>
      <c r="AB39" s="143">
        <f t="shared" ref="AB39" si="79">IFERROR(2*AB37*AB38/(AB37+AB38),IF(AND(AB37=0,AB38=0),0,""))</f>
        <v>1</v>
      </c>
      <c r="AC39" s="144"/>
      <c r="AD39" s="144"/>
      <c r="AE39" s="145"/>
      <c r="AF39" s="143">
        <f t="shared" ref="AF39" si="80">IFERROR(2*AF37*AF38/(AF37+AF38),IF(AND(AF37=0,AF38=0),0,""))</f>
        <v>1</v>
      </c>
      <c r="AG39" s="144"/>
      <c r="AH39" s="144"/>
      <c r="AI39" s="145"/>
      <c r="AJ39" s="143">
        <f t="shared" ref="AJ39" si="81">IFERROR(2*AJ37*AJ38/(AJ37+AJ38),IF(AND(AJ37=0,AJ38=0),0,""))</f>
        <v>0.88888888888888895</v>
      </c>
      <c r="AK39" s="144"/>
      <c r="AL39" s="144"/>
      <c r="AM39" s="145"/>
      <c r="AN39" s="143">
        <f t="shared" ref="AN39" si="82">IFERROR(2*AN37*AN38/(AN37+AN38),IF(AND(AN37=0,AN38=0),0,""))</f>
        <v>0</v>
      </c>
      <c r="AO39" s="144"/>
      <c r="AP39" s="144"/>
      <c r="AQ39" s="145"/>
      <c r="AR39" s="143">
        <f t="shared" ref="AR39" si="83">IFERROR(2*AR37*AR38/(AR37+AR38),IF(AND(AR37=0,AR38=0),0,""))</f>
        <v>0</v>
      </c>
      <c r="AS39" s="144"/>
      <c r="AT39" s="144"/>
      <c r="AU39" s="145"/>
      <c r="AV39" s="143">
        <f t="shared" ref="AV39" si="84">IFERROR(2*AV37*AV38/(AV37+AV38),IF(AND(AV37=0,AV38=0),0,""))</f>
        <v>0.2</v>
      </c>
      <c r="AW39" s="144"/>
      <c r="AX39" s="144"/>
      <c r="AY39" s="145"/>
      <c r="AZ39" s="143">
        <f t="shared" ref="AZ39" si="85">IFERROR(2*AZ37*AZ38/(AZ37+AZ38),IF(AND(AZ37=0,AZ38=0),0,""))</f>
        <v>0.74358974358974361</v>
      </c>
      <c r="BA39" s="144"/>
      <c r="BB39" s="144"/>
      <c r="BC39" s="145"/>
      <c r="BD39" s="143">
        <f t="shared" ref="BD39" si="86">IFERROR(2*BD37*BD38/(BD37+BD38),IF(AND(BD37=0,BD38=0),0,""))</f>
        <v>0.4</v>
      </c>
      <c r="BE39" s="144"/>
      <c r="BF39" s="144"/>
      <c r="BG39" s="145"/>
      <c r="BH39" s="143">
        <f t="shared" ref="BH39" si="87">IFERROR(2*BH37*BH38/(BH37+BH38),IF(AND(BH37=0,BH38=0),0,""))</f>
        <v>1</v>
      </c>
      <c r="BI39" s="144"/>
      <c r="BJ39" s="144"/>
      <c r="BK39" s="145"/>
      <c r="BL39" s="143" t="str">
        <f t="shared" ref="BL39" si="88">IFERROR(2*BL37*BL38/(BL37+BL38),IF(AND(BL37=0,BL38=0),0,""))</f>
        <v/>
      </c>
      <c r="BM39" s="144"/>
      <c r="BN39" s="144"/>
      <c r="BO39" s="145"/>
      <c r="BP39" s="143">
        <f t="shared" ref="BP39" si="89">IFERROR(2*BP37*BP38/(BP37+BP38),IF(AND(BP37=0,BP38=0),0,""))</f>
        <v>0.6</v>
      </c>
      <c r="BQ39" s="144"/>
      <c r="BR39" s="144"/>
      <c r="BS39" s="145"/>
    </row>
  </sheetData>
  <mergeCells count="82">
    <mergeCell ref="A1:A2"/>
    <mergeCell ref="B1:B2"/>
    <mergeCell ref="C1:C2"/>
    <mergeCell ref="D1:G1"/>
    <mergeCell ref="H1:K1"/>
    <mergeCell ref="BX1:BX2"/>
    <mergeCell ref="AZ1:BC1"/>
    <mergeCell ref="BD1:BG1"/>
    <mergeCell ref="BH1:BK1"/>
    <mergeCell ref="BL1:BO1"/>
    <mergeCell ref="BP1:BS1"/>
    <mergeCell ref="B3:B34"/>
    <mergeCell ref="BT1:BT2"/>
    <mergeCell ref="BU1:BU2"/>
    <mergeCell ref="BV1:BV2"/>
    <mergeCell ref="BW1:BW2"/>
    <mergeCell ref="AF1:AI1"/>
    <mergeCell ref="AJ1:AM1"/>
    <mergeCell ref="AN1:AQ1"/>
    <mergeCell ref="AR1:AU1"/>
    <mergeCell ref="AV1:AY1"/>
    <mergeCell ref="L1:O1"/>
    <mergeCell ref="P1:S1"/>
    <mergeCell ref="T1:W1"/>
    <mergeCell ref="X1:AA1"/>
    <mergeCell ref="AB1:AE1"/>
    <mergeCell ref="CC1:CC2"/>
    <mergeCell ref="CD1:CD2"/>
    <mergeCell ref="CE1:CE2"/>
    <mergeCell ref="CF1:CF2"/>
    <mergeCell ref="BY1:BY2"/>
    <mergeCell ref="D37:G37"/>
    <mergeCell ref="H37:K37"/>
    <mergeCell ref="L37:O37"/>
    <mergeCell ref="P37:S37"/>
    <mergeCell ref="T37:W37"/>
    <mergeCell ref="X37:AA37"/>
    <mergeCell ref="AB37:AE37"/>
    <mergeCell ref="AF37:AI37"/>
    <mergeCell ref="AJ37:AM37"/>
    <mergeCell ref="AN37:AQ37"/>
    <mergeCell ref="X38:AA38"/>
    <mergeCell ref="AB38:AE38"/>
    <mergeCell ref="AF38:AI38"/>
    <mergeCell ref="AJ38:AM38"/>
    <mergeCell ref="AN38:AQ38"/>
    <mergeCell ref="D38:G38"/>
    <mergeCell ref="H38:K38"/>
    <mergeCell ref="L38:O38"/>
    <mergeCell ref="P38:S38"/>
    <mergeCell ref="T38:W38"/>
    <mergeCell ref="AR39:AU39"/>
    <mergeCell ref="AV39:AY39"/>
    <mergeCell ref="AZ39:BC39"/>
    <mergeCell ref="BL37:BO37"/>
    <mergeCell ref="BP37:BS37"/>
    <mergeCell ref="AR38:AU38"/>
    <mergeCell ref="AV38:AY38"/>
    <mergeCell ref="AZ38:BC38"/>
    <mergeCell ref="BD38:BG38"/>
    <mergeCell ref="AR37:AU37"/>
    <mergeCell ref="AV37:AY37"/>
    <mergeCell ref="AZ37:BC37"/>
    <mergeCell ref="BD37:BG37"/>
    <mergeCell ref="BH37:BK37"/>
    <mergeCell ref="BD39:BG39"/>
    <mergeCell ref="BH39:BK39"/>
    <mergeCell ref="X39:AA39"/>
    <mergeCell ref="AB39:AE39"/>
    <mergeCell ref="AF39:AI39"/>
    <mergeCell ref="AJ39:AM39"/>
    <mergeCell ref="AN39:AQ39"/>
    <mergeCell ref="D39:G39"/>
    <mergeCell ref="H39:K39"/>
    <mergeCell ref="L39:O39"/>
    <mergeCell ref="P39:S39"/>
    <mergeCell ref="T39:W39"/>
    <mergeCell ref="BL39:BO39"/>
    <mergeCell ref="BP39:BS39"/>
    <mergeCell ref="BH38:BK38"/>
    <mergeCell ref="BL38:BO38"/>
    <mergeCell ref="BP38:BS38"/>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A0D51-380B-4235-98A3-C282C1F94928}">
  <dimension ref="A1:CF39"/>
  <sheetViews>
    <sheetView zoomScale="24" zoomScaleNormal="75" workbookViewId="0">
      <pane ySplit="2" topLeftCell="A3" activePane="bottomLeft" state="frozen"/>
      <selection activeCell="E37" sqref="E37:BT39"/>
      <selection pane="bottomLeft" activeCell="C38" sqref="C38"/>
    </sheetView>
  </sheetViews>
  <sheetFormatPr defaultRowHeight="14.5" x14ac:dyDescent="0.35"/>
  <cols>
    <col min="2" max="2" width="22.453125" customWidth="1"/>
    <col min="3" max="3" width="12.90625" bestFit="1" customWidth="1"/>
    <col min="71" max="71" width="5.453125" customWidth="1"/>
    <col min="76" max="76" width="12.26953125" bestFit="1" customWidth="1"/>
    <col min="81" max="81" width="12.90625" bestFit="1" customWidth="1"/>
    <col min="83" max="83" width="12.26953125" bestFit="1" customWidth="1"/>
  </cols>
  <sheetData>
    <row r="1" spans="1:84" ht="15.5" thickTop="1" thickBot="1" x14ac:dyDescent="0.4">
      <c r="A1" s="153" t="s">
        <v>0</v>
      </c>
      <c r="B1" s="161" t="s">
        <v>1</v>
      </c>
      <c r="C1" s="151" t="s">
        <v>2</v>
      </c>
      <c r="D1" s="164" t="s">
        <v>3</v>
      </c>
      <c r="E1" s="165"/>
      <c r="F1" s="165"/>
      <c r="G1" s="166"/>
      <c r="H1" s="158" t="s">
        <v>95</v>
      </c>
      <c r="I1" s="158"/>
      <c r="J1" s="158"/>
      <c r="K1" s="159"/>
      <c r="L1" s="153" t="s">
        <v>96</v>
      </c>
      <c r="M1" s="149"/>
      <c r="N1" s="149"/>
      <c r="O1" s="151"/>
      <c r="P1" s="153" t="s">
        <v>97</v>
      </c>
      <c r="Q1" s="149"/>
      <c r="R1" s="149"/>
      <c r="S1" s="151"/>
      <c r="T1" s="153" t="s">
        <v>98</v>
      </c>
      <c r="U1" s="149"/>
      <c r="V1" s="149"/>
      <c r="W1" s="151"/>
      <c r="X1" s="153" t="s">
        <v>99</v>
      </c>
      <c r="Y1" s="149"/>
      <c r="Z1" s="149"/>
      <c r="AA1" s="151"/>
      <c r="AB1" s="153" t="s">
        <v>100</v>
      </c>
      <c r="AC1" s="149"/>
      <c r="AD1" s="149"/>
      <c r="AE1" s="151"/>
      <c r="AF1" s="153" t="s">
        <v>101</v>
      </c>
      <c r="AG1" s="149"/>
      <c r="AH1" s="149"/>
      <c r="AI1" s="151"/>
      <c r="AJ1" s="153" t="s">
        <v>102</v>
      </c>
      <c r="AK1" s="149"/>
      <c r="AL1" s="149"/>
      <c r="AM1" s="151"/>
      <c r="AN1" s="153" t="s">
        <v>103</v>
      </c>
      <c r="AO1" s="149"/>
      <c r="AP1" s="149"/>
      <c r="AQ1" s="151"/>
      <c r="AR1" s="153" t="s">
        <v>104</v>
      </c>
      <c r="AS1" s="149"/>
      <c r="AT1" s="149"/>
      <c r="AU1" s="151"/>
      <c r="AV1" s="153" t="s">
        <v>105</v>
      </c>
      <c r="AW1" s="149"/>
      <c r="AX1" s="149"/>
      <c r="AY1" s="156"/>
      <c r="AZ1" s="157" t="s">
        <v>106</v>
      </c>
      <c r="BA1" s="158"/>
      <c r="BB1" s="158"/>
      <c r="BC1" s="159"/>
      <c r="BD1" s="153" t="s">
        <v>107</v>
      </c>
      <c r="BE1" s="149"/>
      <c r="BF1" s="149"/>
      <c r="BG1" s="151"/>
      <c r="BH1" s="153" t="s">
        <v>108</v>
      </c>
      <c r="BI1" s="149"/>
      <c r="BJ1" s="149"/>
      <c r="BK1" s="151"/>
      <c r="BL1" s="153" t="s">
        <v>109</v>
      </c>
      <c r="BM1" s="149"/>
      <c r="BN1" s="149"/>
      <c r="BO1" s="151"/>
      <c r="BP1" s="153" t="s">
        <v>110</v>
      </c>
      <c r="BQ1" s="149"/>
      <c r="BR1" s="149"/>
      <c r="BS1" s="151"/>
      <c r="BT1" s="154" t="s">
        <v>20</v>
      </c>
      <c r="BU1" s="149" t="s">
        <v>21</v>
      </c>
      <c r="BV1" s="149" t="s">
        <v>22</v>
      </c>
      <c r="BW1" s="149" t="s">
        <v>23</v>
      </c>
      <c r="BX1" s="149" t="s">
        <v>141</v>
      </c>
      <c r="BY1" s="151" t="s">
        <v>24</v>
      </c>
      <c r="CC1" s="146" t="s">
        <v>2</v>
      </c>
      <c r="CD1" s="146" t="str">
        <f>BW1</f>
        <v>Recall</v>
      </c>
      <c r="CE1" s="146" t="str">
        <f>BX1</f>
        <v>Precision</v>
      </c>
      <c r="CF1" s="146" t="str">
        <f>BY1</f>
        <v>F1</v>
      </c>
    </row>
    <row r="2" spans="1:84" ht="15.5" thickTop="1" thickBot="1" x14ac:dyDescent="0.4">
      <c r="A2" s="160"/>
      <c r="B2" s="162"/>
      <c r="C2" s="163"/>
      <c r="D2" s="6" t="s">
        <v>25</v>
      </c>
      <c r="E2" s="1" t="s">
        <v>20</v>
      </c>
      <c r="F2" s="1" t="s">
        <v>21</v>
      </c>
      <c r="G2" s="2" t="s">
        <v>22</v>
      </c>
      <c r="H2" s="1" t="s">
        <v>25</v>
      </c>
      <c r="I2" s="4" t="s">
        <v>20</v>
      </c>
      <c r="J2" s="4" t="s">
        <v>21</v>
      </c>
      <c r="K2" s="2" t="s">
        <v>22</v>
      </c>
      <c r="L2" s="1" t="s">
        <v>25</v>
      </c>
      <c r="M2" s="4" t="s">
        <v>20</v>
      </c>
      <c r="N2" s="4" t="s">
        <v>21</v>
      </c>
      <c r="O2" s="2" t="s">
        <v>22</v>
      </c>
      <c r="P2" s="1" t="s">
        <v>25</v>
      </c>
      <c r="Q2" s="4" t="s">
        <v>20</v>
      </c>
      <c r="R2" s="4" t="s">
        <v>21</v>
      </c>
      <c r="S2" s="2" t="s">
        <v>22</v>
      </c>
      <c r="T2" s="1" t="s">
        <v>25</v>
      </c>
      <c r="U2" s="4" t="s">
        <v>20</v>
      </c>
      <c r="V2" s="4" t="s">
        <v>21</v>
      </c>
      <c r="W2" s="2" t="s">
        <v>22</v>
      </c>
      <c r="X2" s="1" t="s">
        <v>25</v>
      </c>
      <c r="Y2" s="4" t="s">
        <v>20</v>
      </c>
      <c r="Z2" s="4" t="s">
        <v>21</v>
      </c>
      <c r="AA2" s="2" t="s">
        <v>22</v>
      </c>
      <c r="AB2" s="1" t="s">
        <v>25</v>
      </c>
      <c r="AC2" s="4" t="s">
        <v>20</v>
      </c>
      <c r="AD2" s="4" t="s">
        <v>21</v>
      </c>
      <c r="AE2" s="2" t="s">
        <v>22</v>
      </c>
      <c r="AF2" s="1" t="s">
        <v>25</v>
      </c>
      <c r="AG2" s="4" t="s">
        <v>20</v>
      </c>
      <c r="AH2" s="4" t="s">
        <v>21</v>
      </c>
      <c r="AI2" s="2" t="s">
        <v>22</v>
      </c>
      <c r="AJ2" s="1" t="s">
        <v>25</v>
      </c>
      <c r="AK2" s="4" t="s">
        <v>20</v>
      </c>
      <c r="AL2" s="4" t="s">
        <v>21</v>
      </c>
      <c r="AM2" s="2" t="s">
        <v>22</v>
      </c>
      <c r="AN2" s="1" t="s">
        <v>25</v>
      </c>
      <c r="AO2" s="4" t="s">
        <v>20</v>
      </c>
      <c r="AP2" s="4" t="s">
        <v>21</v>
      </c>
      <c r="AQ2" s="2" t="s">
        <v>22</v>
      </c>
      <c r="AR2" s="1" t="s">
        <v>25</v>
      </c>
      <c r="AS2" s="4" t="s">
        <v>20</v>
      </c>
      <c r="AT2" s="4" t="s">
        <v>21</v>
      </c>
      <c r="AU2" s="2" t="s">
        <v>22</v>
      </c>
      <c r="AV2" s="1" t="s">
        <v>25</v>
      </c>
      <c r="AW2" s="4" t="s">
        <v>20</v>
      </c>
      <c r="AX2" s="4" t="s">
        <v>21</v>
      </c>
      <c r="AY2" s="122" t="s">
        <v>22</v>
      </c>
      <c r="AZ2" s="121" t="s">
        <v>25</v>
      </c>
      <c r="BA2" s="3" t="s">
        <v>20</v>
      </c>
      <c r="BB2" s="3" t="s">
        <v>21</v>
      </c>
      <c r="BC2" s="122" t="s">
        <v>22</v>
      </c>
      <c r="BD2" s="6" t="s">
        <v>25</v>
      </c>
      <c r="BE2" s="4" t="s">
        <v>20</v>
      </c>
      <c r="BF2" s="4" t="s">
        <v>21</v>
      </c>
      <c r="BG2" s="2" t="s">
        <v>22</v>
      </c>
      <c r="BH2" s="1" t="s">
        <v>25</v>
      </c>
      <c r="BI2" s="4" t="s">
        <v>20</v>
      </c>
      <c r="BJ2" s="4" t="s">
        <v>21</v>
      </c>
      <c r="BK2" s="2" t="s">
        <v>22</v>
      </c>
      <c r="BL2" s="1" t="s">
        <v>25</v>
      </c>
      <c r="BM2" s="4" t="s">
        <v>20</v>
      </c>
      <c r="BN2" s="4" t="s">
        <v>21</v>
      </c>
      <c r="BO2" s="2" t="s">
        <v>22</v>
      </c>
      <c r="BP2" s="1" t="s">
        <v>25</v>
      </c>
      <c r="BQ2" s="4" t="s">
        <v>20</v>
      </c>
      <c r="BR2" s="4" t="s">
        <v>21</v>
      </c>
      <c r="BS2" s="2" t="s">
        <v>22</v>
      </c>
      <c r="BT2" s="155"/>
      <c r="BU2" s="150"/>
      <c r="BV2" s="150"/>
      <c r="BW2" s="150"/>
      <c r="BX2" s="150"/>
      <c r="BY2" s="152"/>
      <c r="CC2" s="146"/>
      <c r="CD2" s="146"/>
      <c r="CE2" s="146"/>
      <c r="CF2" s="146"/>
    </row>
    <row r="3" spans="1:84" ht="15" thickTop="1" x14ac:dyDescent="0.35">
      <c r="A3" s="49" t="s">
        <v>48</v>
      </c>
      <c r="B3" s="147" t="s">
        <v>52</v>
      </c>
      <c r="C3" s="7" t="s">
        <v>26</v>
      </c>
      <c r="D3" s="8">
        <v>3</v>
      </c>
      <c r="E3" s="9">
        <v>3</v>
      </c>
      <c r="F3" s="9">
        <f>D3-E3</f>
        <v>0</v>
      </c>
      <c r="G3" s="7">
        <v>0</v>
      </c>
      <c r="H3" s="10">
        <v>3</v>
      </c>
      <c r="I3" s="9">
        <v>0</v>
      </c>
      <c r="J3" s="9">
        <f>H3-I3</f>
        <v>3</v>
      </c>
      <c r="K3" s="7">
        <v>0</v>
      </c>
      <c r="L3" s="10">
        <v>6</v>
      </c>
      <c r="M3" s="9">
        <v>0</v>
      </c>
      <c r="N3" s="9">
        <f>L3-M3</f>
        <v>6</v>
      </c>
      <c r="O3" s="7">
        <v>0</v>
      </c>
      <c r="P3" s="10">
        <v>4</v>
      </c>
      <c r="Q3" s="9">
        <v>4</v>
      </c>
      <c r="R3" s="9">
        <f>P3-Q3</f>
        <v>0</v>
      </c>
      <c r="S3" s="7">
        <v>0</v>
      </c>
      <c r="T3" s="10">
        <v>4</v>
      </c>
      <c r="U3" s="9">
        <v>4</v>
      </c>
      <c r="V3" s="9">
        <f>T3-U3</f>
        <v>0</v>
      </c>
      <c r="W3" s="7">
        <v>0</v>
      </c>
      <c r="X3" s="10">
        <v>3</v>
      </c>
      <c r="Y3" s="9">
        <v>3</v>
      </c>
      <c r="Z3" s="9">
        <f>X3-Y3</f>
        <v>0</v>
      </c>
      <c r="AA3" s="7">
        <v>0</v>
      </c>
      <c r="AB3" s="10">
        <v>0</v>
      </c>
      <c r="AC3" s="9">
        <v>0</v>
      </c>
      <c r="AD3" s="9">
        <f>AB3-AC3</f>
        <v>0</v>
      </c>
      <c r="AE3" s="7">
        <v>0</v>
      </c>
      <c r="AF3" s="10">
        <v>3</v>
      </c>
      <c r="AG3" s="9">
        <v>3</v>
      </c>
      <c r="AH3" s="9">
        <f>AF3-AG3</f>
        <v>0</v>
      </c>
      <c r="AI3" s="7">
        <v>0</v>
      </c>
      <c r="AJ3" s="10">
        <v>2</v>
      </c>
      <c r="AK3" s="9">
        <v>2</v>
      </c>
      <c r="AL3" s="9">
        <f>AJ3-AK3</f>
        <v>0</v>
      </c>
      <c r="AM3" s="7">
        <v>0</v>
      </c>
      <c r="AN3" s="10">
        <v>0</v>
      </c>
      <c r="AO3" s="9">
        <v>0</v>
      </c>
      <c r="AP3" s="9">
        <f>AN3-AO3</f>
        <v>0</v>
      </c>
      <c r="AQ3" s="7">
        <v>0</v>
      </c>
      <c r="AR3" s="10">
        <v>0</v>
      </c>
      <c r="AS3" s="9">
        <v>0</v>
      </c>
      <c r="AT3" s="9">
        <f>AR3-AS3</f>
        <v>0</v>
      </c>
      <c r="AU3" s="7">
        <v>0</v>
      </c>
      <c r="AV3" s="10">
        <v>0</v>
      </c>
      <c r="AW3" s="9">
        <v>0</v>
      </c>
      <c r="AX3" s="9">
        <f>AV3-AW3</f>
        <v>0</v>
      </c>
      <c r="AY3" s="7">
        <v>0</v>
      </c>
      <c r="AZ3" s="8">
        <v>2</v>
      </c>
      <c r="BA3" s="124">
        <v>2</v>
      </c>
      <c r="BB3" s="124">
        <f>AZ3-BA3</f>
        <v>0</v>
      </c>
      <c r="BC3" s="123">
        <v>0</v>
      </c>
      <c r="BD3" s="8">
        <v>0</v>
      </c>
      <c r="BE3" s="9">
        <v>0</v>
      </c>
      <c r="BF3" s="9">
        <f>BD3-BE3</f>
        <v>0</v>
      </c>
      <c r="BG3" s="7">
        <v>0</v>
      </c>
      <c r="BH3" s="10">
        <v>0</v>
      </c>
      <c r="BI3" s="9">
        <v>0</v>
      </c>
      <c r="BJ3" s="9">
        <f>BH3-BI3</f>
        <v>0</v>
      </c>
      <c r="BK3" s="7">
        <v>0</v>
      </c>
      <c r="BL3" s="10">
        <v>0</v>
      </c>
      <c r="BM3" s="9">
        <v>0</v>
      </c>
      <c r="BN3" s="9">
        <f>BL3-BM3</f>
        <v>0</v>
      </c>
      <c r="BO3" s="7">
        <v>0</v>
      </c>
      <c r="BP3" s="10">
        <v>0</v>
      </c>
      <c r="BQ3" s="9">
        <v>0</v>
      </c>
      <c r="BR3" s="9">
        <f>BP3-BQ3</f>
        <v>0</v>
      </c>
      <c r="BS3" s="7">
        <v>0</v>
      </c>
      <c r="BT3" s="10">
        <f>SUM(E3,I3,M3,Q3,U3,Y3,AC3,AG3,AK3,AO3,AS3,AW3,BE3,BI3,BM3,BQ3,BA3)</f>
        <v>21</v>
      </c>
      <c r="BU3" s="9">
        <f>SUM(BR3,BN3,BJ3,BF3,AX3,AT3,AP3,AL3,AH3,AD3,Z3,V3,R3,N3,J3,F3,BB3)</f>
        <v>9</v>
      </c>
      <c r="BV3" s="124">
        <f>SUM(BS3,BO3,BK3,BG3,AY3,AU3,AQ3,AM3,AI3,AE3,AA3,W3,S3,O3,K3,G3, BC3)</f>
        <v>0</v>
      </c>
      <c r="BW3" s="9">
        <f>BT3/(BT3+BU3)</f>
        <v>0.7</v>
      </c>
      <c r="BX3" s="9">
        <f>BT3/(BT3+BV3)</f>
        <v>1</v>
      </c>
      <c r="BY3" s="7">
        <f>2*(BX3*BW3)/(BX3+BW3)</f>
        <v>0.82352941176470584</v>
      </c>
      <c r="CC3" s="133" t="s">
        <v>75</v>
      </c>
      <c r="CD3">
        <f>AVERAGE(BW3:BW4)</f>
        <v>0.7</v>
      </c>
      <c r="CE3">
        <f t="shared" ref="CE3:CF3" si="0">AVERAGE(BX3:BX4)</f>
        <v>1</v>
      </c>
      <c r="CF3">
        <f t="shared" si="0"/>
        <v>0.82352941176470584</v>
      </c>
    </row>
    <row r="4" spans="1:84" x14ac:dyDescent="0.35">
      <c r="A4" s="49" t="s">
        <v>48</v>
      </c>
      <c r="B4" s="148"/>
      <c r="C4" s="123" t="s">
        <v>60</v>
      </c>
      <c r="D4" s="8">
        <v>3</v>
      </c>
      <c r="E4" s="124">
        <v>3</v>
      </c>
      <c r="F4" s="124">
        <f t="shared" ref="F4:F34" si="1">D4-E4</f>
        <v>0</v>
      </c>
      <c r="G4" s="123">
        <v>0</v>
      </c>
      <c r="H4" s="8">
        <v>3</v>
      </c>
      <c r="I4" s="124">
        <v>0</v>
      </c>
      <c r="J4" s="124">
        <f t="shared" ref="J4:J34" si="2">H4-I4</f>
        <v>3</v>
      </c>
      <c r="K4" s="123">
        <v>0</v>
      </c>
      <c r="L4" s="8">
        <v>6</v>
      </c>
      <c r="M4" s="124">
        <v>0</v>
      </c>
      <c r="N4" s="124">
        <f t="shared" ref="N4:N34" si="3">L4-M4</f>
        <v>6</v>
      </c>
      <c r="O4" s="123">
        <v>0</v>
      </c>
      <c r="P4" s="8">
        <v>4</v>
      </c>
      <c r="Q4" s="124">
        <v>4</v>
      </c>
      <c r="R4" s="124">
        <f t="shared" ref="R4:R34" si="4">P4-Q4</f>
        <v>0</v>
      </c>
      <c r="S4" s="123">
        <v>0</v>
      </c>
      <c r="T4" s="8">
        <v>4</v>
      </c>
      <c r="U4" s="124">
        <v>4</v>
      </c>
      <c r="V4" s="124">
        <f t="shared" ref="V4:V34" si="5">T4-U4</f>
        <v>0</v>
      </c>
      <c r="W4" s="123">
        <v>0</v>
      </c>
      <c r="X4" s="8">
        <v>3</v>
      </c>
      <c r="Y4" s="124">
        <v>3</v>
      </c>
      <c r="Z4" s="124">
        <f t="shared" ref="Z4:Z34" si="6">X4-Y4</f>
        <v>0</v>
      </c>
      <c r="AA4" s="123">
        <v>0</v>
      </c>
      <c r="AB4" s="8">
        <v>0</v>
      </c>
      <c r="AC4" s="124">
        <v>0</v>
      </c>
      <c r="AD4" s="124">
        <f t="shared" ref="AD4:AD29" si="7">AB4-AC4</f>
        <v>0</v>
      </c>
      <c r="AE4" s="123">
        <v>0</v>
      </c>
      <c r="AF4" s="8">
        <v>3</v>
      </c>
      <c r="AG4" s="124">
        <v>3</v>
      </c>
      <c r="AH4" s="124">
        <f t="shared" ref="AH4:AH34" si="8">AF4-AG4</f>
        <v>0</v>
      </c>
      <c r="AI4" s="123">
        <v>0</v>
      </c>
      <c r="AJ4" s="8">
        <v>2</v>
      </c>
      <c r="AK4" s="124">
        <v>2</v>
      </c>
      <c r="AL4" s="124">
        <f t="shared" ref="AL4:AL34" si="9">AJ4-AK4</f>
        <v>0</v>
      </c>
      <c r="AM4" s="123">
        <v>0</v>
      </c>
      <c r="AN4" s="8">
        <v>0</v>
      </c>
      <c r="AO4" s="124">
        <v>0</v>
      </c>
      <c r="AP4" s="124">
        <f t="shared" ref="AP4:AP34" si="10">AN4-AO4</f>
        <v>0</v>
      </c>
      <c r="AQ4" s="123">
        <v>0</v>
      </c>
      <c r="AR4" s="8">
        <v>0</v>
      </c>
      <c r="AS4" s="124">
        <v>0</v>
      </c>
      <c r="AT4" s="124">
        <f t="shared" ref="AT4:AT34" si="11">AR4-AS4</f>
        <v>0</v>
      </c>
      <c r="AU4" s="123">
        <v>0</v>
      </c>
      <c r="AV4" s="8">
        <v>0</v>
      </c>
      <c r="AW4" s="124">
        <v>0</v>
      </c>
      <c r="AX4" s="124">
        <f t="shared" ref="AX4:AX34" si="12">AV4-AW4</f>
        <v>0</v>
      </c>
      <c r="AY4" s="123">
        <v>0</v>
      </c>
      <c r="AZ4" s="8">
        <v>2</v>
      </c>
      <c r="BA4" s="124">
        <v>2</v>
      </c>
      <c r="BB4" s="124">
        <f t="shared" ref="BB4:BB34" si="13">AZ4-BA4</f>
        <v>0</v>
      </c>
      <c r="BC4" s="123">
        <v>0</v>
      </c>
      <c r="BD4" s="8">
        <v>0</v>
      </c>
      <c r="BE4" s="124">
        <v>0</v>
      </c>
      <c r="BF4" s="124">
        <f t="shared" ref="BF4:BF34" si="14">BD4-BE4</f>
        <v>0</v>
      </c>
      <c r="BG4" s="123">
        <v>0</v>
      </c>
      <c r="BH4" s="8">
        <v>0</v>
      </c>
      <c r="BI4" s="124">
        <v>0</v>
      </c>
      <c r="BJ4" s="124">
        <f t="shared" ref="BJ4:BJ34" si="15">BH4-BI4</f>
        <v>0</v>
      </c>
      <c r="BK4" s="123">
        <v>0</v>
      </c>
      <c r="BL4" s="8">
        <v>0</v>
      </c>
      <c r="BM4" s="124">
        <v>0</v>
      </c>
      <c r="BN4" s="124">
        <f t="shared" ref="BN4:BN34" si="16">BL4-BM4</f>
        <v>0</v>
      </c>
      <c r="BO4" s="123">
        <v>0</v>
      </c>
      <c r="BP4" s="8">
        <v>0</v>
      </c>
      <c r="BQ4" s="124">
        <v>0</v>
      </c>
      <c r="BR4" s="124">
        <f t="shared" ref="BR4:BR34" si="17">BP4-BQ4</f>
        <v>0</v>
      </c>
      <c r="BS4" s="123">
        <v>0</v>
      </c>
      <c r="BT4" s="8">
        <f t="shared" ref="BT4:BT34" si="18">SUM(E4,I4,M4,Q4,U4,Y4,AC4,AG4,AK4,AO4,AS4,AW4,BE4,BI4,BM4,BQ4,BA4)</f>
        <v>21</v>
      </c>
      <c r="BU4" s="124">
        <f t="shared" ref="BU4:BU34" si="19">SUM(BR4,BN4,BJ4,BF4,AX4,AT4,AP4,AL4,AH4,AD4,Z4,V4,R4,N4,J4,F4,BB4)</f>
        <v>9</v>
      </c>
      <c r="BV4" s="124">
        <f t="shared" ref="BV4:BV34" si="20">SUM(BS4,BO4,BK4,BG4,AY4,AU4,AQ4,AM4,AI4,AE4,AA4,W4,S4,O4,K4,G4, BC4)</f>
        <v>0</v>
      </c>
      <c r="BW4" s="124">
        <f t="shared" ref="BW4:BW34" si="21">BT4/(BT4+BU4)</f>
        <v>0.7</v>
      </c>
      <c r="BX4" s="124">
        <f t="shared" ref="BX4:BX34" si="22">BT4/(BT4+BV4)</f>
        <v>1</v>
      </c>
      <c r="BY4" s="123">
        <f t="shared" ref="BY4:BY34" si="23">2*(BX4*BW4)/(BX4+BW4)</f>
        <v>0.82352941176470584</v>
      </c>
      <c r="CC4" s="133" t="s">
        <v>76</v>
      </c>
      <c r="CD4">
        <f>AVERAGE(BW5:BW6)</f>
        <v>0.8</v>
      </c>
      <c r="CE4">
        <f t="shared" ref="CE4:CF4" si="24">AVERAGE(BX5:BX6)</f>
        <v>0.69696969696969702</v>
      </c>
      <c r="CF4">
        <f t="shared" si="24"/>
        <v>0.74458874458874458</v>
      </c>
    </row>
    <row r="5" spans="1:84" x14ac:dyDescent="0.35">
      <c r="A5" s="50" t="s">
        <v>48</v>
      </c>
      <c r="B5" s="148"/>
      <c r="C5" s="11" t="s">
        <v>27</v>
      </c>
      <c r="D5" s="12">
        <v>2</v>
      </c>
      <c r="E5" s="13">
        <v>2</v>
      </c>
      <c r="F5" s="13">
        <f t="shared" si="1"/>
        <v>0</v>
      </c>
      <c r="G5" s="11">
        <v>0</v>
      </c>
      <c r="H5" s="12">
        <v>2</v>
      </c>
      <c r="I5" s="13">
        <v>2</v>
      </c>
      <c r="J5" s="13">
        <f t="shared" si="2"/>
        <v>0</v>
      </c>
      <c r="K5" s="11">
        <v>0</v>
      </c>
      <c r="L5" s="12">
        <v>0</v>
      </c>
      <c r="M5" s="13">
        <v>0</v>
      </c>
      <c r="N5" s="13">
        <f t="shared" si="3"/>
        <v>0</v>
      </c>
      <c r="O5" s="11">
        <v>0</v>
      </c>
      <c r="P5" s="12">
        <v>0</v>
      </c>
      <c r="Q5" s="13">
        <v>0</v>
      </c>
      <c r="R5" s="13">
        <f t="shared" si="4"/>
        <v>0</v>
      </c>
      <c r="S5" s="11">
        <v>1</v>
      </c>
      <c r="T5" s="12">
        <v>0</v>
      </c>
      <c r="U5" s="13">
        <v>0</v>
      </c>
      <c r="V5" s="13">
        <f t="shared" si="5"/>
        <v>0</v>
      </c>
      <c r="W5" s="11">
        <v>0</v>
      </c>
      <c r="X5" s="12">
        <v>2</v>
      </c>
      <c r="Y5" s="13">
        <v>2</v>
      </c>
      <c r="Z5" s="13">
        <f t="shared" si="6"/>
        <v>0</v>
      </c>
      <c r="AA5" s="11">
        <v>0</v>
      </c>
      <c r="AB5" s="12">
        <v>0</v>
      </c>
      <c r="AC5" s="13">
        <v>0</v>
      </c>
      <c r="AD5" s="13">
        <f t="shared" si="7"/>
        <v>0</v>
      </c>
      <c r="AE5" s="11">
        <v>0</v>
      </c>
      <c r="AF5" s="12">
        <v>2</v>
      </c>
      <c r="AG5" s="13">
        <v>2</v>
      </c>
      <c r="AH5" s="13">
        <f t="shared" si="8"/>
        <v>0</v>
      </c>
      <c r="AI5" s="11">
        <v>0</v>
      </c>
      <c r="AJ5" s="12">
        <v>0</v>
      </c>
      <c r="AK5" s="13">
        <v>0</v>
      </c>
      <c r="AL5" s="13">
        <f t="shared" si="9"/>
        <v>0</v>
      </c>
      <c r="AM5" s="11">
        <v>0</v>
      </c>
      <c r="AN5" s="12">
        <v>0</v>
      </c>
      <c r="AO5" s="13">
        <v>0</v>
      </c>
      <c r="AP5" s="13">
        <f t="shared" si="10"/>
        <v>0</v>
      </c>
      <c r="AQ5" s="11">
        <v>1</v>
      </c>
      <c r="AR5" s="12">
        <v>0</v>
      </c>
      <c r="AS5" s="13">
        <v>0</v>
      </c>
      <c r="AT5" s="13">
        <f t="shared" si="11"/>
        <v>0</v>
      </c>
      <c r="AU5" s="11">
        <v>0</v>
      </c>
      <c r="AV5" s="12">
        <v>1</v>
      </c>
      <c r="AW5" s="13">
        <v>0</v>
      </c>
      <c r="AX5" s="13">
        <f t="shared" si="12"/>
        <v>1</v>
      </c>
      <c r="AY5" s="11">
        <v>0</v>
      </c>
      <c r="AZ5" s="12">
        <v>1</v>
      </c>
      <c r="BA5" s="13">
        <v>0</v>
      </c>
      <c r="BB5" s="13">
        <f t="shared" si="13"/>
        <v>1</v>
      </c>
      <c r="BC5" s="11">
        <v>1</v>
      </c>
      <c r="BD5" s="12">
        <v>0</v>
      </c>
      <c r="BE5" s="13">
        <v>0</v>
      </c>
      <c r="BF5" s="13">
        <f t="shared" si="14"/>
        <v>0</v>
      </c>
      <c r="BG5" s="11">
        <v>0</v>
      </c>
      <c r="BH5" s="12">
        <v>0</v>
      </c>
      <c r="BI5" s="13">
        <v>0</v>
      </c>
      <c r="BJ5" s="13">
        <f t="shared" si="15"/>
        <v>0</v>
      </c>
      <c r="BK5" s="11">
        <v>0</v>
      </c>
      <c r="BL5" s="12">
        <v>0</v>
      </c>
      <c r="BM5" s="13">
        <v>0</v>
      </c>
      <c r="BN5" s="13">
        <f t="shared" si="16"/>
        <v>0</v>
      </c>
      <c r="BO5" s="11">
        <v>0</v>
      </c>
      <c r="BP5" s="12">
        <v>0</v>
      </c>
      <c r="BQ5" s="13">
        <v>0</v>
      </c>
      <c r="BR5" s="13">
        <f t="shared" si="17"/>
        <v>0</v>
      </c>
      <c r="BS5" s="11">
        <v>0</v>
      </c>
      <c r="BT5" s="12">
        <f t="shared" si="18"/>
        <v>8</v>
      </c>
      <c r="BU5" s="13">
        <f t="shared" si="19"/>
        <v>2</v>
      </c>
      <c r="BV5" s="13">
        <f t="shared" si="20"/>
        <v>3</v>
      </c>
      <c r="BW5" s="13">
        <f t="shared" si="21"/>
        <v>0.8</v>
      </c>
      <c r="BX5" s="13">
        <f t="shared" si="22"/>
        <v>0.72727272727272729</v>
      </c>
      <c r="BY5" s="11">
        <f t="shared" si="23"/>
        <v>0.76190476190476197</v>
      </c>
      <c r="CC5" s="133" t="s">
        <v>77</v>
      </c>
      <c r="CD5">
        <f>AVERAGE(BW7:BW8)</f>
        <v>0.8125</v>
      </c>
      <c r="CE5">
        <f t="shared" ref="CE5:CF5" si="25">AVERAGE(BX7:BX8)</f>
        <v>0.92708333333333326</v>
      </c>
      <c r="CF5">
        <f t="shared" si="25"/>
        <v>0.86160714285714279</v>
      </c>
    </row>
    <row r="6" spans="1:84" x14ac:dyDescent="0.35">
      <c r="A6" s="50" t="s">
        <v>48</v>
      </c>
      <c r="B6" s="148"/>
      <c r="C6" s="11" t="s">
        <v>61</v>
      </c>
      <c r="D6" s="12">
        <v>2</v>
      </c>
      <c r="E6" s="13">
        <v>2</v>
      </c>
      <c r="F6" s="13">
        <f t="shared" si="1"/>
        <v>0</v>
      </c>
      <c r="G6" s="11">
        <v>0</v>
      </c>
      <c r="H6" s="12">
        <v>2</v>
      </c>
      <c r="I6" s="13">
        <v>2</v>
      </c>
      <c r="J6" s="13">
        <f t="shared" si="2"/>
        <v>0</v>
      </c>
      <c r="K6" s="11">
        <v>0</v>
      </c>
      <c r="L6" s="12">
        <v>0</v>
      </c>
      <c r="M6" s="13">
        <v>0</v>
      </c>
      <c r="N6" s="13">
        <f t="shared" si="3"/>
        <v>0</v>
      </c>
      <c r="O6" s="11">
        <v>0</v>
      </c>
      <c r="P6" s="12">
        <v>0</v>
      </c>
      <c r="Q6" s="13">
        <v>0</v>
      </c>
      <c r="R6" s="13">
        <f t="shared" si="4"/>
        <v>0</v>
      </c>
      <c r="S6" s="11">
        <v>1</v>
      </c>
      <c r="T6" s="12">
        <v>0</v>
      </c>
      <c r="U6" s="13">
        <v>0</v>
      </c>
      <c r="V6" s="13">
        <f t="shared" si="5"/>
        <v>0</v>
      </c>
      <c r="W6" s="11">
        <v>0</v>
      </c>
      <c r="X6" s="12">
        <v>2</v>
      </c>
      <c r="Y6" s="13">
        <v>2</v>
      </c>
      <c r="Z6" s="13">
        <f t="shared" si="6"/>
        <v>0</v>
      </c>
      <c r="AA6" s="11">
        <v>0</v>
      </c>
      <c r="AB6" s="12">
        <v>0</v>
      </c>
      <c r="AC6" s="13">
        <v>0</v>
      </c>
      <c r="AD6" s="13">
        <f t="shared" si="7"/>
        <v>0</v>
      </c>
      <c r="AE6" s="11">
        <v>0</v>
      </c>
      <c r="AF6" s="12">
        <v>2</v>
      </c>
      <c r="AG6" s="13">
        <v>2</v>
      </c>
      <c r="AH6" s="13">
        <f t="shared" si="8"/>
        <v>0</v>
      </c>
      <c r="AI6" s="11">
        <v>0</v>
      </c>
      <c r="AJ6" s="12">
        <v>0</v>
      </c>
      <c r="AK6" s="13">
        <v>0</v>
      </c>
      <c r="AL6" s="13">
        <f t="shared" si="9"/>
        <v>0</v>
      </c>
      <c r="AM6" s="11">
        <v>0</v>
      </c>
      <c r="AN6" s="12">
        <v>0</v>
      </c>
      <c r="AO6" s="13">
        <v>0</v>
      </c>
      <c r="AP6" s="13">
        <f t="shared" si="10"/>
        <v>0</v>
      </c>
      <c r="AQ6" s="11">
        <v>0</v>
      </c>
      <c r="AR6" s="12">
        <v>0</v>
      </c>
      <c r="AS6" s="13">
        <v>0</v>
      </c>
      <c r="AT6" s="13">
        <f t="shared" si="11"/>
        <v>0</v>
      </c>
      <c r="AU6" s="11">
        <v>1</v>
      </c>
      <c r="AV6" s="12">
        <v>1</v>
      </c>
      <c r="AW6" s="13">
        <v>0</v>
      </c>
      <c r="AX6" s="13">
        <f t="shared" si="12"/>
        <v>1</v>
      </c>
      <c r="AY6" s="11">
        <v>1</v>
      </c>
      <c r="AZ6" s="12">
        <v>1</v>
      </c>
      <c r="BA6" s="13">
        <v>0</v>
      </c>
      <c r="BB6" s="13">
        <f t="shared" si="13"/>
        <v>1</v>
      </c>
      <c r="BC6" s="11">
        <v>1</v>
      </c>
      <c r="BD6" s="12">
        <v>0</v>
      </c>
      <c r="BE6" s="13">
        <v>0</v>
      </c>
      <c r="BF6" s="13">
        <f t="shared" si="14"/>
        <v>0</v>
      </c>
      <c r="BG6" s="11">
        <v>0</v>
      </c>
      <c r="BH6" s="12">
        <v>0</v>
      </c>
      <c r="BI6" s="13">
        <v>0</v>
      </c>
      <c r="BJ6" s="13">
        <f t="shared" si="15"/>
        <v>0</v>
      </c>
      <c r="BK6" s="11">
        <v>0</v>
      </c>
      <c r="BL6" s="12">
        <v>0</v>
      </c>
      <c r="BM6" s="13">
        <v>0</v>
      </c>
      <c r="BN6" s="13">
        <f t="shared" si="16"/>
        <v>0</v>
      </c>
      <c r="BO6" s="11">
        <v>0</v>
      </c>
      <c r="BP6" s="12">
        <v>0</v>
      </c>
      <c r="BQ6" s="13">
        <v>0</v>
      </c>
      <c r="BR6" s="13">
        <f t="shared" si="17"/>
        <v>0</v>
      </c>
      <c r="BS6" s="11">
        <v>0</v>
      </c>
      <c r="BT6" s="12">
        <f t="shared" si="18"/>
        <v>8</v>
      </c>
      <c r="BU6" s="13">
        <f t="shared" si="19"/>
        <v>2</v>
      </c>
      <c r="BV6" s="13">
        <f t="shared" si="20"/>
        <v>4</v>
      </c>
      <c r="BW6" s="13">
        <f t="shared" si="21"/>
        <v>0.8</v>
      </c>
      <c r="BX6" s="13">
        <f t="shared" si="22"/>
        <v>0.66666666666666663</v>
      </c>
      <c r="BY6" s="11">
        <f t="shared" si="23"/>
        <v>0.72727272727272718</v>
      </c>
      <c r="CC6" s="133" t="s">
        <v>78</v>
      </c>
      <c r="CD6">
        <f>AVERAGE(BW9:BW10)</f>
        <v>0.91666666666666663</v>
      </c>
      <c r="CE6">
        <f t="shared" ref="CE6:CF6" si="26">AVERAGE(BX9:BX10)</f>
        <v>0.73660714285714279</v>
      </c>
      <c r="CF6">
        <f t="shared" si="26"/>
        <v>0.81593406593406592</v>
      </c>
    </row>
    <row r="7" spans="1:84" x14ac:dyDescent="0.35">
      <c r="A7" s="51" t="s">
        <v>48</v>
      </c>
      <c r="B7" s="148"/>
      <c r="C7" s="14" t="s">
        <v>28</v>
      </c>
      <c r="D7" s="15">
        <v>2</v>
      </c>
      <c r="E7" s="16">
        <v>2</v>
      </c>
      <c r="F7" s="16">
        <f t="shared" si="1"/>
        <v>0</v>
      </c>
      <c r="G7" s="14">
        <v>0</v>
      </c>
      <c r="H7" s="15">
        <v>1</v>
      </c>
      <c r="I7" s="16">
        <v>0</v>
      </c>
      <c r="J7" s="16">
        <f t="shared" si="2"/>
        <v>1</v>
      </c>
      <c r="K7" s="14">
        <v>0</v>
      </c>
      <c r="L7" s="15">
        <v>1</v>
      </c>
      <c r="M7" s="16">
        <v>0</v>
      </c>
      <c r="N7" s="16">
        <f t="shared" si="3"/>
        <v>1</v>
      </c>
      <c r="O7" s="14">
        <v>0</v>
      </c>
      <c r="P7" s="15">
        <v>1</v>
      </c>
      <c r="Q7" s="16">
        <v>1</v>
      </c>
      <c r="R7" s="16">
        <f t="shared" si="4"/>
        <v>0</v>
      </c>
      <c r="S7" s="14">
        <v>0</v>
      </c>
      <c r="T7" s="15">
        <v>1</v>
      </c>
      <c r="U7" s="16">
        <v>1</v>
      </c>
      <c r="V7" s="16">
        <f t="shared" si="5"/>
        <v>0</v>
      </c>
      <c r="W7" s="14">
        <v>0</v>
      </c>
      <c r="X7" s="15">
        <v>3</v>
      </c>
      <c r="Y7" s="16">
        <v>3</v>
      </c>
      <c r="Z7" s="16">
        <f t="shared" si="6"/>
        <v>0</v>
      </c>
      <c r="AA7" s="14">
        <v>0</v>
      </c>
      <c r="AB7" s="15">
        <v>0</v>
      </c>
      <c r="AC7" s="16">
        <v>0</v>
      </c>
      <c r="AD7" s="16">
        <f t="shared" si="7"/>
        <v>0</v>
      </c>
      <c r="AE7" s="14">
        <v>0</v>
      </c>
      <c r="AF7" s="15">
        <v>3</v>
      </c>
      <c r="AG7" s="16">
        <v>3</v>
      </c>
      <c r="AH7" s="16">
        <f t="shared" si="8"/>
        <v>0</v>
      </c>
      <c r="AI7" s="14">
        <v>0</v>
      </c>
      <c r="AJ7" s="15">
        <v>0</v>
      </c>
      <c r="AK7" s="16">
        <v>0</v>
      </c>
      <c r="AL7" s="16">
        <f t="shared" si="9"/>
        <v>0</v>
      </c>
      <c r="AM7" s="14">
        <v>1</v>
      </c>
      <c r="AN7" s="15">
        <v>1</v>
      </c>
      <c r="AO7" s="16">
        <v>0</v>
      </c>
      <c r="AP7" s="16">
        <f t="shared" si="10"/>
        <v>1</v>
      </c>
      <c r="AQ7" s="14">
        <v>0</v>
      </c>
      <c r="AR7" s="15">
        <v>0</v>
      </c>
      <c r="AS7" s="16">
        <v>0</v>
      </c>
      <c r="AT7" s="16">
        <f t="shared" si="11"/>
        <v>0</v>
      </c>
      <c r="AU7" s="14">
        <v>0</v>
      </c>
      <c r="AV7" s="15">
        <v>0</v>
      </c>
      <c r="AW7" s="16">
        <v>0</v>
      </c>
      <c r="AX7" s="16">
        <f t="shared" si="12"/>
        <v>0</v>
      </c>
      <c r="AY7" s="14">
        <v>0</v>
      </c>
      <c r="AZ7" s="15">
        <v>1</v>
      </c>
      <c r="BA7" s="16">
        <v>1</v>
      </c>
      <c r="BB7" s="16">
        <f t="shared" si="13"/>
        <v>0</v>
      </c>
      <c r="BC7" s="14">
        <v>0</v>
      </c>
      <c r="BD7" s="15">
        <v>2</v>
      </c>
      <c r="BE7" s="16">
        <v>0</v>
      </c>
      <c r="BF7" s="16">
        <f t="shared" si="14"/>
        <v>2</v>
      </c>
      <c r="BG7" s="14">
        <v>0</v>
      </c>
      <c r="BH7" s="15">
        <v>0</v>
      </c>
      <c r="BI7" s="16">
        <v>0</v>
      </c>
      <c r="BJ7" s="16">
        <f t="shared" si="15"/>
        <v>0</v>
      </c>
      <c r="BK7" s="14">
        <v>0</v>
      </c>
      <c r="BL7" s="15">
        <v>0</v>
      </c>
      <c r="BM7" s="16">
        <v>0</v>
      </c>
      <c r="BN7" s="16">
        <f t="shared" si="16"/>
        <v>0</v>
      </c>
      <c r="BO7" s="14">
        <v>0</v>
      </c>
      <c r="BP7" s="15">
        <v>0</v>
      </c>
      <c r="BQ7" s="16">
        <v>0</v>
      </c>
      <c r="BR7" s="16">
        <f t="shared" si="17"/>
        <v>0</v>
      </c>
      <c r="BS7" s="14">
        <v>0</v>
      </c>
      <c r="BT7" s="15">
        <f t="shared" si="18"/>
        <v>11</v>
      </c>
      <c r="BU7" s="16">
        <f t="shared" si="19"/>
        <v>5</v>
      </c>
      <c r="BV7" s="16">
        <f t="shared" si="20"/>
        <v>1</v>
      </c>
      <c r="BW7" s="16">
        <f t="shared" si="21"/>
        <v>0.6875</v>
      </c>
      <c r="BX7" s="16">
        <f t="shared" si="22"/>
        <v>0.91666666666666663</v>
      </c>
      <c r="BY7" s="14">
        <f t="shared" si="23"/>
        <v>0.7857142857142857</v>
      </c>
      <c r="CC7" s="133" t="s">
        <v>79</v>
      </c>
      <c r="CD7">
        <f>AVERAGE(BW11:BW12)</f>
        <v>0.8571428571428571</v>
      </c>
      <c r="CE7">
        <f t="shared" ref="CE7:CF7" si="27">AVERAGE(BX11:BX12)</f>
        <v>0.84095860566448799</v>
      </c>
      <c r="CF7">
        <f t="shared" si="27"/>
        <v>0.83771929824561409</v>
      </c>
    </row>
    <row r="8" spans="1:84" x14ac:dyDescent="0.35">
      <c r="A8" s="51" t="s">
        <v>48</v>
      </c>
      <c r="B8" s="148"/>
      <c r="C8" s="14" t="s">
        <v>62</v>
      </c>
      <c r="D8" s="15">
        <v>2</v>
      </c>
      <c r="E8" s="16">
        <v>2</v>
      </c>
      <c r="F8" s="16">
        <f t="shared" si="1"/>
        <v>0</v>
      </c>
      <c r="G8" s="14">
        <v>0</v>
      </c>
      <c r="H8" s="15">
        <v>1</v>
      </c>
      <c r="I8" s="16">
        <v>1</v>
      </c>
      <c r="J8" s="16">
        <f t="shared" si="2"/>
        <v>0</v>
      </c>
      <c r="K8" s="14">
        <v>0</v>
      </c>
      <c r="L8" s="15">
        <v>1</v>
      </c>
      <c r="M8" s="16">
        <v>1</v>
      </c>
      <c r="N8" s="16">
        <f t="shared" si="3"/>
        <v>0</v>
      </c>
      <c r="O8" s="14">
        <v>0</v>
      </c>
      <c r="P8" s="15">
        <v>1</v>
      </c>
      <c r="Q8" s="16">
        <v>1</v>
      </c>
      <c r="R8" s="16">
        <f t="shared" si="4"/>
        <v>0</v>
      </c>
      <c r="S8" s="14">
        <v>0</v>
      </c>
      <c r="T8" s="15">
        <v>1</v>
      </c>
      <c r="U8" s="16">
        <v>1</v>
      </c>
      <c r="V8" s="16">
        <f t="shared" si="5"/>
        <v>0</v>
      </c>
      <c r="W8" s="14">
        <v>0</v>
      </c>
      <c r="X8" s="15">
        <v>3</v>
      </c>
      <c r="Y8" s="16">
        <v>3</v>
      </c>
      <c r="Z8" s="16">
        <f t="shared" si="6"/>
        <v>0</v>
      </c>
      <c r="AA8" s="14">
        <v>0</v>
      </c>
      <c r="AB8" s="15">
        <v>0</v>
      </c>
      <c r="AC8" s="16">
        <v>0</v>
      </c>
      <c r="AD8" s="16">
        <f t="shared" si="7"/>
        <v>0</v>
      </c>
      <c r="AE8" s="14">
        <v>0</v>
      </c>
      <c r="AF8" s="15">
        <v>3</v>
      </c>
      <c r="AG8" s="16">
        <v>3</v>
      </c>
      <c r="AH8" s="16">
        <f t="shared" si="8"/>
        <v>0</v>
      </c>
      <c r="AI8" s="14">
        <v>0</v>
      </c>
      <c r="AJ8" s="15">
        <v>0</v>
      </c>
      <c r="AK8" s="16">
        <v>0</v>
      </c>
      <c r="AL8" s="16">
        <f t="shared" si="9"/>
        <v>0</v>
      </c>
      <c r="AM8" s="14">
        <v>1</v>
      </c>
      <c r="AN8" s="15">
        <v>1</v>
      </c>
      <c r="AO8" s="16">
        <v>1</v>
      </c>
      <c r="AP8" s="16">
        <f t="shared" si="10"/>
        <v>0</v>
      </c>
      <c r="AQ8" s="14">
        <v>0</v>
      </c>
      <c r="AR8" s="15">
        <v>0</v>
      </c>
      <c r="AS8" s="16">
        <v>0</v>
      </c>
      <c r="AT8" s="16">
        <f t="shared" si="11"/>
        <v>0</v>
      </c>
      <c r="AU8" s="14">
        <v>0</v>
      </c>
      <c r="AV8" s="15">
        <v>0</v>
      </c>
      <c r="AW8" s="16">
        <v>0</v>
      </c>
      <c r="AX8" s="16">
        <f t="shared" si="12"/>
        <v>0</v>
      </c>
      <c r="AY8" s="14">
        <v>0</v>
      </c>
      <c r="AZ8" s="15">
        <v>1</v>
      </c>
      <c r="BA8" s="16">
        <v>1</v>
      </c>
      <c r="BB8" s="16">
        <f t="shared" si="13"/>
        <v>0</v>
      </c>
      <c r="BC8" s="14">
        <v>0</v>
      </c>
      <c r="BD8" s="15">
        <v>2</v>
      </c>
      <c r="BE8" s="16">
        <v>1</v>
      </c>
      <c r="BF8" s="16">
        <f t="shared" si="14"/>
        <v>1</v>
      </c>
      <c r="BG8" s="14">
        <v>0</v>
      </c>
      <c r="BH8" s="15">
        <v>0</v>
      </c>
      <c r="BI8" s="16">
        <v>0</v>
      </c>
      <c r="BJ8" s="16">
        <f t="shared" si="15"/>
        <v>0</v>
      </c>
      <c r="BK8" s="14">
        <v>0</v>
      </c>
      <c r="BL8" s="15">
        <v>0</v>
      </c>
      <c r="BM8" s="16">
        <v>0</v>
      </c>
      <c r="BN8" s="16">
        <f t="shared" si="16"/>
        <v>0</v>
      </c>
      <c r="BO8" s="14">
        <v>0</v>
      </c>
      <c r="BP8" s="15">
        <v>0</v>
      </c>
      <c r="BQ8" s="16">
        <v>0</v>
      </c>
      <c r="BR8" s="16">
        <f t="shared" si="17"/>
        <v>0</v>
      </c>
      <c r="BS8" s="14">
        <v>0</v>
      </c>
      <c r="BT8" s="15">
        <f t="shared" si="18"/>
        <v>15</v>
      </c>
      <c r="BU8" s="16">
        <f t="shared" si="19"/>
        <v>1</v>
      </c>
      <c r="BV8" s="16">
        <f t="shared" si="20"/>
        <v>1</v>
      </c>
      <c r="BW8" s="16">
        <f t="shared" si="21"/>
        <v>0.9375</v>
      </c>
      <c r="BX8" s="16">
        <f t="shared" si="22"/>
        <v>0.9375</v>
      </c>
      <c r="BY8" s="14">
        <f t="shared" si="23"/>
        <v>0.9375</v>
      </c>
      <c r="CC8" s="133" t="s">
        <v>80</v>
      </c>
      <c r="CD8">
        <f>AVERAGE(BW13:BW14)</f>
        <v>1</v>
      </c>
      <c r="CE8">
        <f t="shared" ref="CE8:CF8" si="28">AVERAGE(BX13:BX14)</f>
        <v>1</v>
      </c>
      <c r="CF8">
        <f t="shared" si="28"/>
        <v>1</v>
      </c>
    </row>
    <row r="9" spans="1:84" x14ac:dyDescent="0.35">
      <c r="A9" s="52" t="s">
        <v>48</v>
      </c>
      <c r="B9" s="148"/>
      <c r="C9" s="17" t="s">
        <v>29</v>
      </c>
      <c r="D9" s="18">
        <v>1</v>
      </c>
      <c r="E9" s="19">
        <v>1</v>
      </c>
      <c r="F9" s="19">
        <f t="shared" si="1"/>
        <v>0</v>
      </c>
      <c r="G9" s="17">
        <v>0</v>
      </c>
      <c r="H9" s="18">
        <v>0</v>
      </c>
      <c r="I9" s="19">
        <v>0</v>
      </c>
      <c r="J9" s="19">
        <f t="shared" si="2"/>
        <v>0</v>
      </c>
      <c r="K9" s="17">
        <v>0</v>
      </c>
      <c r="L9" s="18">
        <v>0</v>
      </c>
      <c r="M9" s="19">
        <v>0</v>
      </c>
      <c r="N9" s="19">
        <f t="shared" si="3"/>
        <v>0</v>
      </c>
      <c r="O9" s="17">
        <v>0</v>
      </c>
      <c r="P9" s="18">
        <v>0</v>
      </c>
      <c r="Q9" s="19">
        <v>0</v>
      </c>
      <c r="R9" s="19">
        <f t="shared" si="4"/>
        <v>0</v>
      </c>
      <c r="S9" s="17">
        <v>0</v>
      </c>
      <c r="T9" s="18">
        <v>0</v>
      </c>
      <c r="U9" s="19">
        <v>0</v>
      </c>
      <c r="V9" s="19">
        <f t="shared" si="5"/>
        <v>0</v>
      </c>
      <c r="W9" s="17">
        <v>0</v>
      </c>
      <c r="X9" s="18">
        <v>3</v>
      </c>
      <c r="Y9" s="19">
        <v>3</v>
      </c>
      <c r="Z9" s="19">
        <f t="shared" si="6"/>
        <v>0</v>
      </c>
      <c r="AA9" s="17">
        <v>0</v>
      </c>
      <c r="AB9" s="18">
        <v>4</v>
      </c>
      <c r="AC9" s="19">
        <v>3</v>
      </c>
      <c r="AD9" s="19">
        <f t="shared" si="7"/>
        <v>1</v>
      </c>
      <c r="AE9" s="17">
        <v>0</v>
      </c>
      <c r="AF9" s="18">
        <v>3</v>
      </c>
      <c r="AG9" s="19">
        <v>3</v>
      </c>
      <c r="AH9" s="19">
        <f t="shared" si="8"/>
        <v>0</v>
      </c>
      <c r="AI9" s="17">
        <v>0</v>
      </c>
      <c r="AJ9" s="18">
        <v>0</v>
      </c>
      <c r="AK9" s="19">
        <v>0</v>
      </c>
      <c r="AL9" s="19">
        <f t="shared" si="9"/>
        <v>0</v>
      </c>
      <c r="AM9" s="17">
        <v>0</v>
      </c>
      <c r="AN9" s="18">
        <v>0</v>
      </c>
      <c r="AO9" s="19">
        <v>0</v>
      </c>
      <c r="AP9" s="19">
        <f t="shared" si="10"/>
        <v>0</v>
      </c>
      <c r="AQ9" s="17">
        <v>0</v>
      </c>
      <c r="AR9" s="18">
        <v>0</v>
      </c>
      <c r="AS9" s="19">
        <v>0</v>
      </c>
      <c r="AT9" s="19">
        <f t="shared" si="11"/>
        <v>0</v>
      </c>
      <c r="AU9" s="17">
        <v>1</v>
      </c>
      <c r="AV9" s="18">
        <v>0</v>
      </c>
      <c r="AW9" s="19">
        <v>0</v>
      </c>
      <c r="AX9" s="19">
        <f t="shared" si="12"/>
        <v>0</v>
      </c>
      <c r="AY9" s="17">
        <v>0</v>
      </c>
      <c r="AZ9" s="18">
        <v>0</v>
      </c>
      <c r="BA9" s="19">
        <v>0</v>
      </c>
      <c r="BB9" s="19">
        <f t="shared" si="13"/>
        <v>0</v>
      </c>
      <c r="BC9" s="17">
        <v>1</v>
      </c>
      <c r="BD9" s="18">
        <v>0</v>
      </c>
      <c r="BE9" s="19">
        <v>0</v>
      </c>
      <c r="BF9" s="19">
        <f t="shared" si="14"/>
        <v>0</v>
      </c>
      <c r="BG9" s="17">
        <v>0</v>
      </c>
      <c r="BH9" s="18">
        <v>1</v>
      </c>
      <c r="BI9" s="19">
        <v>1</v>
      </c>
      <c r="BJ9" s="19">
        <f t="shared" si="15"/>
        <v>0</v>
      </c>
      <c r="BK9" s="17">
        <v>0</v>
      </c>
      <c r="BL9" s="18">
        <v>0</v>
      </c>
      <c r="BM9" s="19">
        <v>0</v>
      </c>
      <c r="BN9" s="19">
        <f t="shared" si="16"/>
        <v>0</v>
      </c>
      <c r="BO9" s="17">
        <v>1</v>
      </c>
      <c r="BP9" s="18">
        <v>0</v>
      </c>
      <c r="BQ9" s="19">
        <v>0</v>
      </c>
      <c r="BR9" s="19">
        <f t="shared" si="17"/>
        <v>0</v>
      </c>
      <c r="BS9" s="17">
        <v>0</v>
      </c>
      <c r="BT9" s="18">
        <f t="shared" si="18"/>
        <v>11</v>
      </c>
      <c r="BU9" s="19">
        <f t="shared" si="19"/>
        <v>1</v>
      </c>
      <c r="BV9" s="19">
        <f t="shared" si="20"/>
        <v>3</v>
      </c>
      <c r="BW9" s="19">
        <f t="shared" si="21"/>
        <v>0.91666666666666663</v>
      </c>
      <c r="BX9" s="19">
        <f t="shared" si="22"/>
        <v>0.7857142857142857</v>
      </c>
      <c r="BY9" s="17">
        <f t="shared" si="23"/>
        <v>0.84615384615384615</v>
      </c>
      <c r="CC9" s="133" t="s">
        <v>81</v>
      </c>
      <c r="CD9">
        <f>AVERAGE(BW15:BW16)</f>
        <v>0.92307692307692313</v>
      </c>
      <c r="CE9">
        <f t="shared" ref="CE9:CF9" si="29">AVERAGE(BX15:BX16)</f>
        <v>0.85641025641025648</v>
      </c>
      <c r="CF9">
        <f t="shared" si="29"/>
        <v>0.88736263736263732</v>
      </c>
    </row>
    <row r="10" spans="1:84" x14ac:dyDescent="0.35">
      <c r="A10" s="52" t="s">
        <v>48</v>
      </c>
      <c r="B10" s="148"/>
      <c r="C10" s="17" t="s">
        <v>45</v>
      </c>
      <c r="D10" s="18">
        <v>1</v>
      </c>
      <c r="E10" s="19">
        <v>1</v>
      </c>
      <c r="F10" s="19">
        <f t="shared" si="1"/>
        <v>0</v>
      </c>
      <c r="G10" s="17">
        <v>0</v>
      </c>
      <c r="H10" s="18">
        <v>0</v>
      </c>
      <c r="I10" s="19">
        <v>0</v>
      </c>
      <c r="J10" s="19">
        <f t="shared" si="2"/>
        <v>0</v>
      </c>
      <c r="K10" s="17">
        <v>0</v>
      </c>
      <c r="L10" s="18">
        <v>0</v>
      </c>
      <c r="M10" s="19">
        <v>0</v>
      </c>
      <c r="N10" s="19">
        <f t="shared" si="3"/>
        <v>0</v>
      </c>
      <c r="O10" s="17">
        <v>0</v>
      </c>
      <c r="P10" s="18">
        <v>0</v>
      </c>
      <c r="Q10" s="19">
        <v>0</v>
      </c>
      <c r="R10" s="19">
        <f t="shared" si="4"/>
        <v>0</v>
      </c>
      <c r="S10" s="17">
        <v>0</v>
      </c>
      <c r="T10" s="18">
        <v>0</v>
      </c>
      <c r="U10" s="19">
        <v>0</v>
      </c>
      <c r="V10" s="19">
        <f t="shared" si="5"/>
        <v>0</v>
      </c>
      <c r="W10" s="17">
        <v>0</v>
      </c>
      <c r="X10" s="18">
        <v>3</v>
      </c>
      <c r="Y10" s="19">
        <v>3</v>
      </c>
      <c r="Z10" s="19">
        <f t="shared" si="6"/>
        <v>0</v>
      </c>
      <c r="AA10" s="17">
        <v>0</v>
      </c>
      <c r="AB10" s="18">
        <v>4</v>
      </c>
      <c r="AC10" s="19">
        <v>3</v>
      </c>
      <c r="AD10" s="19">
        <f t="shared" si="7"/>
        <v>1</v>
      </c>
      <c r="AE10" s="17">
        <v>0</v>
      </c>
      <c r="AF10" s="18">
        <v>3</v>
      </c>
      <c r="AG10" s="19">
        <v>3</v>
      </c>
      <c r="AH10" s="19">
        <f t="shared" si="8"/>
        <v>0</v>
      </c>
      <c r="AI10" s="17">
        <v>0</v>
      </c>
      <c r="AJ10" s="18">
        <v>0</v>
      </c>
      <c r="AK10" s="19">
        <v>0</v>
      </c>
      <c r="AL10" s="19">
        <f t="shared" si="9"/>
        <v>0</v>
      </c>
      <c r="AM10" s="17">
        <v>0</v>
      </c>
      <c r="AN10" s="18">
        <v>0</v>
      </c>
      <c r="AO10" s="19">
        <v>0</v>
      </c>
      <c r="AP10" s="19">
        <f t="shared" si="10"/>
        <v>0</v>
      </c>
      <c r="AQ10" s="17">
        <v>3</v>
      </c>
      <c r="AR10" s="18">
        <v>0</v>
      </c>
      <c r="AS10" s="19">
        <v>0</v>
      </c>
      <c r="AT10" s="19">
        <f t="shared" si="11"/>
        <v>0</v>
      </c>
      <c r="AU10" s="17">
        <v>1</v>
      </c>
      <c r="AV10" s="18">
        <v>0</v>
      </c>
      <c r="AW10" s="19">
        <v>0</v>
      </c>
      <c r="AX10" s="19">
        <f t="shared" si="12"/>
        <v>0</v>
      </c>
      <c r="AY10" s="17">
        <v>0</v>
      </c>
      <c r="AZ10" s="18">
        <v>0</v>
      </c>
      <c r="BA10" s="19">
        <v>0</v>
      </c>
      <c r="BB10" s="19">
        <f t="shared" si="13"/>
        <v>0</v>
      </c>
      <c r="BC10" s="17">
        <v>1</v>
      </c>
      <c r="BD10" s="18">
        <v>0</v>
      </c>
      <c r="BE10" s="19">
        <v>0</v>
      </c>
      <c r="BF10" s="19">
        <f t="shared" si="14"/>
        <v>0</v>
      </c>
      <c r="BG10" s="17">
        <v>0</v>
      </c>
      <c r="BH10" s="18">
        <v>1</v>
      </c>
      <c r="BI10" s="19">
        <v>1</v>
      </c>
      <c r="BJ10" s="19">
        <f t="shared" si="15"/>
        <v>0</v>
      </c>
      <c r="BK10" s="17">
        <v>0</v>
      </c>
      <c r="BL10" s="18">
        <v>0</v>
      </c>
      <c r="BM10" s="19">
        <v>0</v>
      </c>
      <c r="BN10" s="19">
        <f t="shared" si="16"/>
        <v>0</v>
      </c>
      <c r="BO10" s="17">
        <v>0</v>
      </c>
      <c r="BP10" s="18">
        <v>0</v>
      </c>
      <c r="BQ10" s="19">
        <v>0</v>
      </c>
      <c r="BR10" s="19">
        <f t="shared" si="17"/>
        <v>0</v>
      </c>
      <c r="BS10" s="17">
        <v>0</v>
      </c>
      <c r="BT10" s="18">
        <f t="shared" si="18"/>
        <v>11</v>
      </c>
      <c r="BU10" s="19">
        <f t="shared" si="19"/>
        <v>1</v>
      </c>
      <c r="BV10" s="19">
        <f t="shared" si="20"/>
        <v>5</v>
      </c>
      <c r="BW10" s="19">
        <f t="shared" si="21"/>
        <v>0.91666666666666663</v>
      </c>
      <c r="BX10" s="19">
        <f t="shared" si="22"/>
        <v>0.6875</v>
      </c>
      <c r="BY10" s="17">
        <f t="shared" si="23"/>
        <v>0.7857142857142857</v>
      </c>
      <c r="CC10" s="133" t="s">
        <v>82</v>
      </c>
      <c r="CD10">
        <f>AVERAGE(BW17:BW18)</f>
        <v>0.90909090909090906</v>
      </c>
      <c r="CE10">
        <f t="shared" ref="CE10:CF10" si="30">AVERAGE(BX17:BX18)</f>
        <v>0.83333333333333337</v>
      </c>
      <c r="CF10">
        <f t="shared" si="30"/>
        <v>0.86956521739130432</v>
      </c>
    </row>
    <row r="11" spans="1:84" x14ac:dyDescent="0.35">
      <c r="A11" s="53" t="s">
        <v>48</v>
      </c>
      <c r="B11" s="148"/>
      <c r="C11" s="20" t="s">
        <v>30</v>
      </c>
      <c r="D11" s="21">
        <v>2</v>
      </c>
      <c r="E11" s="22">
        <v>2</v>
      </c>
      <c r="F11" s="22">
        <f t="shared" si="1"/>
        <v>0</v>
      </c>
      <c r="G11" s="20">
        <v>0</v>
      </c>
      <c r="H11" s="21">
        <v>1</v>
      </c>
      <c r="I11" s="22">
        <v>1</v>
      </c>
      <c r="J11" s="22">
        <f t="shared" si="2"/>
        <v>0</v>
      </c>
      <c r="K11" s="20">
        <v>1</v>
      </c>
      <c r="L11" s="21">
        <v>2</v>
      </c>
      <c r="M11" s="22">
        <v>2</v>
      </c>
      <c r="N11" s="22">
        <f t="shared" si="3"/>
        <v>0</v>
      </c>
      <c r="O11" s="20">
        <v>2</v>
      </c>
      <c r="P11" s="21">
        <v>2</v>
      </c>
      <c r="Q11" s="22">
        <v>2</v>
      </c>
      <c r="R11" s="22">
        <f t="shared" si="4"/>
        <v>0</v>
      </c>
      <c r="S11" s="20">
        <v>2</v>
      </c>
      <c r="T11" s="21">
        <v>2</v>
      </c>
      <c r="U11" s="22">
        <v>2</v>
      </c>
      <c r="V11" s="22">
        <f t="shared" si="5"/>
        <v>0</v>
      </c>
      <c r="W11" s="20">
        <v>0</v>
      </c>
      <c r="X11" s="21">
        <v>4</v>
      </c>
      <c r="Y11" s="22">
        <v>4</v>
      </c>
      <c r="Z11" s="22">
        <f t="shared" si="6"/>
        <v>0</v>
      </c>
      <c r="AA11" s="20">
        <v>2</v>
      </c>
      <c r="AB11" s="21">
        <v>0</v>
      </c>
      <c r="AC11" s="22">
        <v>0</v>
      </c>
      <c r="AD11" s="22">
        <f t="shared" si="7"/>
        <v>0</v>
      </c>
      <c r="AE11" s="20">
        <v>0</v>
      </c>
      <c r="AF11" s="21">
        <v>4</v>
      </c>
      <c r="AG11" s="22">
        <v>4</v>
      </c>
      <c r="AH11" s="22">
        <f t="shared" si="8"/>
        <v>0</v>
      </c>
      <c r="AI11" s="20">
        <v>0</v>
      </c>
      <c r="AJ11" s="21">
        <v>1</v>
      </c>
      <c r="AK11" s="22">
        <v>1</v>
      </c>
      <c r="AL11" s="22">
        <f t="shared" si="9"/>
        <v>0</v>
      </c>
      <c r="AM11" s="20">
        <v>0</v>
      </c>
      <c r="AN11" s="21">
        <v>0</v>
      </c>
      <c r="AO11" s="22">
        <v>0</v>
      </c>
      <c r="AP11" s="22">
        <f t="shared" si="10"/>
        <v>0</v>
      </c>
      <c r="AQ11" s="20">
        <v>0</v>
      </c>
      <c r="AR11" s="21">
        <v>0</v>
      </c>
      <c r="AS11" s="22">
        <v>0</v>
      </c>
      <c r="AT11" s="22">
        <f t="shared" si="11"/>
        <v>0</v>
      </c>
      <c r="AU11" s="20">
        <v>0</v>
      </c>
      <c r="AV11" s="21">
        <v>0</v>
      </c>
      <c r="AW11" s="22">
        <v>0</v>
      </c>
      <c r="AX11" s="22">
        <f t="shared" si="12"/>
        <v>0</v>
      </c>
      <c r="AY11" s="20">
        <v>0</v>
      </c>
      <c r="AZ11" s="21">
        <v>1</v>
      </c>
      <c r="BA11" s="22">
        <v>1</v>
      </c>
      <c r="BB11" s="22">
        <f t="shared" si="13"/>
        <v>0</v>
      </c>
      <c r="BC11" s="20">
        <v>0</v>
      </c>
      <c r="BD11" s="21">
        <v>2</v>
      </c>
      <c r="BE11" s="22">
        <v>1</v>
      </c>
      <c r="BF11" s="22">
        <f t="shared" si="14"/>
        <v>1</v>
      </c>
      <c r="BG11" s="20">
        <v>0</v>
      </c>
      <c r="BH11" s="21">
        <v>0</v>
      </c>
      <c r="BI11" s="22">
        <v>0</v>
      </c>
      <c r="BJ11" s="22">
        <f t="shared" si="15"/>
        <v>0</v>
      </c>
      <c r="BK11" s="20">
        <v>0</v>
      </c>
      <c r="BL11" s="21">
        <v>0</v>
      </c>
      <c r="BM11" s="22">
        <v>0</v>
      </c>
      <c r="BN11" s="22">
        <f t="shared" si="16"/>
        <v>0</v>
      </c>
      <c r="BO11" s="20">
        <v>0</v>
      </c>
      <c r="BP11" s="21">
        <v>0</v>
      </c>
      <c r="BQ11" s="22">
        <v>0</v>
      </c>
      <c r="BR11" s="22">
        <f t="shared" si="17"/>
        <v>0</v>
      </c>
      <c r="BS11" s="20">
        <v>0</v>
      </c>
      <c r="BT11" s="21">
        <f t="shared" si="18"/>
        <v>20</v>
      </c>
      <c r="BU11" s="22">
        <f t="shared" si="19"/>
        <v>1</v>
      </c>
      <c r="BV11" s="22">
        <f t="shared" si="20"/>
        <v>7</v>
      </c>
      <c r="BW11" s="22">
        <f t="shared" si="21"/>
        <v>0.95238095238095233</v>
      </c>
      <c r="BX11" s="22">
        <f t="shared" si="22"/>
        <v>0.7407407407407407</v>
      </c>
      <c r="BY11" s="20">
        <f t="shared" si="23"/>
        <v>0.83333333333333337</v>
      </c>
      <c r="CC11" s="133" t="s">
        <v>83</v>
      </c>
      <c r="CD11">
        <f>AVERAGE(BW19:BW20)</f>
        <v>0.75</v>
      </c>
      <c r="CE11">
        <f t="shared" ref="CE11:CF11" si="31">AVERAGE(BX19:BX20)</f>
        <v>0.65625</v>
      </c>
      <c r="CF11">
        <f t="shared" si="31"/>
        <v>0.6964285714285714</v>
      </c>
    </row>
    <row r="12" spans="1:84" x14ac:dyDescent="0.35">
      <c r="A12" s="53" t="s">
        <v>48</v>
      </c>
      <c r="B12" s="148"/>
      <c r="C12" s="20" t="s">
        <v>63</v>
      </c>
      <c r="D12" s="21">
        <v>2</v>
      </c>
      <c r="E12" s="22">
        <v>2</v>
      </c>
      <c r="F12" s="22">
        <f t="shared" si="1"/>
        <v>0</v>
      </c>
      <c r="G12" s="20">
        <v>0</v>
      </c>
      <c r="H12" s="21">
        <v>1</v>
      </c>
      <c r="I12" s="22">
        <v>0</v>
      </c>
      <c r="J12" s="22">
        <f>H12-I12</f>
        <v>1</v>
      </c>
      <c r="K12" s="20">
        <v>0</v>
      </c>
      <c r="L12" s="21">
        <v>2</v>
      </c>
      <c r="M12" s="22">
        <v>0</v>
      </c>
      <c r="N12" s="22">
        <f t="shared" si="3"/>
        <v>2</v>
      </c>
      <c r="O12" s="20">
        <v>0</v>
      </c>
      <c r="P12" s="21">
        <v>2</v>
      </c>
      <c r="Q12" s="22">
        <v>2</v>
      </c>
      <c r="R12" s="22">
        <f>P12-Q12</f>
        <v>0</v>
      </c>
      <c r="S12" s="20">
        <v>0</v>
      </c>
      <c r="T12" s="21">
        <v>2</v>
      </c>
      <c r="U12" s="22">
        <v>2</v>
      </c>
      <c r="V12" s="22">
        <f t="shared" si="5"/>
        <v>0</v>
      </c>
      <c r="W12" s="20">
        <v>0</v>
      </c>
      <c r="X12" s="21">
        <v>4</v>
      </c>
      <c r="Y12" s="22">
        <v>4</v>
      </c>
      <c r="Z12" s="22">
        <f t="shared" si="6"/>
        <v>0</v>
      </c>
      <c r="AA12" s="20">
        <v>0</v>
      </c>
      <c r="AB12" s="21">
        <v>0</v>
      </c>
      <c r="AC12" s="22">
        <v>0</v>
      </c>
      <c r="AD12" s="22">
        <f t="shared" si="7"/>
        <v>0</v>
      </c>
      <c r="AE12" s="20">
        <v>0</v>
      </c>
      <c r="AF12" s="21">
        <v>4</v>
      </c>
      <c r="AG12" s="22">
        <v>4</v>
      </c>
      <c r="AH12" s="22">
        <f t="shared" si="8"/>
        <v>0</v>
      </c>
      <c r="AI12" s="20">
        <v>0</v>
      </c>
      <c r="AJ12" s="21">
        <v>1</v>
      </c>
      <c r="AK12" s="22">
        <v>1</v>
      </c>
      <c r="AL12" s="22">
        <f t="shared" si="9"/>
        <v>0</v>
      </c>
      <c r="AM12" s="20">
        <v>0</v>
      </c>
      <c r="AN12" s="21">
        <v>0</v>
      </c>
      <c r="AO12" s="22">
        <v>0</v>
      </c>
      <c r="AP12" s="22">
        <f t="shared" si="10"/>
        <v>0</v>
      </c>
      <c r="AQ12" s="20">
        <v>0</v>
      </c>
      <c r="AR12" s="21">
        <v>0</v>
      </c>
      <c r="AS12" s="22">
        <v>0</v>
      </c>
      <c r="AT12" s="22">
        <f t="shared" si="11"/>
        <v>0</v>
      </c>
      <c r="AU12" s="20">
        <v>0</v>
      </c>
      <c r="AV12" s="21">
        <v>0</v>
      </c>
      <c r="AW12" s="22">
        <v>0</v>
      </c>
      <c r="AX12" s="22">
        <f>AV12-AW12</f>
        <v>0</v>
      </c>
      <c r="AY12" s="20">
        <v>0</v>
      </c>
      <c r="AZ12" s="21">
        <v>1</v>
      </c>
      <c r="BA12" s="22">
        <v>0</v>
      </c>
      <c r="BB12" s="22">
        <f t="shared" si="13"/>
        <v>1</v>
      </c>
      <c r="BC12" s="20">
        <v>1</v>
      </c>
      <c r="BD12" s="21">
        <v>2</v>
      </c>
      <c r="BE12" s="22">
        <v>1</v>
      </c>
      <c r="BF12" s="22">
        <f t="shared" si="14"/>
        <v>1</v>
      </c>
      <c r="BG12" s="20">
        <v>0</v>
      </c>
      <c r="BH12" s="21">
        <v>0</v>
      </c>
      <c r="BI12" s="22">
        <v>0</v>
      </c>
      <c r="BJ12" s="22">
        <f t="shared" si="15"/>
        <v>0</v>
      </c>
      <c r="BK12" s="20">
        <v>0</v>
      </c>
      <c r="BL12" s="21">
        <v>0</v>
      </c>
      <c r="BM12" s="22">
        <v>0</v>
      </c>
      <c r="BN12" s="22">
        <f t="shared" si="16"/>
        <v>0</v>
      </c>
      <c r="BO12" s="20">
        <v>0</v>
      </c>
      <c r="BP12" s="21">
        <v>0</v>
      </c>
      <c r="BQ12" s="22">
        <v>0</v>
      </c>
      <c r="BR12" s="22">
        <f t="shared" si="17"/>
        <v>0</v>
      </c>
      <c r="BS12" s="20">
        <v>0</v>
      </c>
      <c r="BT12" s="21">
        <f t="shared" si="18"/>
        <v>16</v>
      </c>
      <c r="BU12" s="22">
        <f t="shared" si="19"/>
        <v>5</v>
      </c>
      <c r="BV12" s="22">
        <f t="shared" si="20"/>
        <v>1</v>
      </c>
      <c r="BW12" s="22">
        <f t="shared" si="21"/>
        <v>0.76190476190476186</v>
      </c>
      <c r="BX12" s="22">
        <f t="shared" si="22"/>
        <v>0.94117647058823528</v>
      </c>
      <c r="BY12" s="20">
        <f t="shared" si="23"/>
        <v>0.84210526315789469</v>
      </c>
      <c r="CC12" s="133" t="s">
        <v>84</v>
      </c>
      <c r="CD12">
        <f>AVERAGE(BW21:BW22)</f>
        <v>0.47058823529411764</v>
      </c>
      <c r="CE12">
        <f t="shared" ref="CE12:CF12" si="32">AVERAGE(BX21:BX22)</f>
        <v>0.55238095238095242</v>
      </c>
      <c r="CF12">
        <f t="shared" si="32"/>
        <v>0.50806451612903225</v>
      </c>
    </row>
    <row r="13" spans="1:84" x14ac:dyDescent="0.35">
      <c r="A13" s="54" t="s">
        <v>48</v>
      </c>
      <c r="B13" s="148"/>
      <c r="C13" s="23" t="s">
        <v>31</v>
      </c>
      <c r="D13" s="24">
        <v>4</v>
      </c>
      <c r="E13" s="25">
        <v>4</v>
      </c>
      <c r="F13" s="25">
        <f t="shared" si="1"/>
        <v>0</v>
      </c>
      <c r="G13" s="23">
        <v>0</v>
      </c>
      <c r="H13" s="24">
        <v>0</v>
      </c>
      <c r="I13" s="25">
        <v>0</v>
      </c>
      <c r="J13" s="25">
        <f t="shared" si="2"/>
        <v>0</v>
      </c>
      <c r="K13" s="23">
        <v>0</v>
      </c>
      <c r="L13" s="24">
        <v>0</v>
      </c>
      <c r="M13" s="25">
        <v>0</v>
      </c>
      <c r="N13" s="25">
        <f t="shared" si="3"/>
        <v>0</v>
      </c>
      <c r="O13" s="23">
        <v>0</v>
      </c>
      <c r="P13" s="24">
        <v>0</v>
      </c>
      <c r="Q13" s="25">
        <v>0</v>
      </c>
      <c r="R13" s="25">
        <f t="shared" si="4"/>
        <v>0</v>
      </c>
      <c r="S13" s="23">
        <v>0</v>
      </c>
      <c r="T13" s="24">
        <v>0</v>
      </c>
      <c r="U13" s="25">
        <v>0</v>
      </c>
      <c r="V13" s="25">
        <f t="shared" si="5"/>
        <v>0</v>
      </c>
      <c r="W13" s="23">
        <v>0</v>
      </c>
      <c r="X13" s="24">
        <v>4</v>
      </c>
      <c r="Y13" s="25">
        <v>4</v>
      </c>
      <c r="Z13" s="25">
        <f t="shared" si="6"/>
        <v>0</v>
      </c>
      <c r="AA13" s="23">
        <v>0</v>
      </c>
      <c r="AB13" s="24">
        <v>0</v>
      </c>
      <c r="AC13" s="25">
        <v>0</v>
      </c>
      <c r="AD13" s="25">
        <f t="shared" si="7"/>
        <v>0</v>
      </c>
      <c r="AE13" s="23">
        <v>0</v>
      </c>
      <c r="AF13" s="24">
        <v>4</v>
      </c>
      <c r="AG13" s="25">
        <v>4</v>
      </c>
      <c r="AH13" s="25">
        <f t="shared" si="8"/>
        <v>0</v>
      </c>
      <c r="AI13" s="23">
        <v>0</v>
      </c>
      <c r="AJ13" s="24">
        <v>3</v>
      </c>
      <c r="AK13" s="25">
        <v>3</v>
      </c>
      <c r="AL13" s="25">
        <f t="shared" si="9"/>
        <v>0</v>
      </c>
      <c r="AM13" s="23">
        <v>0</v>
      </c>
      <c r="AN13" s="24">
        <v>0</v>
      </c>
      <c r="AO13" s="25">
        <v>0</v>
      </c>
      <c r="AP13" s="25">
        <f t="shared" si="10"/>
        <v>0</v>
      </c>
      <c r="AQ13" s="23">
        <v>0</v>
      </c>
      <c r="AR13" s="24">
        <v>0</v>
      </c>
      <c r="AS13" s="25">
        <v>0</v>
      </c>
      <c r="AT13" s="25">
        <f t="shared" si="11"/>
        <v>0</v>
      </c>
      <c r="AU13" s="23">
        <v>0</v>
      </c>
      <c r="AV13" s="24">
        <v>0</v>
      </c>
      <c r="AW13" s="25">
        <v>0</v>
      </c>
      <c r="AX13" s="25">
        <f t="shared" si="12"/>
        <v>0</v>
      </c>
      <c r="AY13" s="23">
        <v>0</v>
      </c>
      <c r="AZ13" s="24">
        <v>3</v>
      </c>
      <c r="BA13" s="25">
        <v>3</v>
      </c>
      <c r="BB13" s="25">
        <f t="shared" si="13"/>
        <v>0</v>
      </c>
      <c r="BC13" s="23">
        <v>0</v>
      </c>
      <c r="BD13" s="24">
        <v>0</v>
      </c>
      <c r="BE13" s="25">
        <v>0</v>
      </c>
      <c r="BF13" s="25">
        <f t="shared" si="14"/>
        <v>0</v>
      </c>
      <c r="BG13" s="23">
        <v>0</v>
      </c>
      <c r="BH13" s="24">
        <v>0</v>
      </c>
      <c r="BI13" s="25">
        <v>0</v>
      </c>
      <c r="BJ13" s="25">
        <f t="shared" si="15"/>
        <v>0</v>
      </c>
      <c r="BK13" s="23">
        <v>0</v>
      </c>
      <c r="BL13" s="24">
        <v>0</v>
      </c>
      <c r="BM13" s="25">
        <v>0</v>
      </c>
      <c r="BN13" s="25">
        <f t="shared" si="16"/>
        <v>0</v>
      </c>
      <c r="BO13" s="23">
        <v>0</v>
      </c>
      <c r="BP13" s="24">
        <v>0</v>
      </c>
      <c r="BQ13" s="25">
        <v>0</v>
      </c>
      <c r="BR13" s="25">
        <f t="shared" si="17"/>
        <v>0</v>
      </c>
      <c r="BS13" s="23">
        <v>0</v>
      </c>
      <c r="BT13" s="24">
        <f t="shared" si="18"/>
        <v>18</v>
      </c>
      <c r="BU13" s="25">
        <f t="shared" si="19"/>
        <v>0</v>
      </c>
      <c r="BV13" s="25">
        <f t="shared" si="20"/>
        <v>0</v>
      </c>
      <c r="BW13" s="25">
        <f t="shared" si="21"/>
        <v>1</v>
      </c>
      <c r="BX13" s="25">
        <f t="shared" si="22"/>
        <v>1</v>
      </c>
      <c r="BY13" s="23">
        <f t="shared" si="23"/>
        <v>1</v>
      </c>
      <c r="CC13" s="133" t="s">
        <v>85</v>
      </c>
      <c r="CD13">
        <f>AVERAGE(BW23:BW24)</f>
        <v>0.72727272727272729</v>
      </c>
      <c r="CE13">
        <f t="shared" ref="CE13:CF13" si="33">AVERAGE(BX23:BX24)</f>
        <v>0.72727272727272729</v>
      </c>
      <c r="CF13">
        <f t="shared" si="33"/>
        <v>0.72727272727272729</v>
      </c>
    </row>
    <row r="14" spans="1:84" x14ac:dyDescent="0.35">
      <c r="A14" s="54" t="s">
        <v>48</v>
      </c>
      <c r="B14" s="148"/>
      <c r="C14" s="23" t="s">
        <v>64</v>
      </c>
      <c r="D14" s="24">
        <v>4</v>
      </c>
      <c r="E14" s="25">
        <v>4</v>
      </c>
      <c r="F14" s="25">
        <f t="shared" si="1"/>
        <v>0</v>
      </c>
      <c r="G14" s="23">
        <v>0</v>
      </c>
      <c r="H14" s="24">
        <v>0</v>
      </c>
      <c r="I14" s="24">
        <v>0</v>
      </c>
      <c r="J14" s="24">
        <v>0</v>
      </c>
      <c r="K14" s="23">
        <v>0</v>
      </c>
      <c r="L14" s="24">
        <v>0</v>
      </c>
      <c r="M14" s="24">
        <v>0</v>
      </c>
      <c r="N14" s="24">
        <v>0</v>
      </c>
      <c r="O14" s="23">
        <v>0</v>
      </c>
      <c r="P14" s="24">
        <v>0</v>
      </c>
      <c r="Q14" s="25">
        <v>0</v>
      </c>
      <c r="R14" s="25">
        <f t="shared" si="4"/>
        <v>0</v>
      </c>
      <c r="S14" s="23">
        <v>0</v>
      </c>
      <c r="T14" s="24">
        <v>0</v>
      </c>
      <c r="U14" s="25">
        <v>0</v>
      </c>
      <c r="V14" s="25">
        <v>0</v>
      </c>
      <c r="W14" s="23">
        <v>0</v>
      </c>
      <c r="X14" s="24">
        <v>4</v>
      </c>
      <c r="Y14" s="24">
        <v>4</v>
      </c>
      <c r="Z14" s="24">
        <f>X14-Y14</f>
        <v>0</v>
      </c>
      <c r="AA14" s="23">
        <v>0</v>
      </c>
      <c r="AB14" s="24">
        <v>0</v>
      </c>
      <c r="AC14" s="24">
        <v>0</v>
      </c>
      <c r="AD14" s="24">
        <f>AB14-AC14</f>
        <v>0</v>
      </c>
      <c r="AE14" s="23">
        <v>0</v>
      </c>
      <c r="AF14" s="24">
        <v>4</v>
      </c>
      <c r="AG14" s="24">
        <v>4</v>
      </c>
      <c r="AH14" s="24">
        <f>AF14-AG14</f>
        <v>0</v>
      </c>
      <c r="AI14" s="23">
        <v>0</v>
      </c>
      <c r="AJ14" s="24">
        <v>3</v>
      </c>
      <c r="AK14" s="24">
        <v>3</v>
      </c>
      <c r="AL14" s="24">
        <f>AJ14-AK14</f>
        <v>0</v>
      </c>
      <c r="AM14" s="23">
        <v>0</v>
      </c>
      <c r="AN14" s="24">
        <v>0</v>
      </c>
      <c r="AO14" s="24">
        <v>0</v>
      </c>
      <c r="AP14" s="24">
        <f>AN14-AO14</f>
        <v>0</v>
      </c>
      <c r="AQ14" s="23">
        <v>0</v>
      </c>
      <c r="AR14" s="24">
        <v>0</v>
      </c>
      <c r="AS14" s="25">
        <v>0</v>
      </c>
      <c r="AT14" s="25">
        <f t="shared" si="11"/>
        <v>0</v>
      </c>
      <c r="AU14" s="23">
        <v>0</v>
      </c>
      <c r="AV14" s="24">
        <v>0</v>
      </c>
      <c r="AW14" s="25">
        <v>0</v>
      </c>
      <c r="AX14" s="25">
        <f t="shared" si="12"/>
        <v>0</v>
      </c>
      <c r="AY14" s="23">
        <v>0</v>
      </c>
      <c r="AZ14" s="24">
        <v>3</v>
      </c>
      <c r="BA14" s="25">
        <v>3</v>
      </c>
      <c r="BB14" s="25">
        <f t="shared" si="13"/>
        <v>0</v>
      </c>
      <c r="BC14" s="23">
        <v>0</v>
      </c>
      <c r="BD14" s="24">
        <v>0</v>
      </c>
      <c r="BE14" s="25">
        <v>0</v>
      </c>
      <c r="BF14" s="25">
        <f t="shared" si="14"/>
        <v>0</v>
      </c>
      <c r="BG14" s="23">
        <v>0</v>
      </c>
      <c r="BH14" s="24">
        <v>0</v>
      </c>
      <c r="BI14" s="25">
        <v>0</v>
      </c>
      <c r="BJ14" s="25">
        <f t="shared" si="15"/>
        <v>0</v>
      </c>
      <c r="BK14" s="23">
        <v>0</v>
      </c>
      <c r="BL14" s="24">
        <v>0</v>
      </c>
      <c r="BM14" s="25">
        <v>0</v>
      </c>
      <c r="BN14" s="25">
        <f t="shared" si="16"/>
        <v>0</v>
      </c>
      <c r="BO14" s="23">
        <v>0</v>
      </c>
      <c r="BP14" s="24">
        <v>0</v>
      </c>
      <c r="BQ14" s="25">
        <v>0</v>
      </c>
      <c r="BR14" s="25">
        <f t="shared" si="17"/>
        <v>0</v>
      </c>
      <c r="BS14" s="23">
        <v>0</v>
      </c>
      <c r="BT14" s="24">
        <f t="shared" si="18"/>
        <v>18</v>
      </c>
      <c r="BU14" s="25">
        <f t="shared" si="19"/>
        <v>0</v>
      </c>
      <c r="BV14" s="25">
        <f t="shared" si="20"/>
        <v>0</v>
      </c>
      <c r="BW14" s="25">
        <f t="shared" si="21"/>
        <v>1</v>
      </c>
      <c r="BX14" s="25">
        <f t="shared" si="22"/>
        <v>1</v>
      </c>
      <c r="BY14" s="23">
        <f t="shared" si="23"/>
        <v>1</v>
      </c>
      <c r="CC14" s="133" t="s">
        <v>86</v>
      </c>
      <c r="CD14">
        <f>AVERAGE(BW25:BW26)</f>
        <v>0.78125</v>
      </c>
      <c r="CE14">
        <f t="shared" ref="CE14:CF14" si="34">AVERAGE(BX25:BX26)</f>
        <v>0.78125</v>
      </c>
      <c r="CF14">
        <f t="shared" si="34"/>
        <v>0.78125</v>
      </c>
    </row>
    <row r="15" spans="1:84" x14ac:dyDescent="0.35">
      <c r="A15" s="55" t="s">
        <v>48</v>
      </c>
      <c r="B15" s="148"/>
      <c r="C15" s="26" t="s">
        <v>32</v>
      </c>
      <c r="D15" s="27">
        <v>3</v>
      </c>
      <c r="E15" s="28">
        <v>3</v>
      </c>
      <c r="F15" s="28">
        <f t="shared" si="1"/>
        <v>0</v>
      </c>
      <c r="G15" s="26">
        <v>0</v>
      </c>
      <c r="H15" s="27">
        <v>0</v>
      </c>
      <c r="I15" s="27">
        <v>0</v>
      </c>
      <c r="J15" s="27">
        <f t="shared" si="2"/>
        <v>0</v>
      </c>
      <c r="K15" s="26">
        <v>0</v>
      </c>
      <c r="L15" s="27">
        <v>0</v>
      </c>
      <c r="M15" s="27">
        <v>0</v>
      </c>
      <c r="N15" s="27">
        <f t="shared" si="3"/>
        <v>0</v>
      </c>
      <c r="O15" s="26">
        <v>0</v>
      </c>
      <c r="P15" s="27">
        <v>0</v>
      </c>
      <c r="Q15" s="28">
        <v>0</v>
      </c>
      <c r="R15" s="28">
        <f t="shared" si="4"/>
        <v>0</v>
      </c>
      <c r="S15" s="26">
        <v>0</v>
      </c>
      <c r="T15" s="27">
        <v>0</v>
      </c>
      <c r="U15" s="28">
        <v>0</v>
      </c>
      <c r="V15" s="28">
        <f t="shared" si="5"/>
        <v>0</v>
      </c>
      <c r="W15" s="26">
        <v>0</v>
      </c>
      <c r="X15" s="27">
        <v>3</v>
      </c>
      <c r="Y15" s="27">
        <v>3</v>
      </c>
      <c r="Z15" s="27">
        <f t="shared" si="6"/>
        <v>0</v>
      </c>
      <c r="AA15" s="26">
        <v>0</v>
      </c>
      <c r="AB15" s="27">
        <v>0</v>
      </c>
      <c r="AC15" s="27">
        <v>0</v>
      </c>
      <c r="AD15" s="27">
        <f t="shared" si="7"/>
        <v>0</v>
      </c>
      <c r="AE15" s="26">
        <v>0</v>
      </c>
      <c r="AF15" s="27">
        <v>3</v>
      </c>
      <c r="AG15" s="27">
        <v>3</v>
      </c>
      <c r="AH15" s="27">
        <f t="shared" si="8"/>
        <v>0</v>
      </c>
      <c r="AI15" s="26">
        <v>0</v>
      </c>
      <c r="AJ15" s="27">
        <v>2</v>
      </c>
      <c r="AK15" s="27">
        <v>2</v>
      </c>
      <c r="AL15" s="27">
        <f t="shared" si="9"/>
        <v>0</v>
      </c>
      <c r="AM15" s="26">
        <v>0</v>
      </c>
      <c r="AN15" s="27">
        <v>0</v>
      </c>
      <c r="AO15" s="27">
        <v>0</v>
      </c>
      <c r="AP15" s="27">
        <f t="shared" si="10"/>
        <v>0</v>
      </c>
      <c r="AQ15" s="26">
        <v>0</v>
      </c>
      <c r="AR15" s="27">
        <v>0</v>
      </c>
      <c r="AS15" s="28">
        <v>0</v>
      </c>
      <c r="AT15" s="28">
        <f t="shared" si="11"/>
        <v>0</v>
      </c>
      <c r="AU15" s="26">
        <v>0</v>
      </c>
      <c r="AV15" s="27">
        <v>0</v>
      </c>
      <c r="AW15" s="28">
        <v>0</v>
      </c>
      <c r="AX15" s="28">
        <f t="shared" si="12"/>
        <v>0</v>
      </c>
      <c r="AY15" s="26">
        <v>0</v>
      </c>
      <c r="AZ15" s="27">
        <v>2</v>
      </c>
      <c r="BA15" s="28">
        <v>0</v>
      </c>
      <c r="BB15" s="28">
        <f t="shared" si="13"/>
        <v>2</v>
      </c>
      <c r="BC15" s="26">
        <v>2</v>
      </c>
      <c r="BD15" s="27">
        <v>0</v>
      </c>
      <c r="BE15" s="28">
        <v>0</v>
      </c>
      <c r="BF15" s="28">
        <f t="shared" si="14"/>
        <v>0</v>
      </c>
      <c r="BG15" s="26">
        <v>0</v>
      </c>
      <c r="BH15" s="27">
        <v>0</v>
      </c>
      <c r="BI15" s="28">
        <v>0</v>
      </c>
      <c r="BJ15" s="28">
        <f t="shared" si="15"/>
        <v>0</v>
      </c>
      <c r="BK15" s="26">
        <v>0</v>
      </c>
      <c r="BL15" s="27">
        <v>0</v>
      </c>
      <c r="BM15" s="28">
        <v>0</v>
      </c>
      <c r="BN15" s="28">
        <f t="shared" si="16"/>
        <v>0</v>
      </c>
      <c r="BO15" s="26">
        <v>0</v>
      </c>
      <c r="BP15" s="27">
        <v>0</v>
      </c>
      <c r="BQ15" s="28">
        <v>0</v>
      </c>
      <c r="BR15" s="28">
        <f t="shared" si="17"/>
        <v>0</v>
      </c>
      <c r="BS15" s="26">
        <v>0</v>
      </c>
      <c r="BT15" s="27">
        <f t="shared" si="18"/>
        <v>11</v>
      </c>
      <c r="BU15" s="28">
        <f t="shared" si="19"/>
        <v>2</v>
      </c>
      <c r="BV15" s="28">
        <f t="shared" si="20"/>
        <v>2</v>
      </c>
      <c r="BW15" s="28">
        <f t="shared" si="21"/>
        <v>0.84615384615384615</v>
      </c>
      <c r="BX15" s="28">
        <f t="shared" si="22"/>
        <v>0.84615384615384615</v>
      </c>
      <c r="BY15" s="26">
        <f t="shared" si="23"/>
        <v>0.84615384615384615</v>
      </c>
      <c r="CC15" s="133" t="s">
        <v>87</v>
      </c>
      <c r="CD15">
        <f>AVERAGE(BW27:BW28)</f>
        <v>0.7857142857142857</v>
      </c>
      <c r="CE15">
        <f t="shared" ref="CE15:CF15" si="35">AVERAGE(BX27:BX28)</f>
        <v>0.85119047619047616</v>
      </c>
      <c r="CF15">
        <f t="shared" si="35"/>
        <v>0.81593406593406592</v>
      </c>
    </row>
    <row r="16" spans="1:84" x14ac:dyDescent="0.35">
      <c r="A16" s="55" t="s">
        <v>48</v>
      </c>
      <c r="B16" s="148"/>
      <c r="C16" s="26" t="s">
        <v>65</v>
      </c>
      <c r="D16" s="27">
        <v>3</v>
      </c>
      <c r="E16" s="28">
        <v>3</v>
      </c>
      <c r="F16" s="28">
        <f t="shared" si="1"/>
        <v>0</v>
      </c>
      <c r="G16" s="26">
        <v>0</v>
      </c>
      <c r="H16" s="27">
        <v>0</v>
      </c>
      <c r="I16" s="27">
        <v>0</v>
      </c>
      <c r="J16" s="27">
        <f t="shared" si="2"/>
        <v>0</v>
      </c>
      <c r="K16" s="26">
        <v>0</v>
      </c>
      <c r="L16" s="27">
        <v>0</v>
      </c>
      <c r="M16" s="27">
        <v>0</v>
      </c>
      <c r="N16" s="27">
        <f t="shared" si="3"/>
        <v>0</v>
      </c>
      <c r="O16" s="26">
        <v>0</v>
      </c>
      <c r="P16" s="27">
        <v>0</v>
      </c>
      <c r="Q16" s="28">
        <v>0</v>
      </c>
      <c r="R16" s="28">
        <f t="shared" si="4"/>
        <v>0</v>
      </c>
      <c r="S16" s="26">
        <v>0</v>
      </c>
      <c r="T16" s="27">
        <v>0</v>
      </c>
      <c r="U16" s="28">
        <v>0</v>
      </c>
      <c r="V16" s="28">
        <f t="shared" si="5"/>
        <v>0</v>
      </c>
      <c r="W16" s="26">
        <v>0</v>
      </c>
      <c r="X16" s="27">
        <v>3</v>
      </c>
      <c r="Y16" s="27">
        <v>3</v>
      </c>
      <c r="Z16" s="27">
        <v>0</v>
      </c>
      <c r="AA16" s="26">
        <v>2</v>
      </c>
      <c r="AB16" s="27">
        <v>0</v>
      </c>
      <c r="AC16" s="27">
        <v>0</v>
      </c>
      <c r="AD16" s="27">
        <f t="shared" si="7"/>
        <v>0</v>
      </c>
      <c r="AE16" s="26">
        <v>0</v>
      </c>
      <c r="AF16" s="27">
        <v>3</v>
      </c>
      <c r="AG16" s="27">
        <v>3</v>
      </c>
      <c r="AH16" s="27">
        <f t="shared" si="8"/>
        <v>0</v>
      </c>
      <c r="AI16" s="26">
        <v>0</v>
      </c>
      <c r="AJ16" s="27">
        <v>2</v>
      </c>
      <c r="AK16" s="27">
        <v>2</v>
      </c>
      <c r="AL16" s="27">
        <f t="shared" si="9"/>
        <v>0</v>
      </c>
      <c r="AM16" s="26">
        <v>0</v>
      </c>
      <c r="AN16" s="27">
        <v>0</v>
      </c>
      <c r="AO16" s="27">
        <v>0</v>
      </c>
      <c r="AP16" s="27">
        <f t="shared" si="10"/>
        <v>0</v>
      </c>
      <c r="AQ16" s="26">
        <v>0</v>
      </c>
      <c r="AR16" s="27">
        <v>0</v>
      </c>
      <c r="AS16" s="28">
        <v>0</v>
      </c>
      <c r="AT16" s="28">
        <f t="shared" si="11"/>
        <v>0</v>
      </c>
      <c r="AU16" s="26">
        <v>0</v>
      </c>
      <c r="AV16" s="27">
        <v>0</v>
      </c>
      <c r="AW16" s="28">
        <v>0</v>
      </c>
      <c r="AX16" s="28">
        <f t="shared" si="12"/>
        <v>0</v>
      </c>
      <c r="AY16" s="26">
        <v>0</v>
      </c>
      <c r="AZ16" s="27">
        <v>2</v>
      </c>
      <c r="BA16" s="28">
        <v>2</v>
      </c>
      <c r="BB16" s="28">
        <f t="shared" si="13"/>
        <v>0</v>
      </c>
      <c r="BC16" s="26">
        <v>0</v>
      </c>
      <c r="BD16" s="27">
        <v>0</v>
      </c>
      <c r="BE16" s="28">
        <v>0</v>
      </c>
      <c r="BF16" s="28">
        <f t="shared" si="14"/>
        <v>0</v>
      </c>
      <c r="BG16" s="26">
        <v>0</v>
      </c>
      <c r="BH16" s="27">
        <v>0</v>
      </c>
      <c r="BI16" s="28">
        <v>0</v>
      </c>
      <c r="BJ16" s="28">
        <f t="shared" si="15"/>
        <v>0</v>
      </c>
      <c r="BK16" s="26">
        <v>0</v>
      </c>
      <c r="BL16" s="27">
        <v>0</v>
      </c>
      <c r="BM16" s="28">
        <v>0</v>
      </c>
      <c r="BN16" s="28">
        <f t="shared" si="16"/>
        <v>0</v>
      </c>
      <c r="BO16" s="26">
        <v>0</v>
      </c>
      <c r="BP16" s="27">
        <v>0</v>
      </c>
      <c r="BQ16" s="28">
        <v>0</v>
      </c>
      <c r="BR16" s="28">
        <f t="shared" si="17"/>
        <v>0</v>
      </c>
      <c r="BS16" s="26">
        <v>0</v>
      </c>
      <c r="BT16" s="27">
        <f t="shared" si="18"/>
        <v>13</v>
      </c>
      <c r="BU16" s="28">
        <f t="shared" si="19"/>
        <v>0</v>
      </c>
      <c r="BV16" s="28">
        <f t="shared" si="20"/>
        <v>2</v>
      </c>
      <c r="BW16" s="28">
        <f t="shared" si="21"/>
        <v>1</v>
      </c>
      <c r="BX16" s="28">
        <f t="shared" si="22"/>
        <v>0.8666666666666667</v>
      </c>
      <c r="BY16" s="26">
        <f t="shared" si="23"/>
        <v>0.9285714285714286</v>
      </c>
      <c r="CC16" s="133" t="s">
        <v>88</v>
      </c>
      <c r="CD16">
        <f>AVERAGE(BW29:BW30)</f>
        <v>0.81818181818181823</v>
      </c>
      <c r="CE16">
        <f t="shared" ref="CE16:CF16" si="36">AVERAGE(BX29:BX30)</f>
        <v>0.94736842105263153</v>
      </c>
      <c r="CF16">
        <f t="shared" si="36"/>
        <v>0.87804878048780488</v>
      </c>
    </row>
    <row r="17" spans="1:84" x14ac:dyDescent="0.35">
      <c r="A17" s="56" t="s">
        <v>48</v>
      </c>
      <c r="B17" s="148"/>
      <c r="C17" s="29" t="s">
        <v>33</v>
      </c>
      <c r="D17" s="30">
        <v>2</v>
      </c>
      <c r="E17" s="31">
        <v>2</v>
      </c>
      <c r="F17" s="31">
        <f t="shared" si="1"/>
        <v>0</v>
      </c>
      <c r="G17" s="29">
        <v>0</v>
      </c>
      <c r="H17" s="30">
        <v>2</v>
      </c>
      <c r="I17" s="31">
        <v>2</v>
      </c>
      <c r="J17" s="31">
        <f t="shared" si="2"/>
        <v>0</v>
      </c>
      <c r="K17" s="29">
        <v>0</v>
      </c>
      <c r="L17" s="30">
        <v>1</v>
      </c>
      <c r="M17" s="31">
        <v>1</v>
      </c>
      <c r="N17" s="31">
        <f t="shared" si="3"/>
        <v>0</v>
      </c>
      <c r="O17" s="29">
        <v>0</v>
      </c>
      <c r="P17" s="30">
        <v>1</v>
      </c>
      <c r="Q17" s="31">
        <v>1</v>
      </c>
      <c r="R17" s="31">
        <f t="shared" si="4"/>
        <v>0</v>
      </c>
      <c r="S17" s="29">
        <v>1</v>
      </c>
      <c r="T17" s="30">
        <v>1</v>
      </c>
      <c r="U17" s="31">
        <v>1</v>
      </c>
      <c r="V17" s="31">
        <f t="shared" si="5"/>
        <v>0</v>
      </c>
      <c r="W17" s="29">
        <v>0</v>
      </c>
      <c r="X17" s="30">
        <v>1</v>
      </c>
      <c r="Y17" s="31">
        <v>1</v>
      </c>
      <c r="Z17" s="31">
        <f t="shared" si="6"/>
        <v>0</v>
      </c>
      <c r="AA17" s="29">
        <v>0</v>
      </c>
      <c r="AB17" s="30">
        <v>0</v>
      </c>
      <c r="AC17" s="31">
        <v>0</v>
      </c>
      <c r="AD17" s="31">
        <f t="shared" si="7"/>
        <v>0</v>
      </c>
      <c r="AE17" s="29">
        <v>0</v>
      </c>
      <c r="AF17" s="30">
        <v>1</v>
      </c>
      <c r="AG17" s="31">
        <v>1</v>
      </c>
      <c r="AH17" s="31">
        <f t="shared" si="8"/>
        <v>0</v>
      </c>
      <c r="AI17" s="29">
        <v>0</v>
      </c>
      <c r="AJ17" s="30">
        <v>0</v>
      </c>
      <c r="AK17" s="31">
        <v>0</v>
      </c>
      <c r="AL17" s="31">
        <f t="shared" si="9"/>
        <v>0</v>
      </c>
      <c r="AM17" s="29">
        <v>0</v>
      </c>
      <c r="AN17" s="30">
        <v>0</v>
      </c>
      <c r="AO17" s="31">
        <v>0</v>
      </c>
      <c r="AP17" s="31">
        <f t="shared" si="10"/>
        <v>0</v>
      </c>
      <c r="AQ17" s="29">
        <v>0</v>
      </c>
      <c r="AR17" s="30">
        <v>0</v>
      </c>
      <c r="AS17" s="31">
        <v>0</v>
      </c>
      <c r="AT17" s="31">
        <f t="shared" si="11"/>
        <v>0</v>
      </c>
      <c r="AU17" s="29">
        <v>0</v>
      </c>
      <c r="AV17" s="30">
        <v>1</v>
      </c>
      <c r="AW17" s="31">
        <v>1</v>
      </c>
      <c r="AX17" s="31">
        <f t="shared" si="12"/>
        <v>0</v>
      </c>
      <c r="AY17" s="29">
        <v>0</v>
      </c>
      <c r="AZ17" s="30">
        <v>1</v>
      </c>
      <c r="BA17" s="31">
        <v>0</v>
      </c>
      <c r="BB17" s="31">
        <f t="shared" si="13"/>
        <v>1</v>
      </c>
      <c r="BC17" s="29">
        <v>1</v>
      </c>
      <c r="BD17" s="30">
        <v>0</v>
      </c>
      <c r="BE17" s="31">
        <v>0</v>
      </c>
      <c r="BF17" s="31">
        <f t="shared" si="14"/>
        <v>0</v>
      </c>
      <c r="BG17" s="29">
        <v>0</v>
      </c>
      <c r="BH17" s="30">
        <v>0</v>
      </c>
      <c r="BI17" s="31">
        <v>0</v>
      </c>
      <c r="BJ17" s="31">
        <f t="shared" si="15"/>
        <v>0</v>
      </c>
      <c r="BK17" s="29">
        <v>0</v>
      </c>
      <c r="BL17" s="30">
        <v>0</v>
      </c>
      <c r="BM17" s="31">
        <v>0</v>
      </c>
      <c r="BN17" s="31">
        <f t="shared" si="16"/>
        <v>0</v>
      </c>
      <c r="BO17" s="29">
        <v>0</v>
      </c>
      <c r="BP17" s="30">
        <v>0</v>
      </c>
      <c r="BQ17" s="31">
        <v>0</v>
      </c>
      <c r="BR17" s="31">
        <f t="shared" si="17"/>
        <v>0</v>
      </c>
      <c r="BS17" s="29">
        <v>0</v>
      </c>
      <c r="BT17" s="30">
        <f t="shared" si="18"/>
        <v>10</v>
      </c>
      <c r="BU17" s="31">
        <f t="shared" si="19"/>
        <v>1</v>
      </c>
      <c r="BV17" s="31">
        <f t="shared" si="20"/>
        <v>2</v>
      </c>
      <c r="BW17" s="31">
        <f t="shared" si="21"/>
        <v>0.90909090909090906</v>
      </c>
      <c r="BX17" s="31">
        <f t="shared" si="22"/>
        <v>0.83333333333333337</v>
      </c>
      <c r="BY17" s="29">
        <f t="shared" si="23"/>
        <v>0.86956521739130432</v>
      </c>
      <c r="CC17" s="133" t="s">
        <v>89</v>
      </c>
      <c r="CD17">
        <f>AVERAGE(BW31:BW32)</f>
        <v>0.75</v>
      </c>
      <c r="CE17">
        <f t="shared" ref="CE17:CF17" si="37">AVERAGE(BX31:BX32)</f>
        <v>0.9</v>
      </c>
      <c r="CF17">
        <f t="shared" si="37"/>
        <v>0.81818181818181823</v>
      </c>
    </row>
    <row r="18" spans="1:84" x14ac:dyDescent="0.35">
      <c r="A18" s="56" t="s">
        <v>48</v>
      </c>
      <c r="B18" s="148"/>
      <c r="C18" s="29" t="s">
        <v>66</v>
      </c>
      <c r="D18" s="30">
        <v>2</v>
      </c>
      <c r="E18" s="31">
        <v>2</v>
      </c>
      <c r="F18" s="31">
        <f t="shared" si="1"/>
        <v>0</v>
      </c>
      <c r="G18" s="29">
        <v>0</v>
      </c>
      <c r="H18" s="30">
        <v>2</v>
      </c>
      <c r="I18" s="31">
        <v>2</v>
      </c>
      <c r="J18" s="31">
        <f t="shared" si="2"/>
        <v>0</v>
      </c>
      <c r="K18" s="29">
        <v>0</v>
      </c>
      <c r="L18" s="30">
        <v>1</v>
      </c>
      <c r="M18" s="31">
        <v>1</v>
      </c>
      <c r="N18" s="31">
        <f t="shared" si="3"/>
        <v>0</v>
      </c>
      <c r="O18" s="29">
        <v>0</v>
      </c>
      <c r="P18" s="30">
        <v>1</v>
      </c>
      <c r="Q18" s="31">
        <v>1</v>
      </c>
      <c r="R18" s="31">
        <f t="shared" si="4"/>
        <v>0</v>
      </c>
      <c r="S18" s="29">
        <v>1</v>
      </c>
      <c r="T18" s="30">
        <v>1</v>
      </c>
      <c r="U18" s="31">
        <v>1</v>
      </c>
      <c r="V18" s="31">
        <f t="shared" si="5"/>
        <v>0</v>
      </c>
      <c r="W18" s="29">
        <v>0</v>
      </c>
      <c r="X18" s="30">
        <v>1</v>
      </c>
      <c r="Y18" s="31">
        <v>1</v>
      </c>
      <c r="Z18" s="31">
        <f t="shared" si="6"/>
        <v>0</v>
      </c>
      <c r="AA18" s="29">
        <v>0</v>
      </c>
      <c r="AB18" s="30">
        <v>0</v>
      </c>
      <c r="AC18" s="31">
        <v>0</v>
      </c>
      <c r="AD18" s="31">
        <f t="shared" si="7"/>
        <v>0</v>
      </c>
      <c r="AE18" s="29">
        <v>0</v>
      </c>
      <c r="AF18" s="30">
        <v>1</v>
      </c>
      <c r="AG18" s="31">
        <v>1</v>
      </c>
      <c r="AH18" s="31">
        <f t="shared" si="8"/>
        <v>0</v>
      </c>
      <c r="AI18" s="29">
        <v>0</v>
      </c>
      <c r="AJ18" s="30">
        <v>0</v>
      </c>
      <c r="AK18" s="31">
        <v>0</v>
      </c>
      <c r="AL18" s="31">
        <f t="shared" si="9"/>
        <v>0</v>
      </c>
      <c r="AM18" s="29">
        <v>0</v>
      </c>
      <c r="AN18" s="30">
        <v>0</v>
      </c>
      <c r="AO18" s="31">
        <v>0</v>
      </c>
      <c r="AP18" s="31">
        <f t="shared" si="10"/>
        <v>0</v>
      </c>
      <c r="AQ18" s="29">
        <v>0</v>
      </c>
      <c r="AR18" s="30">
        <v>0</v>
      </c>
      <c r="AS18" s="31">
        <v>0</v>
      </c>
      <c r="AT18" s="31">
        <f t="shared" si="11"/>
        <v>0</v>
      </c>
      <c r="AU18" s="29">
        <v>0</v>
      </c>
      <c r="AV18" s="30">
        <v>1</v>
      </c>
      <c r="AW18" s="31">
        <v>1</v>
      </c>
      <c r="AX18" s="31">
        <f t="shared" si="12"/>
        <v>0</v>
      </c>
      <c r="AY18" s="29">
        <v>0</v>
      </c>
      <c r="AZ18" s="30">
        <v>1</v>
      </c>
      <c r="BA18" s="31">
        <v>0</v>
      </c>
      <c r="BB18" s="31">
        <f t="shared" si="13"/>
        <v>1</v>
      </c>
      <c r="BC18" s="29">
        <v>1</v>
      </c>
      <c r="BD18" s="30">
        <v>0</v>
      </c>
      <c r="BE18" s="31">
        <v>0</v>
      </c>
      <c r="BF18" s="31">
        <f t="shared" si="14"/>
        <v>0</v>
      </c>
      <c r="BG18" s="29">
        <v>0</v>
      </c>
      <c r="BH18" s="30">
        <v>0</v>
      </c>
      <c r="BI18" s="31">
        <v>0</v>
      </c>
      <c r="BJ18" s="31">
        <f t="shared" si="15"/>
        <v>0</v>
      </c>
      <c r="BK18" s="29">
        <v>0</v>
      </c>
      <c r="BL18" s="30">
        <v>0</v>
      </c>
      <c r="BM18" s="31">
        <v>0</v>
      </c>
      <c r="BN18" s="31">
        <f>BL18-BM18</f>
        <v>0</v>
      </c>
      <c r="BO18" s="29">
        <v>0</v>
      </c>
      <c r="BP18" s="30">
        <v>0</v>
      </c>
      <c r="BQ18" s="31">
        <v>0</v>
      </c>
      <c r="BR18" s="31">
        <f t="shared" si="17"/>
        <v>0</v>
      </c>
      <c r="BS18" s="29">
        <v>0</v>
      </c>
      <c r="BT18" s="30">
        <f t="shared" si="18"/>
        <v>10</v>
      </c>
      <c r="BU18" s="31">
        <f t="shared" si="19"/>
        <v>1</v>
      </c>
      <c r="BV18" s="31">
        <f t="shared" si="20"/>
        <v>2</v>
      </c>
      <c r="BW18" s="31">
        <f t="shared" si="21"/>
        <v>0.90909090909090906</v>
      </c>
      <c r="BX18" s="31">
        <f t="shared" si="22"/>
        <v>0.83333333333333337</v>
      </c>
      <c r="BY18" s="29">
        <f t="shared" si="23"/>
        <v>0.86956521739130432</v>
      </c>
      <c r="CC18" s="133" t="s">
        <v>90</v>
      </c>
      <c r="CD18">
        <f>AVERAGE(BW33:BW34)</f>
        <v>0.625</v>
      </c>
      <c r="CE18">
        <f t="shared" ref="CE18:CF18" si="38">AVERAGE(BX33:BX34)</f>
        <v>0.90909090909090917</v>
      </c>
      <c r="CF18">
        <f t="shared" si="38"/>
        <v>0.72463768115942018</v>
      </c>
    </row>
    <row r="19" spans="1:84" x14ac:dyDescent="0.35">
      <c r="A19" s="57" t="s">
        <v>48</v>
      </c>
      <c r="B19" s="148"/>
      <c r="C19" s="32" t="s">
        <v>34</v>
      </c>
      <c r="D19" s="33">
        <v>2</v>
      </c>
      <c r="E19" s="34">
        <v>2</v>
      </c>
      <c r="F19" s="34">
        <f t="shared" si="1"/>
        <v>0</v>
      </c>
      <c r="G19" s="32">
        <v>0</v>
      </c>
      <c r="H19" s="33">
        <v>2</v>
      </c>
      <c r="I19" s="34">
        <v>1</v>
      </c>
      <c r="J19" s="34">
        <f t="shared" si="2"/>
        <v>1</v>
      </c>
      <c r="K19" s="32">
        <v>0</v>
      </c>
      <c r="L19" s="33">
        <v>1</v>
      </c>
      <c r="M19" s="34">
        <v>1</v>
      </c>
      <c r="N19" s="34">
        <f t="shared" si="3"/>
        <v>0</v>
      </c>
      <c r="O19" s="32">
        <v>0</v>
      </c>
      <c r="P19" s="33">
        <v>1</v>
      </c>
      <c r="Q19" s="34">
        <v>1</v>
      </c>
      <c r="R19" s="34">
        <f t="shared" si="4"/>
        <v>0</v>
      </c>
      <c r="S19" s="32">
        <v>1</v>
      </c>
      <c r="T19" s="33">
        <v>1</v>
      </c>
      <c r="U19" s="34">
        <v>1</v>
      </c>
      <c r="V19" s="34">
        <f t="shared" si="5"/>
        <v>0</v>
      </c>
      <c r="W19" s="32">
        <v>0</v>
      </c>
      <c r="X19" s="33">
        <v>1</v>
      </c>
      <c r="Y19" s="34">
        <v>1</v>
      </c>
      <c r="Z19" s="34">
        <f t="shared" si="6"/>
        <v>0</v>
      </c>
      <c r="AA19" s="32">
        <v>0</v>
      </c>
      <c r="AB19" s="33">
        <v>1</v>
      </c>
      <c r="AC19" s="34">
        <v>1</v>
      </c>
      <c r="AD19" s="34">
        <f t="shared" si="7"/>
        <v>0</v>
      </c>
      <c r="AE19" s="32">
        <v>0</v>
      </c>
      <c r="AF19" s="33">
        <v>1</v>
      </c>
      <c r="AG19" s="34">
        <v>1</v>
      </c>
      <c r="AH19" s="34">
        <f t="shared" si="8"/>
        <v>0</v>
      </c>
      <c r="AI19" s="32">
        <v>0</v>
      </c>
      <c r="AJ19" s="33">
        <v>0</v>
      </c>
      <c r="AK19" s="34">
        <v>0</v>
      </c>
      <c r="AL19" s="34">
        <f t="shared" si="9"/>
        <v>0</v>
      </c>
      <c r="AM19" s="32">
        <v>0</v>
      </c>
      <c r="AN19" s="33">
        <v>0</v>
      </c>
      <c r="AO19" s="34">
        <v>0</v>
      </c>
      <c r="AP19" s="34">
        <f t="shared" si="10"/>
        <v>0</v>
      </c>
      <c r="AQ19" s="32">
        <v>0</v>
      </c>
      <c r="AR19" s="33">
        <v>0</v>
      </c>
      <c r="AS19" s="34">
        <v>0</v>
      </c>
      <c r="AT19" s="34">
        <f t="shared" si="11"/>
        <v>0</v>
      </c>
      <c r="AU19" s="32">
        <v>0</v>
      </c>
      <c r="AV19" s="33">
        <v>1</v>
      </c>
      <c r="AW19" s="34">
        <v>0</v>
      </c>
      <c r="AX19" s="34">
        <f t="shared" si="12"/>
        <v>1</v>
      </c>
      <c r="AY19" s="32">
        <v>2</v>
      </c>
      <c r="AZ19" s="33">
        <v>1</v>
      </c>
      <c r="BA19" s="34">
        <v>0</v>
      </c>
      <c r="BB19" s="34">
        <f t="shared" si="13"/>
        <v>1</v>
      </c>
      <c r="BC19" s="32">
        <v>3</v>
      </c>
      <c r="BD19" s="33">
        <v>0</v>
      </c>
      <c r="BE19" s="34">
        <v>0</v>
      </c>
      <c r="BF19" s="34">
        <f t="shared" si="14"/>
        <v>0</v>
      </c>
      <c r="BG19" s="32">
        <v>0</v>
      </c>
      <c r="BH19" s="33">
        <v>0</v>
      </c>
      <c r="BI19" s="34">
        <v>0</v>
      </c>
      <c r="BJ19" s="34">
        <f t="shared" si="15"/>
        <v>0</v>
      </c>
      <c r="BK19" s="32">
        <v>0</v>
      </c>
      <c r="BL19" s="33">
        <v>0</v>
      </c>
      <c r="BM19" s="34">
        <v>0</v>
      </c>
      <c r="BN19" s="34">
        <f t="shared" si="16"/>
        <v>0</v>
      </c>
      <c r="BO19" s="32">
        <v>0</v>
      </c>
      <c r="BP19" s="33">
        <v>0</v>
      </c>
      <c r="BQ19" s="34">
        <v>0</v>
      </c>
      <c r="BR19" s="34">
        <f t="shared" si="17"/>
        <v>0</v>
      </c>
      <c r="BS19" s="32">
        <v>1</v>
      </c>
      <c r="BT19" s="33">
        <f t="shared" si="18"/>
        <v>9</v>
      </c>
      <c r="BU19" s="34">
        <f t="shared" si="19"/>
        <v>3</v>
      </c>
      <c r="BV19" s="34">
        <f t="shared" si="20"/>
        <v>7</v>
      </c>
      <c r="BW19" s="34">
        <f t="shared" si="21"/>
        <v>0.75</v>
      </c>
      <c r="BX19" s="34">
        <f t="shared" si="22"/>
        <v>0.5625</v>
      </c>
      <c r="BY19" s="32">
        <f t="shared" si="23"/>
        <v>0.6428571428571429</v>
      </c>
      <c r="CC19" s="133" t="s">
        <v>57</v>
      </c>
      <c r="CD19">
        <f>AVERAGE(CD3:CD18)</f>
        <v>0.78915527640251903</v>
      </c>
      <c r="CE19">
        <f t="shared" ref="CE19:CF19" si="39">AVERAGE(CE3:CE18)</f>
        <v>0.82601036590974686</v>
      </c>
      <c r="CF19">
        <f t="shared" si="39"/>
        <v>0.79938279242110344</v>
      </c>
    </row>
    <row r="20" spans="1:84" x14ac:dyDescent="0.35">
      <c r="A20" s="57" t="s">
        <v>48</v>
      </c>
      <c r="B20" s="148"/>
      <c r="C20" s="32" t="s">
        <v>67</v>
      </c>
      <c r="D20" s="33">
        <v>2</v>
      </c>
      <c r="E20" s="34">
        <v>2</v>
      </c>
      <c r="F20" s="34">
        <f t="shared" si="1"/>
        <v>0</v>
      </c>
      <c r="G20" s="32">
        <v>0</v>
      </c>
      <c r="H20" s="33">
        <v>2</v>
      </c>
      <c r="I20" s="34">
        <v>1</v>
      </c>
      <c r="J20" s="34">
        <f t="shared" si="2"/>
        <v>1</v>
      </c>
      <c r="K20" s="32">
        <v>0</v>
      </c>
      <c r="L20" s="33">
        <v>1</v>
      </c>
      <c r="M20" s="34">
        <v>1</v>
      </c>
      <c r="N20" s="34">
        <f t="shared" si="3"/>
        <v>0</v>
      </c>
      <c r="O20" s="32">
        <v>0</v>
      </c>
      <c r="P20" s="33">
        <v>1</v>
      </c>
      <c r="Q20" s="34">
        <v>1</v>
      </c>
      <c r="R20" s="34">
        <f t="shared" si="4"/>
        <v>0</v>
      </c>
      <c r="S20" s="32">
        <v>1</v>
      </c>
      <c r="T20" s="33">
        <v>1</v>
      </c>
      <c r="U20" s="34">
        <v>1</v>
      </c>
      <c r="V20" s="34">
        <f t="shared" si="5"/>
        <v>0</v>
      </c>
      <c r="W20" s="32">
        <v>0</v>
      </c>
      <c r="X20" s="33">
        <v>1</v>
      </c>
      <c r="Y20" s="34">
        <v>1</v>
      </c>
      <c r="Z20" s="34">
        <f t="shared" si="6"/>
        <v>0</v>
      </c>
      <c r="AA20" s="32">
        <v>0</v>
      </c>
      <c r="AB20" s="33">
        <v>1</v>
      </c>
      <c r="AC20" s="34">
        <v>1</v>
      </c>
      <c r="AD20" s="34">
        <f t="shared" si="7"/>
        <v>0</v>
      </c>
      <c r="AE20" s="32">
        <v>0</v>
      </c>
      <c r="AF20" s="33">
        <v>1</v>
      </c>
      <c r="AG20" s="34">
        <v>1</v>
      </c>
      <c r="AH20" s="34">
        <f t="shared" si="8"/>
        <v>0</v>
      </c>
      <c r="AI20" s="32">
        <v>0</v>
      </c>
      <c r="AJ20" s="33">
        <v>0</v>
      </c>
      <c r="AK20" s="34">
        <v>0</v>
      </c>
      <c r="AL20" s="34">
        <f t="shared" si="9"/>
        <v>0</v>
      </c>
      <c r="AM20" s="32">
        <v>0</v>
      </c>
      <c r="AN20" s="33">
        <v>0</v>
      </c>
      <c r="AO20" s="34">
        <v>0</v>
      </c>
      <c r="AP20" s="34">
        <f t="shared" si="10"/>
        <v>0</v>
      </c>
      <c r="AQ20" s="32">
        <v>0</v>
      </c>
      <c r="AR20" s="33">
        <v>0</v>
      </c>
      <c r="AS20" s="34">
        <v>0</v>
      </c>
      <c r="AT20" s="34">
        <f t="shared" si="11"/>
        <v>0</v>
      </c>
      <c r="AU20" s="32">
        <v>0</v>
      </c>
      <c r="AV20" s="33">
        <v>1</v>
      </c>
      <c r="AW20" s="34">
        <v>0</v>
      </c>
      <c r="AX20" s="34">
        <f t="shared" si="12"/>
        <v>1</v>
      </c>
      <c r="AY20" s="32">
        <v>1</v>
      </c>
      <c r="AZ20" s="33">
        <v>1</v>
      </c>
      <c r="BA20" s="34">
        <v>0</v>
      </c>
      <c r="BB20" s="34">
        <f t="shared" si="13"/>
        <v>1</v>
      </c>
      <c r="BC20" s="32">
        <v>1</v>
      </c>
      <c r="BD20" s="33">
        <v>0</v>
      </c>
      <c r="BE20" s="34">
        <v>0</v>
      </c>
      <c r="BF20" s="34">
        <f t="shared" si="14"/>
        <v>0</v>
      </c>
      <c r="BG20" s="32">
        <v>0</v>
      </c>
      <c r="BH20" s="33">
        <v>0</v>
      </c>
      <c r="BI20" s="34">
        <v>0</v>
      </c>
      <c r="BJ20" s="34">
        <f t="shared" si="15"/>
        <v>0</v>
      </c>
      <c r="BK20" s="32">
        <v>0</v>
      </c>
      <c r="BL20" s="33">
        <v>0</v>
      </c>
      <c r="BM20" s="34">
        <v>0</v>
      </c>
      <c r="BN20" s="34">
        <f t="shared" si="16"/>
        <v>0</v>
      </c>
      <c r="BO20" s="32">
        <v>0</v>
      </c>
      <c r="BP20" s="33">
        <v>0</v>
      </c>
      <c r="BQ20" s="34">
        <v>0</v>
      </c>
      <c r="BR20" s="34">
        <f t="shared" si="17"/>
        <v>0</v>
      </c>
      <c r="BS20" s="32">
        <v>0</v>
      </c>
      <c r="BT20" s="33">
        <f t="shared" si="18"/>
        <v>9</v>
      </c>
      <c r="BU20" s="34">
        <f t="shared" si="19"/>
        <v>3</v>
      </c>
      <c r="BV20" s="34">
        <f t="shared" si="20"/>
        <v>3</v>
      </c>
      <c r="BW20" s="34">
        <f t="shared" si="21"/>
        <v>0.75</v>
      </c>
      <c r="BX20" s="34">
        <f t="shared" si="22"/>
        <v>0.75</v>
      </c>
      <c r="BY20" s="32">
        <f t="shared" si="23"/>
        <v>0.75</v>
      </c>
    </row>
    <row r="21" spans="1:84" x14ac:dyDescent="0.35">
      <c r="A21" s="58" t="s">
        <v>48</v>
      </c>
      <c r="B21" s="148"/>
      <c r="C21" s="35" t="s">
        <v>35</v>
      </c>
      <c r="D21" s="36">
        <v>2</v>
      </c>
      <c r="E21" s="37">
        <v>2</v>
      </c>
      <c r="F21" s="37">
        <f t="shared" si="1"/>
        <v>0</v>
      </c>
      <c r="G21" s="35">
        <v>0</v>
      </c>
      <c r="H21" s="36">
        <v>2</v>
      </c>
      <c r="I21" s="37">
        <v>0</v>
      </c>
      <c r="J21" s="37">
        <f t="shared" si="2"/>
        <v>2</v>
      </c>
      <c r="K21" s="35">
        <v>0</v>
      </c>
      <c r="L21" s="36">
        <v>3</v>
      </c>
      <c r="M21" s="37">
        <v>0</v>
      </c>
      <c r="N21" s="37">
        <f t="shared" si="3"/>
        <v>3</v>
      </c>
      <c r="O21" s="35">
        <v>0</v>
      </c>
      <c r="P21" s="36">
        <v>2</v>
      </c>
      <c r="Q21" s="37">
        <v>2</v>
      </c>
      <c r="R21" s="37">
        <f t="shared" si="4"/>
        <v>0</v>
      </c>
      <c r="S21" s="35">
        <v>1</v>
      </c>
      <c r="T21" s="36">
        <v>2</v>
      </c>
      <c r="U21" s="37">
        <v>0</v>
      </c>
      <c r="V21" s="37">
        <f t="shared" si="5"/>
        <v>2</v>
      </c>
      <c r="W21" s="35">
        <v>3</v>
      </c>
      <c r="X21" s="36">
        <v>2</v>
      </c>
      <c r="Y21" s="37">
        <v>2</v>
      </c>
      <c r="Z21" s="37">
        <f t="shared" si="6"/>
        <v>0</v>
      </c>
      <c r="AA21" s="35">
        <v>0</v>
      </c>
      <c r="AB21" s="36">
        <v>0</v>
      </c>
      <c r="AC21" s="37">
        <v>0</v>
      </c>
      <c r="AD21" s="37">
        <f t="shared" si="7"/>
        <v>0</v>
      </c>
      <c r="AE21" s="35">
        <v>0</v>
      </c>
      <c r="AF21" s="36">
        <v>2</v>
      </c>
      <c r="AG21" s="37">
        <v>2</v>
      </c>
      <c r="AH21" s="37">
        <f t="shared" si="8"/>
        <v>0</v>
      </c>
      <c r="AI21" s="35">
        <v>0</v>
      </c>
      <c r="AJ21" s="36">
        <v>0</v>
      </c>
      <c r="AK21" s="37">
        <v>0</v>
      </c>
      <c r="AL21" s="37">
        <f t="shared" si="9"/>
        <v>0</v>
      </c>
      <c r="AM21" s="35">
        <v>0</v>
      </c>
      <c r="AN21" s="36">
        <v>0</v>
      </c>
      <c r="AO21" s="37">
        <v>0</v>
      </c>
      <c r="AP21" s="37">
        <f t="shared" si="10"/>
        <v>0</v>
      </c>
      <c r="AQ21" s="35">
        <v>0</v>
      </c>
      <c r="AR21" s="36">
        <v>0</v>
      </c>
      <c r="AS21" s="37">
        <v>0</v>
      </c>
      <c r="AT21" s="37">
        <f t="shared" si="11"/>
        <v>0</v>
      </c>
      <c r="AU21" s="35">
        <v>0</v>
      </c>
      <c r="AV21" s="36">
        <v>1</v>
      </c>
      <c r="AW21" s="37">
        <v>0</v>
      </c>
      <c r="AX21" s="37">
        <f t="shared" si="12"/>
        <v>1</v>
      </c>
      <c r="AY21" s="35">
        <v>1</v>
      </c>
      <c r="AZ21" s="36">
        <v>1</v>
      </c>
      <c r="BA21" s="37">
        <v>0</v>
      </c>
      <c r="BB21" s="37">
        <f t="shared" si="13"/>
        <v>1</v>
      </c>
      <c r="BC21" s="35">
        <v>1</v>
      </c>
      <c r="BD21" s="36">
        <v>0</v>
      </c>
      <c r="BE21" s="37">
        <v>0</v>
      </c>
      <c r="BF21" s="37">
        <f t="shared" si="14"/>
        <v>0</v>
      </c>
      <c r="BG21" s="35">
        <v>0</v>
      </c>
      <c r="BH21" s="36">
        <v>0</v>
      </c>
      <c r="BI21" s="37">
        <v>0</v>
      </c>
      <c r="BJ21" s="37">
        <f t="shared" si="15"/>
        <v>0</v>
      </c>
      <c r="BK21" s="35">
        <v>0</v>
      </c>
      <c r="BL21" s="36">
        <v>0</v>
      </c>
      <c r="BM21" s="37">
        <v>0</v>
      </c>
      <c r="BN21" s="37">
        <f t="shared" si="16"/>
        <v>0</v>
      </c>
      <c r="BO21" s="35">
        <v>0</v>
      </c>
      <c r="BP21" s="36">
        <v>0</v>
      </c>
      <c r="BQ21" s="37">
        <v>0</v>
      </c>
      <c r="BR21" s="37">
        <f t="shared" si="17"/>
        <v>0</v>
      </c>
      <c r="BS21" s="35">
        <v>0</v>
      </c>
      <c r="BT21" s="36">
        <f t="shared" si="18"/>
        <v>8</v>
      </c>
      <c r="BU21" s="37">
        <f t="shared" si="19"/>
        <v>9</v>
      </c>
      <c r="BV21" s="37">
        <f t="shared" si="20"/>
        <v>6</v>
      </c>
      <c r="BW21" s="37">
        <f t="shared" si="21"/>
        <v>0.47058823529411764</v>
      </c>
      <c r="BX21" s="37">
        <f t="shared" si="22"/>
        <v>0.5714285714285714</v>
      </c>
      <c r="BY21" s="35">
        <f t="shared" si="23"/>
        <v>0.51612903225806461</v>
      </c>
    </row>
    <row r="22" spans="1:84" x14ac:dyDescent="0.35">
      <c r="A22" s="58" t="s">
        <v>48</v>
      </c>
      <c r="B22" s="148"/>
      <c r="C22" s="35" t="s">
        <v>68</v>
      </c>
      <c r="D22" s="36">
        <v>2</v>
      </c>
      <c r="E22" s="37">
        <v>2</v>
      </c>
      <c r="F22" s="37">
        <f t="shared" si="1"/>
        <v>0</v>
      </c>
      <c r="G22" s="35">
        <v>0</v>
      </c>
      <c r="H22" s="36">
        <v>2</v>
      </c>
      <c r="I22" s="37">
        <v>0</v>
      </c>
      <c r="J22" s="37">
        <f t="shared" si="2"/>
        <v>2</v>
      </c>
      <c r="K22" s="35">
        <v>0</v>
      </c>
      <c r="L22" s="36">
        <v>3</v>
      </c>
      <c r="M22" s="37">
        <v>0</v>
      </c>
      <c r="N22" s="37">
        <f t="shared" si="3"/>
        <v>3</v>
      </c>
      <c r="O22" s="35">
        <v>0</v>
      </c>
      <c r="P22" s="36">
        <v>2</v>
      </c>
      <c r="Q22" s="37">
        <v>2</v>
      </c>
      <c r="R22" s="37">
        <f t="shared" si="4"/>
        <v>0</v>
      </c>
      <c r="S22" s="35">
        <v>1</v>
      </c>
      <c r="T22" s="36">
        <v>2</v>
      </c>
      <c r="U22" s="37">
        <v>0</v>
      </c>
      <c r="V22" s="37">
        <f t="shared" si="5"/>
        <v>2</v>
      </c>
      <c r="W22" s="35">
        <v>3</v>
      </c>
      <c r="X22" s="36">
        <v>2</v>
      </c>
      <c r="Y22" s="37">
        <v>2</v>
      </c>
      <c r="Z22" s="37">
        <f t="shared" si="6"/>
        <v>0</v>
      </c>
      <c r="AA22" s="35">
        <v>0</v>
      </c>
      <c r="AB22" s="36">
        <v>0</v>
      </c>
      <c r="AC22" s="37">
        <v>0</v>
      </c>
      <c r="AD22" s="37">
        <f t="shared" si="7"/>
        <v>0</v>
      </c>
      <c r="AE22" s="35">
        <v>0</v>
      </c>
      <c r="AF22" s="36">
        <v>2</v>
      </c>
      <c r="AG22" s="37">
        <v>2</v>
      </c>
      <c r="AH22" s="37">
        <f t="shared" si="8"/>
        <v>0</v>
      </c>
      <c r="AI22" s="35">
        <v>0</v>
      </c>
      <c r="AJ22" s="36">
        <v>0</v>
      </c>
      <c r="AK22" s="37">
        <v>0</v>
      </c>
      <c r="AL22" s="37">
        <f t="shared" si="9"/>
        <v>0</v>
      </c>
      <c r="AM22" s="35">
        <v>0</v>
      </c>
      <c r="AN22" s="36">
        <v>0</v>
      </c>
      <c r="AO22" s="37">
        <v>0</v>
      </c>
      <c r="AP22" s="37">
        <f t="shared" si="10"/>
        <v>0</v>
      </c>
      <c r="AQ22" s="35">
        <v>0</v>
      </c>
      <c r="AR22" s="36">
        <v>0</v>
      </c>
      <c r="AS22" s="37">
        <v>0</v>
      </c>
      <c r="AT22" s="37">
        <f t="shared" si="11"/>
        <v>0</v>
      </c>
      <c r="AU22" s="35">
        <v>0</v>
      </c>
      <c r="AV22" s="36">
        <v>1</v>
      </c>
      <c r="AW22" s="37">
        <v>0</v>
      </c>
      <c r="AX22" s="37">
        <f t="shared" si="12"/>
        <v>1</v>
      </c>
      <c r="AY22" s="35">
        <v>1</v>
      </c>
      <c r="AZ22" s="36">
        <v>1</v>
      </c>
      <c r="BA22" s="37">
        <v>0</v>
      </c>
      <c r="BB22" s="37">
        <f t="shared" si="13"/>
        <v>1</v>
      </c>
      <c r="BC22" s="35">
        <v>1</v>
      </c>
      <c r="BD22" s="36">
        <v>0</v>
      </c>
      <c r="BE22" s="37">
        <v>0</v>
      </c>
      <c r="BF22" s="37">
        <f t="shared" si="14"/>
        <v>0</v>
      </c>
      <c r="BG22" s="35">
        <v>0</v>
      </c>
      <c r="BH22" s="36">
        <v>0</v>
      </c>
      <c r="BI22" s="37">
        <v>0</v>
      </c>
      <c r="BJ22" s="37">
        <f t="shared" si="15"/>
        <v>0</v>
      </c>
      <c r="BK22" s="35">
        <v>0</v>
      </c>
      <c r="BL22" s="36">
        <v>0</v>
      </c>
      <c r="BM22" s="37">
        <v>0</v>
      </c>
      <c r="BN22" s="37">
        <f t="shared" si="16"/>
        <v>0</v>
      </c>
      <c r="BO22" s="35">
        <v>0</v>
      </c>
      <c r="BP22" s="36">
        <v>0</v>
      </c>
      <c r="BQ22" s="37">
        <v>0</v>
      </c>
      <c r="BR22" s="37">
        <f t="shared" si="17"/>
        <v>0</v>
      </c>
      <c r="BS22" s="35">
        <v>1</v>
      </c>
      <c r="BT22" s="36">
        <f t="shared" si="18"/>
        <v>8</v>
      </c>
      <c r="BU22" s="37">
        <f t="shared" si="19"/>
        <v>9</v>
      </c>
      <c r="BV22" s="37">
        <f t="shared" si="20"/>
        <v>7</v>
      </c>
      <c r="BW22" s="37">
        <f t="shared" si="21"/>
        <v>0.47058823529411764</v>
      </c>
      <c r="BX22" s="37">
        <f t="shared" si="22"/>
        <v>0.53333333333333333</v>
      </c>
      <c r="BY22" s="35">
        <f t="shared" si="23"/>
        <v>0.5</v>
      </c>
    </row>
    <row r="23" spans="1:84" x14ac:dyDescent="0.35">
      <c r="A23" s="59" t="s">
        <v>48</v>
      </c>
      <c r="B23" s="148"/>
      <c r="C23" s="38" t="s">
        <v>36</v>
      </c>
      <c r="D23" s="39">
        <v>2</v>
      </c>
      <c r="E23" s="40">
        <v>2</v>
      </c>
      <c r="F23" s="40">
        <f t="shared" si="1"/>
        <v>0</v>
      </c>
      <c r="G23" s="38">
        <v>0</v>
      </c>
      <c r="H23" s="39">
        <v>2</v>
      </c>
      <c r="I23" s="40">
        <v>0</v>
      </c>
      <c r="J23" s="40">
        <f t="shared" si="2"/>
        <v>2</v>
      </c>
      <c r="K23" s="38">
        <v>0</v>
      </c>
      <c r="L23" s="39">
        <v>0</v>
      </c>
      <c r="M23" s="40">
        <v>0</v>
      </c>
      <c r="N23" s="40">
        <f t="shared" si="3"/>
        <v>0</v>
      </c>
      <c r="O23" s="38">
        <v>0</v>
      </c>
      <c r="P23" s="39">
        <v>1</v>
      </c>
      <c r="Q23" s="40">
        <v>1</v>
      </c>
      <c r="R23" s="40">
        <f t="shared" si="4"/>
        <v>0</v>
      </c>
      <c r="S23" s="38">
        <v>1</v>
      </c>
      <c r="T23" s="39">
        <v>1</v>
      </c>
      <c r="U23" s="40">
        <v>1</v>
      </c>
      <c r="V23" s="40">
        <f t="shared" si="5"/>
        <v>0</v>
      </c>
      <c r="W23" s="38">
        <v>0</v>
      </c>
      <c r="X23" s="39">
        <v>1</v>
      </c>
      <c r="Y23" s="40">
        <v>1</v>
      </c>
      <c r="Z23" s="40">
        <f t="shared" si="6"/>
        <v>0</v>
      </c>
      <c r="AA23" s="38">
        <v>0</v>
      </c>
      <c r="AB23" s="39">
        <v>1</v>
      </c>
      <c r="AC23" s="40">
        <v>1</v>
      </c>
      <c r="AD23" s="40">
        <f t="shared" si="7"/>
        <v>0</v>
      </c>
      <c r="AE23" s="38">
        <v>0</v>
      </c>
      <c r="AF23" s="39">
        <v>1</v>
      </c>
      <c r="AG23" s="40">
        <v>1</v>
      </c>
      <c r="AH23" s="40">
        <f t="shared" si="8"/>
        <v>0</v>
      </c>
      <c r="AI23" s="38">
        <v>0</v>
      </c>
      <c r="AJ23" s="39">
        <v>0</v>
      </c>
      <c r="AK23" s="40">
        <v>0</v>
      </c>
      <c r="AL23" s="40">
        <f t="shared" si="9"/>
        <v>0</v>
      </c>
      <c r="AM23" s="38">
        <v>0</v>
      </c>
      <c r="AN23" s="39">
        <v>0</v>
      </c>
      <c r="AO23" s="40">
        <v>0</v>
      </c>
      <c r="AP23" s="40">
        <f t="shared" si="10"/>
        <v>0</v>
      </c>
      <c r="AQ23" s="38">
        <v>0</v>
      </c>
      <c r="AR23" s="39">
        <v>1</v>
      </c>
      <c r="AS23" s="40">
        <v>0</v>
      </c>
      <c r="AT23" s="40">
        <f t="shared" si="11"/>
        <v>1</v>
      </c>
      <c r="AU23" s="38">
        <v>0</v>
      </c>
      <c r="AV23" s="39">
        <v>0</v>
      </c>
      <c r="AW23" s="40">
        <v>0</v>
      </c>
      <c r="AX23" s="40">
        <f t="shared" si="12"/>
        <v>0</v>
      </c>
      <c r="AY23" s="38">
        <v>1</v>
      </c>
      <c r="AZ23" s="39">
        <v>1</v>
      </c>
      <c r="BA23" s="40">
        <v>1</v>
      </c>
      <c r="BB23" s="40">
        <f t="shared" si="13"/>
        <v>0</v>
      </c>
      <c r="BC23" s="38">
        <v>0</v>
      </c>
      <c r="BD23" s="39">
        <v>0</v>
      </c>
      <c r="BE23" s="40">
        <v>0</v>
      </c>
      <c r="BF23" s="40">
        <f t="shared" si="14"/>
        <v>0</v>
      </c>
      <c r="BG23" s="38">
        <v>0</v>
      </c>
      <c r="BH23" s="39">
        <v>0</v>
      </c>
      <c r="BI23" s="40">
        <v>0</v>
      </c>
      <c r="BJ23" s="40">
        <f t="shared" si="15"/>
        <v>0</v>
      </c>
      <c r="BK23" s="38">
        <v>0</v>
      </c>
      <c r="BL23" s="39">
        <v>0</v>
      </c>
      <c r="BM23" s="40">
        <v>0</v>
      </c>
      <c r="BN23" s="40">
        <f t="shared" si="16"/>
        <v>0</v>
      </c>
      <c r="BO23" s="38">
        <v>0</v>
      </c>
      <c r="BP23" s="39">
        <v>0</v>
      </c>
      <c r="BQ23" s="40">
        <v>0</v>
      </c>
      <c r="BR23" s="40">
        <f t="shared" si="17"/>
        <v>0</v>
      </c>
      <c r="BS23" s="38">
        <v>1</v>
      </c>
      <c r="BT23" s="39">
        <f t="shared" si="18"/>
        <v>8</v>
      </c>
      <c r="BU23" s="40">
        <f t="shared" si="19"/>
        <v>3</v>
      </c>
      <c r="BV23" s="40">
        <f t="shared" si="20"/>
        <v>3</v>
      </c>
      <c r="BW23" s="40">
        <f t="shared" si="21"/>
        <v>0.72727272727272729</v>
      </c>
      <c r="BX23" s="40">
        <f t="shared" si="22"/>
        <v>0.72727272727272729</v>
      </c>
      <c r="BY23" s="38">
        <f t="shared" si="23"/>
        <v>0.72727272727272729</v>
      </c>
    </row>
    <row r="24" spans="1:84" x14ac:dyDescent="0.35">
      <c r="A24" s="59" t="s">
        <v>48</v>
      </c>
      <c r="B24" s="148"/>
      <c r="C24" s="38" t="s">
        <v>69</v>
      </c>
      <c r="D24" s="39">
        <v>2</v>
      </c>
      <c r="E24" s="40">
        <v>2</v>
      </c>
      <c r="F24" s="40">
        <f t="shared" si="1"/>
        <v>0</v>
      </c>
      <c r="G24" s="38">
        <v>0</v>
      </c>
      <c r="H24" s="39">
        <v>2</v>
      </c>
      <c r="I24" s="40">
        <v>0</v>
      </c>
      <c r="J24" s="40">
        <f t="shared" si="2"/>
        <v>2</v>
      </c>
      <c r="K24" s="38">
        <v>0</v>
      </c>
      <c r="L24" s="39">
        <v>0</v>
      </c>
      <c r="M24" s="40">
        <v>0</v>
      </c>
      <c r="N24" s="40">
        <f t="shared" si="3"/>
        <v>0</v>
      </c>
      <c r="O24" s="38">
        <v>0</v>
      </c>
      <c r="P24" s="39">
        <v>1</v>
      </c>
      <c r="Q24" s="40">
        <v>1</v>
      </c>
      <c r="R24" s="40">
        <f t="shared" si="4"/>
        <v>0</v>
      </c>
      <c r="S24" s="38">
        <v>1</v>
      </c>
      <c r="T24" s="39">
        <v>1</v>
      </c>
      <c r="U24" s="40">
        <v>1</v>
      </c>
      <c r="V24" s="40">
        <f t="shared" si="5"/>
        <v>0</v>
      </c>
      <c r="W24" s="38">
        <v>0</v>
      </c>
      <c r="X24" s="39">
        <v>1</v>
      </c>
      <c r="Y24" s="40">
        <v>1</v>
      </c>
      <c r="Z24" s="40">
        <f t="shared" si="6"/>
        <v>0</v>
      </c>
      <c r="AA24" s="38">
        <v>0</v>
      </c>
      <c r="AB24" s="39">
        <v>1</v>
      </c>
      <c r="AC24" s="40">
        <v>1</v>
      </c>
      <c r="AD24" s="40">
        <f t="shared" si="7"/>
        <v>0</v>
      </c>
      <c r="AE24" s="38">
        <v>0</v>
      </c>
      <c r="AF24" s="39">
        <v>1</v>
      </c>
      <c r="AG24" s="40">
        <v>1</v>
      </c>
      <c r="AH24" s="40">
        <f t="shared" si="8"/>
        <v>0</v>
      </c>
      <c r="AI24" s="38">
        <v>0</v>
      </c>
      <c r="AJ24" s="39">
        <v>0</v>
      </c>
      <c r="AK24" s="40">
        <v>0</v>
      </c>
      <c r="AL24" s="40">
        <f t="shared" si="9"/>
        <v>0</v>
      </c>
      <c r="AM24" s="38">
        <v>0</v>
      </c>
      <c r="AN24" s="39">
        <v>0</v>
      </c>
      <c r="AO24" s="40">
        <v>0</v>
      </c>
      <c r="AP24" s="40">
        <f t="shared" si="10"/>
        <v>0</v>
      </c>
      <c r="AQ24" s="38">
        <v>0</v>
      </c>
      <c r="AR24" s="39">
        <v>1</v>
      </c>
      <c r="AS24" s="40">
        <v>0</v>
      </c>
      <c r="AT24" s="40">
        <f t="shared" si="11"/>
        <v>1</v>
      </c>
      <c r="AU24" s="38">
        <v>0</v>
      </c>
      <c r="AV24" s="39">
        <v>0</v>
      </c>
      <c r="AW24" s="40">
        <v>0</v>
      </c>
      <c r="AX24" s="40">
        <f t="shared" si="12"/>
        <v>0</v>
      </c>
      <c r="AY24" s="38">
        <v>1</v>
      </c>
      <c r="AZ24" s="39">
        <v>1</v>
      </c>
      <c r="BA24" s="40">
        <v>1</v>
      </c>
      <c r="BB24" s="40">
        <f t="shared" si="13"/>
        <v>0</v>
      </c>
      <c r="BC24" s="38">
        <v>0</v>
      </c>
      <c r="BD24" s="39">
        <v>0</v>
      </c>
      <c r="BE24" s="40">
        <v>0</v>
      </c>
      <c r="BF24" s="40">
        <f t="shared" si="14"/>
        <v>0</v>
      </c>
      <c r="BG24" s="38">
        <v>0</v>
      </c>
      <c r="BH24" s="39">
        <v>0</v>
      </c>
      <c r="BI24" s="40">
        <v>0</v>
      </c>
      <c r="BJ24" s="40">
        <f t="shared" si="15"/>
        <v>0</v>
      </c>
      <c r="BK24" s="38">
        <v>0</v>
      </c>
      <c r="BL24" s="39">
        <v>0</v>
      </c>
      <c r="BM24" s="40">
        <v>0</v>
      </c>
      <c r="BN24" s="40">
        <f t="shared" si="16"/>
        <v>0</v>
      </c>
      <c r="BO24" s="38">
        <v>0</v>
      </c>
      <c r="BP24" s="39">
        <v>0</v>
      </c>
      <c r="BQ24" s="40">
        <v>0</v>
      </c>
      <c r="BR24" s="40">
        <f t="shared" si="17"/>
        <v>0</v>
      </c>
      <c r="BS24" s="38">
        <v>1</v>
      </c>
      <c r="BT24" s="39">
        <f t="shared" si="18"/>
        <v>8</v>
      </c>
      <c r="BU24" s="40">
        <f t="shared" si="19"/>
        <v>3</v>
      </c>
      <c r="BV24" s="40">
        <f t="shared" si="20"/>
        <v>3</v>
      </c>
      <c r="BW24" s="40">
        <f t="shared" si="21"/>
        <v>0.72727272727272729</v>
      </c>
      <c r="BX24" s="40">
        <f t="shared" si="22"/>
        <v>0.72727272727272729</v>
      </c>
      <c r="BY24" s="38">
        <f t="shared" si="23"/>
        <v>0.72727272727272729</v>
      </c>
    </row>
    <row r="25" spans="1:84" x14ac:dyDescent="0.35">
      <c r="A25" s="60" t="s">
        <v>48</v>
      </c>
      <c r="B25" s="148"/>
      <c r="C25" s="41" t="s">
        <v>37</v>
      </c>
      <c r="D25" s="42">
        <v>2</v>
      </c>
      <c r="E25" s="43">
        <v>2</v>
      </c>
      <c r="F25" s="43">
        <f t="shared" si="1"/>
        <v>0</v>
      </c>
      <c r="G25" s="41">
        <v>0</v>
      </c>
      <c r="H25" s="42">
        <v>2</v>
      </c>
      <c r="I25" s="43">
        <v>0</v>
      </c>
      <c r="J25" s="43">
        <f t="shared" si="2"/>
        <v>2</v>
      </c>
      <c r="K25" s="41">
        <v>0</v>
      </c>
      <c r="L25" s="42">
        <v>0</v>
      </c>
      <c r="M25" s="43">
        <v>0</v>
      </c>
      <c r="N25" s="43">
        <f t="shared" si="3"/>
        <v>0</v>
      </c>
      <c r="O25" s="41">
        <v>0</v>
      </c>
      <c r="P25" s="42">
        <v>2</v>
      </c>
      <c r="Q25" s="43">
        <v>2</v>
      </c>
      <c r="R25" s="43">
        <f t="shared" si="4"/>
        <v>0</v>
      </c>
      <c r="S25" s="41">
        <v>0</v>
      </c>
      <c r="T25" s="42">
        <v>2</v>
      </c>
      <c r="U25" s="43">
        <v>2</v>
      </c>
      <c r="V25" s="43">
        <f t="shared" si="5"/>
        <v>0</v>
      </c>
      <c r="W25" s="41">
        <v>0</v>
      </c>
      <c r="X25" s="42">
        <v>2</v>
      </c>
      <c r="Y25" s="43">
        <v>2</v>
      </c>
      <c r="Z25" s="43">
        <f t="shared" si="6"/>
        <v>0</v>
      </c>
      <c r="AA25" s="41">
        <v>0</v>
      </c>
      <c r="AB25" s="42">
        <v>2</v>
      </c>
      <c r="AC25" s="43">
        <v>2</v>
      </c>
      <c r="AD25" s="43">
        <f t="shared" si="7"/>
        <v>0</v>
      </c>
      <c r="AE25" s="41">
        <v>0</v>
      </c>
      <c r="AF25" s="42">
        <v>2</v>
      </c>
      <c r="AG25" s="43">
        <v>2</v>
      </c>
      <c r="AH25" s="43">
        <f t="shared" si="8"/>
        <v>0</v>
      </c>
      <c r="AI25" s="41">
        <v>0</v>
      </c>
      <c r="AJ25" s="42">
        <v>0</v>
      </c>
      <c r="AK25" s="43">
        <v>0</v>
      </c>
      <c r="AL25" s="43">
        <f t="shared" si="9"/>
        <v>0</v>
      </c>
      <c r="AM25" s="41">
        <v>0</v>
      </c>
      <c r="AN25" s="42">
        <v>0</v>
      </c>
      <c r="AO25" s="43">
        <v>0</v>
      </c>
      <c r="AP25" s="43">
        <f t="shared" si="10"/>
        <v>0</v>
      </c>
      <c r="AQ25" s="41">
        <v>0</v>
      </c>
      <c r="AR25" s="42">
        <v>1</v>
      </c>
      <c r="AS25" s="43">
        <v>0</v>
      </c>
      <c r="AT25" s="43">
        <f t="shared" si="11"/>
        <v>1</v>
      </c>
      <c r="AU25" s="41">
        <v>0</v>
      </c>
      <c r="AV25" s="42">
        <v>0</v>
      </c>
      <c r="AW25" s="43">
        <v>0</v>
      </c>
      <c r="AX25" s="43">
        <f t="shared" si="12"/>
        <v>0</v>
      </c>
      <c r="AY25" s="41">
        <v>1</v>
      </c>
      <c r="AZ25" s="42">
        <v>1</v>
      </c>
      <c r="BA25" s="43">
        <v>1</v>
      </c>
      <c r="BB25" s="43">
        <f t="shared" si="13"/>
        <v>0</v>
      </c>
      <c r="BC25" s="41">
        <v>1</v>
      </c>
      <c r="BD25" s="42">
        <v>0</v>
      </c>
      <c r="BE25" s="43">
        <v>0</v>
      </c>
      <c r="BF25" s="43">
        <f t="shared" si="14"/>
        <v>0</v>
      </c>
      <c r="BG25" s="41">
        <v>0</v>
      </c>
      <c r="BH25" s="42">
        <v>0</v>
      </c>
      <c r="BI25" s="43">
        <v>0</v>
      </c>
      <c r="BJ25" s="43">
        <f t="shared" si="15"/>
        <v>0</v>
      </c>
      <c r="BK25" s="41">
        <v>0</v>
      </c>
      <c r="BL25" s="42">
        <v>0</v>
      </c>
      <c r="BM25" s="43">
        <v>0</v>
      </c>
      <c r="BN25" s="43">
        <f t="shared" si="16"/>
        <v>0</v>
      </c>
      <c r="BO25" s="41">
        <v>1</v>
      </c>
      <c r="BP25" s="42">
        <v>0</v>
      </c>
      <c r="BQ25" s="43">
        <v>0</v>
      </c>
      <c r="BR25" s="43">
        <f t="shared" si="17"/>
        <v>0</v>
      </c>
      <c r="BS25" s="41">
        <v>0</v>
      </c>
      <c r="BT25" s="42">
        <f t="shared" si="18"/>
        <v>13</v>
      </c>
      <c r="BU25" s="43">
        <f t="shared" si="19"/>
        <v>3</v>
      </c>
      <c r="BV25" s="43">
        <f t="shared" si="20"/>
        <v>3</v>
      </c>
      <c r="BW25" s="43">
        <f t="shared" si="21"/>
        <v>0.8125</v>
      </c>
      <c r="BX25" s="43">
        <f t="shared" si="22"/>
        <v>0.8125</v>
      </c>
      <c r="BY25" s="41">
        <f t="shared" si="23"/>
        <v>0.8125</v>
      </c>
    </row>
    <row r="26" spans="1:84" x14ac:dyDescent="0.35">
      <c r="A26" s="60" t="s">
        <v>48</v>
      </c>
      <c r="B26" s="148"/>
      <c r="C26" s="41" t="s">
        <v>70</v>
      </c>
      <c r="D26" s="42">
        <v>2</v>
      </c>
      <c r="E26" s="43">
        <v>2</v>
      </c>
      <c r="F26" s="43">
        <f t="shared" si="1"/>
        <v>0</v>
      </c>
      <c r="G26" s="41">
        <v>0</v>
      </c>
      <c r="H26" s="42">
        <v>2</v>
      </c>
      <c r="I26" s="43">
        <v>0</v>
      </c>
      <c r="J26" s="43">
        <f t="shared" si="2"/>
        <v>2</v>
      </c>
      <c r="K26" s="41">
        <v>0</v>
      </c>
      <c r="L26" s="42">
        <v>0</v>
      </c>
      <c r="M26" s="43">
        <v>0</v>
      </c>
      <c r="N26" s="43">
        <f t="shared" si="3"/>
        <v>0</v>
      </c>
      <c r="O26" s="41">
        <v>0</v>
      </c>
      <c r="P26" s="42">
        <v>2</v>
      </c>
      <c r="Q26" s="43">
        <v>2</v>
      </c>
      <c r="R26" s="43">
        <f t="shared" si="4"/>
        <v>0</v>
      </c>
      <c r="S26" s="41">
        <v>2</v>
      </c>
      <c r="T26" s="42">
        <v>2</v>
      </c>
      <c r="U26" s="43">
        <v>2</v>
      </c>
      <c r="V26" s="43">
        <f t="shared" si="5"/>
        <v>0</v>
      </c>
      <c r="W26" s="41">
        <v>0</v>
      </c>
      <c r="X26" s="42">
        <v>2</v>
      </c>
      <c r="Y26" s="43">
        <v>2</v>
      </c>
      <c r="Z26" s="43">
        <f t="shared" si="6"/>
        <v>0</v>
      </c>
      <c r="AA26" s="41">
        <v>0</v>
      </c>
      <c r="AB26" s="42">
        <v>2</v>
      </c>
      <c r="AC26" s="43">
        <v>2</v>
      </c>
      <c r="AD26" s="43">
        <f t="shared" si="7"/>
        <v>0</v>
      </c>
      <c r="AE26" s="41">
        <v>0</v>
      </c>
      <c r="AF26" s="42">
        <v>2</v>
      </c>
      <c r="AG26" s="43">
        <v>2</v>
      </c>
      <c r="AH26" s="43">
        <f t="shared" si="8"/>
        <v>0</v>
      </c>
      <c r="AI26" s="41">
        <v>0</v>
      </c>
      <c r="AJ26" s="42">
        <v>0</v>
      </c>
      <c r="AK26" s="43">
        <v>0</v>
      </c>
      <c r="AL26" s="43">
        <f t="shared" si="9"/>
        <v>0</v>
      </c>
      <c r="AM26" s="41">
        <v>0</v>
      </c>
      <c r="AN26" s="42">
        <v>0</v>
      </c>
      <c r="AO26" s="43">
        <v>0</v>
      </c>
      <c r="AP26" s="43">
        <f t="shared" si="10"/>
        <v>0</v>
      </c>
      <c r="AQ26" s="41">
        <v>0</v>
      </c>
      <c r="AR26" s="42">
        <v>1</v>
      </c>
      <c r="AS26" s="43">
        <v>0</v>
      </c>
      <c r="AT26" s="43">
        <f t="shared" si="11"/>
        <v>1</v>
      </c>
      <c r="AU26" s="41">
        <v>0</v>
      </c>
      <c r="AV26" s="42">
        <v>0</v>
      </c>
      <c r="AW26" s="43">
        <v>0</v>
      </c>
      <c r="AX26" s="43">
        <f t="shared" si="12"/>
        <v>0</v>
      </c>
      <c r="AY26" s="41">
        <v>1</v>
      </c>
      <c r="AZ26" s="42">
        <v>1</v>
      </c>
      <c r="BA26" s="43">
        <v>0</v>
      </c>
      <c r="BB26" s="43">
        <f t="shared" si="13"/>
        <v>1</v>
      </c>
      <c r="BC26" s="41">
        <v>1</v>
      </c>
      <c r="BD26" s="42">
        <v>0</v>
      </c>
      <c r="BE26" s="43">
        <v>0</v>
      </c>
      <c r="BF26" s="43">
        <f t="shared" si="14"/>
        <v>0</v>
      </c>
      <c r="BG26" s="41">
        <v>0</v>
      </c>
      <c r="BH26" s="42">
        <v>0</v>
      </c>
      <c r="BI26" s="43">
        <v>0</v>
      </c>
      <c r="BJ26" s="43">
        <f t="shared" si="15"/>
        <v>0</v>
      </c>
      <c r="BK26" s="41">
        <v>0</v>
      </c>
      <c r="BL26" s="42">
        <v>0</v>
      </c>
      <c r="BM26" s="43">
        <v>0</v>
      </c>
      <c r="BN26" s="43">
        <f t="shared" si="16"/>
        <v>0</v>
      </c>
      <c r="BO26" s="41">
        <v>0</v>
      </c>
      <c r="BP26" s="42">
        <v>0</v>
      </c>
      <c r="BQ26" s="43">
        <v>0</v>
      </c>
      <c r="BR26" s="43">
        <f t="shared" si="17"/>
        <v>0</v>
      </c>
      <c r="BS26" s="41">
        <v>0</v>
      </c>
      <c r="BT26" s="42">
        <f t="shared" si="18"/>
        <v>12</v>
      </c>
      <c r="BU26" s="43">
        <f t="shared" si="19"/>
        <v>4</v>
      </c>
      <c r="BV26" s="43">
        <f t="shared" si="20"/>
        <v>4</v>
      </c>
      <c r="BW26" s="43">
        <f t="shared" si="21"/>
        <v>0.75</v>
      </c>
      <c r="BX26" s="43">
        <f t="shared" si="22"/>
        <v>0.75</v>
      </c>
      <c r="BY26" s="41">
        <f t="shared" si="23"/>
        <v>0.75</v>
      </c>
    </row>
    <row r="27" spans="1:84" x14ac:dyDescent="0.35">
      <c r="A27" s="47" t="s">
        <v>48</v>
      </c>
      <c r="B27" s="148"/>
      <c r="C27" s="44" t="s">
        <v>38</v>
      </c>
      <c r="D27" s="45">
        <v>2</v>
      </c>
      <c r="E27" s="46">
        <v>2</v>
      </c>
      <c r="F27" s="46">
        <f t="shared" si="1"/>
        <v>0</v>
      </c>
      <c r="G27" s="44">
        <v>0</v>
      </c>
      <c r="H27" s="45">
        <v>2</v>
      </c>
      <c r="I27" s="46">
        <v>1</v>
      </c>
      <c r="J27" s="46">
        <f t="shared" si="2"/>
        <v>1</v>
      </c>
      <c r="K27" s="44">
        <v>0</v>
      </c>
      <c r="L27" s="45">
        <v>2</v>
      </c>
      <c r="M27" s="46">
        <v>1</v>
      </c>
      <c r="N27" s="46">
        <f t="shared" si="3"/>
        <v>1</v>
      </c>
      <c r="O27" s="44">
        <v>0</v>
      </c>
      <c r="P27" s="45">
        <v>2</v>
      </c>
      <c r="Q27" s="46">
        <v>2</v>
      </c>
      <c r="R27" s="46">
        <f t="shared" si="4"/>
        <v>0</v>
      </c>
      <c r="S27" s="44">
        <v>0</v>
      </c>
      <c r="T27" s="45">
        <v>2</v>
      </c>
      <c r="U27" s="46">
        <v>2</v>
      </c>
      <c r="V27" s="46">
        <f t="shared" si="5"/>
        <v>0</v>
      </c>
      <c r="W27" s="44">
        <v>0</v>
      </c>
      <c r="X27" s="45">
        <v>1</v>
      </c>
      <c r="Y27" s="46">
        <v>1</v>
      </c>
      <c r="Z27" s="46">
        <f t="shared" si="6"/>
        <v>0</v>
      </c>
      <c r="AA27" s="44">
        <v>0</v>
      </c>
      <c r="AB27" s="45">
        <v>0</v>
      </c>
      <c r="AC27" s="46">
        <v>0</v>
      </c>
      <c r="AD27" s="46">
        <f t="shared" si="7"/>
        <v>0</v>
      </c>
      <c r="AE27" s="44">
        <v>0</v>
      </c>
      <c r="AF27" s="45">
        <v>1</v>
      </c>
      <c r="AG27" s="46">
        <v>1</v>
      </c>
      <c r="AH27" s="46">
        <f t="shared" si="8"/>
        <v>0</v>
      </c>
      <c r="AI27" s="44">
        <v>0</v>
      </c>
      <c r="AJ27" s="45">
        <v>0</v>
      </c>
      <c r="AK27" s="46">
        <v>0</v>
      </c>
      <c r="AL27" s="46">
        <f t="shared" si="9"/>
        <v>0</v>
      </c>
      <c r="AM27" s="44">
        <v>0</v>
      </c>
      <c r="AN27" s="45">
        <v>0</v>
      </c>
      <c r="AO27" s="46">
        <v>0</v>
      </c>
      <c r="AP27" s="46">
        <f t="shared" si="10"/>
        <v>0</v>
      </c>
      <c r="AQ27" s="44">
        <v>1</v>
      </c>
      <c r="AR27" s="45">
        <v>0</v>
      </c>
      <c r="AS27" s="46">
        <v>0</v>
      </c>
      <c r="AT27" s="46">
        <f t="shared" si="11"/>
        <v>0</v>
      </c>
      <c r="AU27" s="44">
        <v>0</v>
      </c>
      <c r="AV27" s="45">
        <v>0</v>
      </c>
      <c r="AW27" s="46">
        <v>0</v>
      </c>
      <c r="AX27" s="46">
        <f t="shared" si="12"/>
        <v>0</v>
      </c>
      <c r="AY27" s="44">
        <v>1</v>
      </c>
      <c r="AZ27" s="45">
        <v>1</v>
      </c>
      <c r="BA27" s="46">
        <v>1</v>
      </c>
      <c r="BB27" s="46">
        <f t="shared" si="13"/>
        <v>0</v>
      </c>
      <c r="BC27" s="44">
        <v>0</v>
      </c>
      <c r="BD27" s="45">
        <v>0</v>
      </c>
      <c r="BE27" s="46">
        <v>0</v>
      </c>
      <c r="BF27" s="46">
        <f t="shared" si="14"/>
        <v>0</v>
      </c>
      <c r="BG27" s="44">
        <v>0</v>
      </c>
      <c r="BH27" s="45">
        <v>0</v>
      </c>
      <c r="BI27" s="46">
        <v>0</v>
      </c>
      <c r="BJ27" s="46">
        <f t="shared" si="15"/>
        <v>0</v>
      </c>
      <c r="BK27" s="44">
        <v>0</v>
      </c>
      <c r="BL27" s="45">
        <v>0</v>
      </c>
      <c r="BM27" s="46">
        <v>0</v>
      </c>
      <c r="BN27" s="46">
        <f t="shared" si="16"/>
        <v>0</v>
      </c>
      <c r="BO27" s="44">
        <v>1</v>
      </c>
      <c r="BP27" s="45">
        <v>1</v>
      </c>
      <c r="BQ27" s="46">
        <v>0</v>
      </c>
      <c r="BR27" s="46">
        <f t="shared" si="17"/>
        <v>1</v>
      </c>
      <c r="BS27" s="44">
        <v>0</v>
      </c>
      <c r="BT27" s="45">
        <f t="shared" si="18"/>
        <v>11</v>
      </c>
      <c r="BU27" s="46">
        <f t="shared" si="19"/>
        <v>3</v>
      </c>
      <c r="BV27" s="46">
        <f t="shared" si="20"/>
        <v>3</v>
      </c>
      <c r="BW27" s="46">
        <f t="shared" si="21"/>
        <v>0.7857142857142857</v>
      </c>
      <c r="BX27" s="46">
        <f t="shared" si="22"/>
        <v>0.7857142857142857</v>
      </c>
      <c r="BY27" s="44">
        <f t="shared" si="23"/>
        <v>0.7857142857142857</v>
      </c>
    </row>
    <row r="28" spans="1:84" x14ac:dyDescent="0.35">
      <c r="A28" s="47" t="s">
        <v>48</v>
      </c>
      <c r="B28" s="148"/>
      <c r="C28" s="44" t="s">
        <v>71</v>
      </c>
      <c r="D28" s="45">
        <v>2</v>
      </c>
      <c r="E28" s="46">
        <v>2</v>
      </c>
      <c r="F28" s="46">
        <f t="shared" si="1"/>
        <v>0</v>
      </c>
      <c r="G28" s="44">
        <v>0</v>
      </c>
      <c r="H28" s="45">
        <v>2</v>
      </c>
      <c r="I28" s="46">
        <v>1</v>
      </c>
      <c r="J28" s="46">
        <f t="shared" si="2"/>
        <v>1</v>
      </c>
      <c r="K28" s="44">
        <v>0</v>
      </c>
      <c r="L28" s="45">
        <v>2</v>
      </c>
      <c r="M28" s="46">
        <v>1</v>
      </c>
      <c r="N28" s="46">
        <f t="shared" si="3"/>
        <v>1</v>
      </c>
      <c r="O28" s="44">
        <v>0</v>
      </c>
      <c r="P28" s="45">
        <v>2</v>
      </c>
      <c r="Q28" s="46">
        <v>2</v>
      </c>
      <c r="R28" s="46">
        <f t="shared" si="4"/>
        <v>0</v>
      </c>
      <c r="S28" s="44">
        <v>0</v>
      </c>
      <c r="T28" s="45">
        <v>2</v>
      </c>
      <c r="U28" s="46">
        <v>2</v>
      </c>
      <c r="V28" s="46">
        <f t="shared" si="5"/>
        <v>0</v>
      </c>
      <c r="W28" s="44">
        <v>0</v>
      </c>
      <c r="X28" s="45">
        <v>1</v>
      </c>
      <c r="Y28" s="46">
        <v>1</v>
      </c>
      <c r="Z28" s="46">
        <f t="shared" si="6"/>
        <v>0</v>
      </c>
      <c r="AA28" s="44">
        <v>0</v>
      </c>
      <c r="AB28" s="45">
        <v>0</v>
      </c>
      <c r="AC28" s="46">
        <v>0</v>
      </c>
      <c r="AD28" s="46">
        <f t="shared" si="7"/>
        <v>0</v>
      </c>
      <c r="AE28" s="44">
        <v>0</v>
      </c>
      <c r="AF28" s="45">
        <v>1</v>
      </c>
      <c r="AG28" s="46">
        <v>1</v>
      </c>
      <c r="AH28" s="46">
        <f t="shared" si="8"/>
        <v>0</v>
      </c>
      <c r="AI28" s="44">
        <v>0</v>
      </c>
      <c r="AJ28" s="45">
        <v>0</v>
      </c>
      <c r="AK28" s="46">
        <v>0</v>
      </c>
      <c r="AL28" s="46">
        <f t="shared" si="9"/>
        <v>0</v>
      </c>
      <c r="AM28" s="44">
        <v>0</v>
      </c>
      <c r="AN28" s="45">
        <v>0</v>
      </c>
      <c r="AO28" s="46">
        <v>0</v>
      </c>
      <c r="AP28" s="46">
        <f t="shared" si="10"/>
        <v>0</v>
      </c>
      <c r="AQ28" s="44">
        <v>1</v>
      </c>
      <c r="AR28" s="45">
        <v>0</v>
      </c>
      <c r="AS28" s="46">
        <v>0</v>
      </c>
      <c r="AT28" s="46">
        <f t="shared" si="11"/>
        <v>0</v>
      </c>
      <c r="AU28" s="44">
        <v>0</v>
      </c>
      <c r="AV28" s="45">
        <v>0</v>
      </c>
      <c r="AW28" s="46">
        <v>0</v>
      </c>
      <c r="AX28" s="46">
        <f t="shared" si="12"/>
        <v>0</v>
      </c>
      <c r="AY28" s="44">
        <v>0</v>
      </c>
      <c r="AZ28" s="45">
        <v>1</v>
      </c>
      <c r="BA28" s="46">
        <v>1</v>
      </c>
      <c r="BB28" s="46">
        <f t="shared" si="13"/>
        <v>0</v>
      </c>
      <c r="BC28" s="44">
        <v>0</v>
      </c>
      <c r="BD28" s="45">
        <v>0</v>
      </c>
      <c r="BE28" s="46">
        <v>0</v>
      </c>
      <c r="BF28" s="46">
        <f t="shared" si="14"/>
        <v>0</v>
      </c>
      <c r="BG28" s="44">
        <v>0</v>
      </c>
      <c r="BH28" s="45">
        <v>0</v>
      </c>
      <c r="BI28" s="46">
        <v>0</v>
      </c>
      <c r="BJ28" s="46">
        <f t="shared" si="15"/>
        <v>0</v>
      </c>
      <c r="BK28" s="44">
        <v>0</v>
      </c>
      <c r="BL28" s="45">
        <v>0</v>
      </c>
      <c r="BM28" s="46">
        <v>0</v>
      </c>
      <c r="BN28" s="46">
        <f t="shared" si="16"/>
        <v>0</v>
      </c>
      <c r="BO28" s="44">
        <v>0</v>
      </c>
      <c r="BP28" s="45">
        <v>1</v>
      </c>
      <c r="BQ28" s="46">
        <v>0</v>
      </c>
      <c r="BR28" s="46">
        <f t="shared" si="17"/>
        <v>1</v>
      </c>
      <c r="BS28" s="44">
        <v>0</v>
      </c>
      <c r="BT28" s="45">
        <f t="shared" si="18"/>
        <v>11</v>
      </c>
      <c r="BU28" s="46">
        <f t="shared" si="19"/>
        <v>3</v>
      </c>
      <c r="BV28" s="46">
        <f t="shared" si="20"/>
        <v>1</v>
      </c>
      <c r="BW28" s="46">
        <f t="shared" si="21"/>
        <v>0.7857142857142857</v>
      </c>
      <c r="BX28" s="46">
        <f t="shared" si="22"/>
        <v>0.91666666666666663</v>
      </c>
      <c r="BY28" s="44">
        <f t="shared" si="23"/>
        <v>0.84615384615384615</v>
      </c>
    </row>
    <row r="29" spans="1:84" x14ac:dyDescent="0.35">
      <c r="A29" s="61" t="s">
        <v>48</v>
      </c>
      <c r="B29" s="148"/>
      <c r="C29" s="126" t="s">
        <v>39</v>
      </c>
      <c r="D29" s="127">
        <v>2</v>
      </c>
      <c r="E29" s="128">
        <v>2</v>
      </c>
      <c r="F29" s="128">
        <f t="shared" si="1"/>
        <v>0</v>
      </c>
      <c r="G29" s="126">
        <v>0</v>
      </c>
      <c r="H29" s="127">
        <v>2</v>
      </c>
      <c r="I29" s="128">
        <v>0</v>
      </c>
      <c r="J29" s="128">
        <f t="shared" si="2"/>
        <v>2</v>
      </c>
      <c r="K29" s="126">
        <v>0</v>
      </c>
      <c r="L29" s="127">
        <v>2</v>
      </c>
      <c r="M29" s="128">
        <v>0</v>
      </c>
      <c r="N29" s="128">
        <f t="shared" si="3"/>
        <v>2</v>
      </c>
      <c r="O29" s="126">
        <v>0</v>
      </c>
      <c r="P29" s="127">
        <v>2</v>
      </c>
      <c r="Q29" s="128">
        <v>2</v>
      </c>
      <c r="R29" s="128">
        <f t="shared" si="4"/>
        <v>0</v>
      </c>
      <c r="S29" s="126">
        <v>0</v>
      </c>
      <c r="T29" s="127">
        <v>2</v>
      </c>
      <c r="U29" s="128">
        <v>2</v>
      </c>
      <c r="V29" s="128">
        <f t="shared" si="5"/>
        <v>0</v>
      </c>
      <c r="W29" s="126">
        <v>0</v>
      </c>
      <c r="X29" s="127">
        <v>4</v>
      </c>
      <c r="Y29" s="128">
        <v>4</v>
      </c>
      <c r="Z29" s="128">
        <f t="shared" si="6"/>
        <v>0</v>
      </c>
      <c r="AA29" s="126">
        <v>0</v>
      </c>
      <c r="AB29" s="127">
        <v>2</v>
      </c>
      <c r="AC29" s="128">
        <v>2</v>
      </c>
      <c r="AD29" s="128">
        <f t="shared" si="7"/>
        <v>0</v>
      </c>
      <c r="AE29" s="126">
        <v>0</v>
      </c>
      <c r="AF29" s="127">
        <v>4</v>
      </c>
      <c r="AG29" s="128">
        <v>4</v>
      </c>
      <c r="AH29" s="128">
        <f t="shared" si="8"/>
        <v>0</v>
      </c>
      <c r="AI29" s="126">
        <v>0</v>
      </c>
      <c r="AJ29" s="127">
        <v>0</v>
      </c>
      <c r="AK29" s="128">
        <v>0</v>
      </c>
      <c r="AL29" s="128">
        <f t="shared" si="9"/>
        <v>0</v>
      </c>
      <c r="AM29" s="126">
        <v>0</v>
      </c>
      <c r="AN29" s="127">
        <v>0</v>
      </c>
      <c r="AO29" s="128">
        <v>0</v>
      </c>
      <c r="AP29" s="128">
        <f t="shared" si="10"/>
        <v>0</v>
      </c>
      <c r="AQ29" s="126">
        <v>0</v>
      </c>
      <c r="AR29" s="127">
        <v>0</v>
      </c>
      <c r="AS29" s="128">
        <v>0</v>
      </c>
      <c r="AT29" s="128">
        <f t="shared" si="11"/>
        <v>0</v>
      </c>
      <c r="AU29" s="126">
        <v>1</v>
      </c>
      <c r="AV29" s="127">
        <v>0</v>
      </c>
      <c r="AW29" s="128">
        <v>0</v>
      </c>
      <c r="AX29" s="128">
        <f t="shared" si="12"/>
        <v>0</v>
      </c>
      <c r="AY29" s="126">
        <v>0</v>
      </c>
      <c r="AZ29" s="127">
        <v>1</v>
      </c>
      <c r="BA29" s="128">
        <v>1</v>
      </c>
      <c r="BB29" s="128">
        <f t="shared" si="13"/>
        <v>0</v>
      </c>
      <c r="BC29" s="126">
        <v>0</v>
      </c>
      <c r="BD29" s="127">
        <v>0</v>
      </c>
      <c r="BE29" s="128">
        <v>0</v>
      </c>
      <c r="BF29" s="128">
        <f t="shared" si="14"/>
        <v>0</v>
      </c>
      <c r="BG29" s="126">
        <v>0</v>
      </c>
      <c r="BH29" s="127">
        <v>0</v>
      </c>
      <c r="BI29" s="128">
        <v>0</v>
      </c>
      <c r="BJ29" s="128">
        <f t="shared" si="15"/>
        <v>0</v>
      </c>
      <c r="BK29" s="126">
        <v>0</v>
      </c>
      <c r="BL29" s="127">
        <v>0</v>
      </c>
      <c r="BM29" s="128">
        <v>0</v>
      </c>
      <c r="BN29" s="128">
        <f t="shared" si="16"/>
        <v>0</v>
      </c>
      <c r="BO29" s="126">
        <v>0</v>
      </c>
      <c r="BP29" s="127">
        <v>1</v>
      </c>
      <c r="BQ29" s="128">
        <v>1</v>
      </c>
      <c r="BR29" s="128">
        <f t="shared" si="17"/>
        <v>0</v>
      </c>
      <c r="BS29" s="126">
        <v>0</v>
      </c>
      <c r="BT29" s="127">
        <f t="shared" si="18"/>
        <v>18</v>
      </c>
      <c r="BU29" s="128">
        <f t="shared" si="19"/>
        <v>4</v>
      </c>
      <c r="BV29" s="128">
        <f t="shared" si="20"/>
        <v>1</v>
      </c>
      <c r="BW29" s="128">
        <f t="shared" si="21"/>
        <v>0.81818181818181823</v>
      </c>
      <c r="BX29" s="128">
        <f t="shared" si="22"/>
        <v>0.94736842105263153</v>
      </c>
      <c r="BY29" s="126">
        <f t="shared" si="23"/>
        <v>0.87804878048780488</v>
      </c>
    </row>
    <row r="30" spans="1:84" x14ac:dyDescent="0.35">
      <c r="A30" s="128" t="s">
        <v>48</v>
      </c>
      <c r="B30" s="148"/>
      <c r="C30" s="104" t="s">
        <v>72</v>
      </c>
      <c r="D30" s="107">
        <v>2</v>
      </c>
      <c r="E30" s="61">
        <v>2</v>
      </c>
      <c r="F30" s="61">
        <f t="shared" si="1"/>
        <v>0</v>
      </c>
      <c r="G30" s="104">
        <v>0</v>
      </c>
      <c r="H30" s="107">
        <v>2</v>
      </c>
      <c r="I30" s="61">
        <v>0</v>
      </c>
      <c r="J30" s="61">
        <f t="shared" si="2"/>
        <v>2</v>
      </c>
      <c r="K30" s="104">
        <v>0</v>
      </c>
      <c r="L30" s="107">
        <v>2</v>
      </c>
      <c r="M30" s="61">
        <v>0</v>
      </c>
      <c r="N30" s="61">
        <f t="shared" si="3"/>
        <v>2</v>
      </c>
      <c r="O30" s="104">
        <v>0</v>
      </c>
      <c r="P30" s="107">
        <v>2</v>
      </c>
      <c r="Q30" s="61">
        <v>2</v>
      </c>
      <c r="R30" s="61">
        <f t="shared" si="4"/>
        <v>0</v>
      </c>
      <c r="S30" s="104">
        <v>0</v>
      </c>
      <c r="T30" s="107">
        <v>2</v>
      </c>
      <c r="U30" s="61">
        <v>2</v>
      </c>
      <c r="V30" s="61">
        <f t="shared" si="5"/>
        <v>0</v>
      </c>
      <c r="W30" s="104">
        <v>0</v>
      </c>
      <c r="X30" s="107">
        <v>4</v>
      </c>
      <c r="Y30" s="61">
        <v>4</v>
      </c>
      <c r="Z30" s="61">
        <f t="shared" si="6"/>
        <v>0</v>
      </c>
      <c r="AA30" s="104">
        <v>0</v>
      </c>
      <c r="AB30" s="107">
        <v>2</v>
      </c>
      <c r="AC30" s="61">
        <v>2</v>
      </c>
      <c r="AD30" s="61">
        <v>0</v>
      </c>
      <c r="AE30" s="104">
        <v>0</v>
      </c>
      <c r="AF30" s="107">
        <v>4</v>
      </c>
      <c r="AG30" s="61">
        <v>4</v>
      </c>
      <c r="AH30" s="61">
        <f t="shared" si="8"/>
        <v>0</v>
      </c>
      <c r="AI30" s="104">
        <v>0</v>
      </c>
      <c r="AJ30" s="107">
        <v>0</v>
      </c>
      <c r="AK30" s="61">
        <v>0</v>
      </c>
      <c r="AL30" s="61">
        <f t="shared" si="9"/>
        <v>0</v>
      </c>
      <c r="AM30" s="104">
        <v>0</v>
      </c>
      <c r="AN30" s="107">
        <v>0</v>
      </c>
      <c r="AO30" s="61">
        <v>0</v>
      </c>
      <c r="AP30" s="61">
        <f t="shared" si="10"/>
        <v>0</v>
      </c>
      <c r="AQ30" s="104">
        <v>0</v>
      </c>
      <c r="AR30" s="107">
        <v>0</v>
      </c>
      <c r="AS30" s="61">
        <v>0</v>
      </c>
      <c r="AT30" s="61">
        <f t="shared" si="11"/>
        <v>0</v>
      </c>
      <c r="AU30" s="104">
        <v>1</v>
      </c>
      <c r="AV30" s="107">
        <v>0</v>
      </c>
      <c r="AW30" s="61">
        <v>0</v>
      </c>
      <c r="AX30" s="61">
        <f t="shared" si="12"/>
        <v>0</v>
      </c>
      <c r="AY30" s="104">
        <v>0</v>
      </c>
      <c r="AZ30" s="107">
        <v>1</v>
      </c>
      <c r="BA30" s="61">
        <v>1</v>
      </c>
      <c r="BB30" s="61">
        <f t="shared" si="13"/>
        <v>0</v>
      </c>
      <c r="BC30" s="104">
        <v>0</v>
      </c>
      <c r="BD30" s="107">
        <v>0</v>
      </c>
      <c r="BE30" s="61">
        <v>0</v>
      </c>
      <c r="BF30" s="61">
        <f t="shared" si="14"/>
        <v>0</v>
      </c>
      <c r="BG30" s="104">
        <v>0</v>
      </c>
      <c r="BH30" s="107">
        <v>0</v>
      </c>
      <c r="BI30" s="61">
        <v>0</v>
      </c>
      <c r="BJ30" s="61">
        <f t="shared" si="15"/>
        <v>0</v>
      </c>
      <c r="BK30" s="104">
        <v>0</v>
      </c>
      <c r="BL30" s="107">
        <v>0</v>
      </c>
      <c r="BM30" s="61">
        <v>0</v>
      </c>
      <c r="BN30" s="61">
        <f t="shared" si="16"/>
        <v>0</v>
      </c>
      <c r="BO30" s="104">
        <v>0</v>
      </c>
      <c r="BP30" s="107">
        <v>1</v>
      </c>
      <c r="BQ30" s="61">
        <v>1</v>
      </c>
      <c r="BR30" s="61">
        <f t="shared" si="17"/>
        <v>0</v>
      </c>
      <c r="BS30" s="104">
        <v>0</v>
      </c>
      <c r="BT30" s="107">
        <f t="shared" si="18"/>
        <v>18</v>
      </c>
      <c r="BU30" s="61">
        <f t="shared" si="19"/>
        <v>4</v>
      </c>
      <c r="BV30" s="61">
        <f t="shared" si="20"/>
        <v>1</v>
      </c>
      <c r="BW30" s="61">
        <f t="shared" si="21"/>
        <v>0.81818181818181823</v>
      </c>
      <c r="BX30" s="61">
        <f t="shared" si="22"/>
        <v>0.94736842105263153</v>
      </c>
      <c r="BY30" s="104">
        <f t="shared" si="23"/>
        <v>0.87804878048780488</v>
      </c>
    </row>
    <row r="31" spans="1:84" x14ac:dyDescent="0.35">
      <c r="A31" s="108" t="s">
        <v>48</v>
      </c>
      <c r="B31" s="148"/>
      <c r="C31" s="112" t="s">
        <v>42</v>
      </c>
      <c r="D31" s="114">
        <v>2</v>
      </c>
      <c r="E31" s="108">
        <v>2</v>
      </c>
      <c r="F31" s="108">
        <f t="shared" si="1"/>
        <v>0</v>
      </c>
      <c r="G31" s="112">
        <v>0</v>
      </c>
      <c r="H31" s="114">
        <v>1</v>
      </c>
      <c r="I31" s="108">
        <v>0</v>
      </c>
      <c r="J31" s="108">
        <f t="shared" si="2"/>
        <v>1</v>
      </c>
      <c r="K31" s="112">
        <v>0</v>
      </c>
      <c r="L31" s="114">
        <v>1</v>
      </c>
      <c r="M31" s="108">
        <v>0</v>
      </c>
      <c r="N31" s="108">
        <f t="shared" si="3"/>
        <v>1</v>
      </c>
      <c r="O31" s="112">
        <v>0</v>
      </c>
      <c r="P31" s="114">
        <v>1</v>
      </c>
      <c r="Q31" s="108">
        <v>1</v>
      </c>
      <c r="R31" s="108">
        <f t="shared" si="4"/>
        <v>0</v>
      </c>
      <c r="S31" s="112">
        <v>0</v>
      </c>
      <c r="T31" s="114">
        <v>1</v>
      </c>
      <c r="U31" s="108">
        <v>1</v>
      </c>
      <c r="V31" s="108">
        <f t="shared" si="5"/>
        <v>0</v>
      </c>
      <c r="W31" s="112">
        <v>0</v>
      </c>
      <c r="X31" s="114">
        <v>2</v>
      </c>
      <c r="Y31" s="108">
        <v>2</v>
      </c>
      <c r="Z31" s="108">
        <f t="shared" si="6"/>
        <v>0</v>
      </c>
      <c r="AA31" s="112">
        <v>0</v>
      </c>
      <c r="AB31" s="114">
        <v>0</v>
      </c>
      <c r="AC31" s="108">
        <v>0</v>
      </c>
      <c r="AD31" s="108">
        <v>0</v>
      </c>
      <c r="AE31" s="112">
        <v>0</v>
      </c>
      <c r="AF31" s="114">
        <v>2</v>
      </c>
      <c r="AG31" s="108">
        <v>2</v>
      </c>
      <c r="AH31" s="108">
        <f t="shared" si="8"/>
        <v>0</v>
      </c>
      <c r="AI31" s="112">
        <v>0</v>
      </c>
      <c r="AJ31" s="114">
        <v>0</v>
      </c>
      <c r="AK31" s="108">
        <v>0</v>
      </c>
      <c r="AL31" s="108">
        <f t="shared" si="9"/>
        <v>0</v>
      </c>
      <c r="AM31" s="112">
        <v>0</v>
      </c>
      <c r="AN31" s="114">
        <v>0</v>
      </c>
      <c r="AO31" s="108">
        <v>0</v>
      </c>
      <c r="AP31" s="108">
        <f t="shared" si="10"/>
        <v>0</v>
      </c>
      <c r="AQ31" s="112">
        <v>1</v>
      </c>
      <c r="AR31" s="114">
        <v>0</v>
      </c>
      <c r="AS31" s="108">
        <v>0</v>
      </c>
      <c r="AT31" s="108">
        <f t="shared" si="11"/>
        <v>0</v>
      </c>
      <c r="AU31" s="112">
        <v>0</v>
      </c>
      <c r="AV31" s="114">
        <v>0</v>
      </c>
      <c r="AW31" s="108">
        <v>0</v>
      </c>
      <c r="AX31" s="108">
        <f t="shared" si="12"/>
        <v>0</v>
      </c>
      <c r="AY31" s="112">
        <v>0</v>
      </c>
      <c r="AZ31" s="114">
        <v>1</v>
      </c>
      <c r="BA31" s="108">
        <v>1</v>
      </c>
      <c r="BB31" s="108">
        <f t="shared" si="13"/>
        <v>0</v>
      </c>
      <c r="BC31" s="112">
        <v>0</v>
      </c>
      <c r="BD31" s="114">
        <v>0</v>
      </c>
      <c r="BE31" s="108">
        <v>0</v>
      </c>
      <c r="BF31" s="108">
        <f t="shared" si="14"/>
        <v>0</v>
      </c>
      <c r="BG31" s="112">
        <v>0</v>
      </c>
      <c r="BH31" s="114">
        <v>0</v>
      </c>
      <c r="BI31" s="108">
        <v>0</v>
      </c>
      <c r="BJ31" s="108">
        <f t="shared" si="15"/>
        <v>0</v>
      </c>
      <c r="BK31" s="112">
        <v>0</v>
      </c>
      <c r="BL31" s="114">
        <v>0</v>
      </c>
      <c r="BM31" s="108">
        <v>0</v>
      </c>
      <c r="BN31" s="108">
        <f t="shared" si="16"/>
        <v>0</v>
      </c>
      <c r="BO31" s="112">
        <v>0</v>
      </c>
      <c r="BP31" s="114">
        <v>1</v>
      </c>
      <c r="BQ31" s="108">
        <v>0</v>
      </c>
      <c r="BR31" s="108">
        <f t="shared" si="17"/>
        <v>1</v>
      </c>
      <c r="BS31" s="112">
        <v>0</v>
      </c>
      <c r="BT31" s="114">
        <f t="shared" si="18"/>
        <v>9</v>
      </c>
      <c r="BU31" s="108">
        <f t="shared" si="19"/>
        <v>3</v>
      </c>
      <c r="BV31" s="108">
        <f t="shared" si="20"/>
        <v>1</v>
      </c>
      <c r="BW31" s="108">
        <f t="shared" si="21"/>
        <v>0.75</v>
      </c>
      <c r="BX31" s="108">
        <f t="shared" si="22"/>
        <v>0.9</v>
      </c>
      <c r="BY31" s="112">
        <f t="shared" si="23"/>
        <v>0.81818181818181823</v>
      </c>
    </row>
    <row r="32" spans="1:84" x14ac:dyDescent="0.35">
      <c r="A32" s="108" t="s">
        <v>48</v>
      </c>
      <c r="B32" s="148"/>
      <c r="C32" s="112" t="s">
        <v>73</v>
      </c>
      <c r="D32" s="114">
        <v>2</v>
      </c>
      <c r="E32" s="108">
        <v>2</v>
      </c>
      <c r="F32" s="108">
        <f t="shared" si="1"/>
        <v>0</v>
      </c>
      <c r="G32" s="112">
        <v>0</v>
      </c>
      <c r="H32" s="114">
        <v>1</v>
      </c>
      <c r="I32" s="108">
        <v>0</v>
      </c>
      <c r="J32" s="108">
        <f t="shared" si="2"/>
        <v>1</v>
      </c>
      <c r="K32" s="112">
        <v>0</v>
      </c>
      <c r="L32" s="114">
        <v>1</v>
      </c>
      <c r="M32" s="108">
        <v>0</v>
      </c>
      <c r="N32" s="108">
        <f t="shared" si="3"/>
        <v>1</v>
      </c>
      <c r="O32" s="112">
        <v>0</v>
      </c>
      <c r="P32" s="114">
        <v>1</v>
      </c>
      <c r="Q32" s="108">
        <v>1</v>
      </c>
      <c r="R32" s="108">
        <f t="shared" si="4"/>
        <v>0</v>
      </c>
      <c r="S32" s="112">
        <v>0</v>
      </c>
      <c r="T32" s="114">
        <v>1</v>
      </c>
      <c r="U32" s="108">
        <v>1</v>
      </c>
      <c r="V32" s="108">
        <f t="shared" si="5"/>
        <v>0</v>
      </c>
      <c r="W32" s="112">
        <v>0</v>
      </c>
      <c r="X32" s="114">
        <v>2</v>
      </c>
      <c r="Y32" s="108">
        <v>2</v>
      </c>
      <c r="Z32" s="108">
        <f t="shared" si="6"/>
        <v>0</v>
      </c>
      <c r="AA32" s="112">
        <v>0</v>
      </c>
      <c r="AB32" s="114">
        <v>0</v>
      </c>
      <c r="AC32" s="108">
        <v>0</v>
      </c>
      <c r="AD32" s="108">
        <v>0</v>
      </c>
      <c r="AE32" s="112">
        <v>0</v>
      </c>
      <c r="AF32" s="114">
        <v>2</v>
      </c>
      <c r="AG32" s="108">
        <v>2</v>
      </c>
      <c r="AH32" s="108">
        <f t="shared" si="8"/>
        <v>0</v>
      </c>
      <c r="AI32" s="112">
        <v>0</v>
      </c>
      <c r="AJ32" s="114">
        <v>0</v>
      </c>
      <c r="AK32" s="108">
        <v>0</v>
      </c>
      <c r="AL32" s="108">
        <f t="shared" si="9"/>
        <v>0</v>
      </c>
      <c r="AM32" s="112">
        <v>0</v>
      </c>
      <c r="AN32" s="114">
        <v>0</v>
      </c>
      <c r="AO32" s="108">
        <v>0</v>
      </c>
      <c r="AP32" s="108">
        <f t="shared" si="10"/>
        <v>0</v>
      </c>
      <c r="AQ32" s="112">
        <v>1</v>
      </c>
      <c r="AR32" s="114">
        <v>0</v>
      </c>
      <c r="AS32" s="108">
        <v>0</v>
      </c>
      <c r="AT32" s="108">
        <f t="shared" si="11"/>
        <v>0</v>
      </c>
      <c r="AU32" s="112">
        <v>0</v>
      </c>
      <c r="AV32" s="114">
        <v>0</v>
      </c>
      <c r="AW32" s="108">
        <v>0</v>
      </c>
      <c r="AX32" s="108">
        <f t="shared" si="12"/>
        <v>0</v>
      </c>
      <c r="AY32" s="112">
        <v>0</v>
      </c>
      <c r="AZ32" s="114">
        <v>1</v>
      </c>
      <c r="BA32" s="108">
        <v>1</v>
      </c>
      <c r="BB32" s="108">
        <f t="shared" si="13"/>
        <v>0</v>
      </c>
      <c r="BC32" s="112">
        <v>0</v>
      </c>
      <c r="BD32" s="114">
        <v>0</v>
      </c>
      <c r="BE32" s="108">
        <v>0</v>
      </c>
      <c r="BF32" s="108">
        <f t="shared" si="14"/>
        <v>0</v>
      </c>
      <c r="BG32" s="112">
        <v>0</v>
      </c>
      <c r="BH32" s="114">
        <v>0</v>
      </c>
      <c r="BI32" s="108">
        <v>0</v>
      </c>
      <c r="BJ32" s="108">
        <f t="shared" si="15"/>
        <v>0</v>
      </c>
      <c r="BK32" s="112">
        <v>0</v>
      </c>
      <c r="BL32" s="114">
        <v>0</v>
      </c>
      <c r="BM32" s="108">
        <v>0</v>
      </c>
      <c r="BN32" s="108">
        <f t="shared" si="16"/>
        <v>0</v>
      </c>
      <c r="BO32" s="112">
        <v>0</v>
      </c>
      <c r="BP32" s="114">
        <v>1</v>
      </c>
      <c r="BQ32" s="108">
        <v>0</v>
      </c>
      <c r="BR32" s="108">
        <f t="shared" si="17"/>
        <v>1</v>
      </c>
      <c r="BS32" s="112">
        <v>0</v>
      </c>
      <c r="BT32" s="114">
        <f t="shared" si="18"/>
        <v>9</v>
      </c>
      <c r="BU32" s="108">
        <f t="shared" si="19"/>
        <v>3</v>
      </c>
      <c r="BV32" s="108">
        <f t="shared" si="20"/>
        <v>1</v>
      </c>
      <c r="BW32" s="108">
        <f t="shared" si="21"/>
        <v>0.75</v>
      </c>
      <c r="BX32" s="108">
        <f t="shared" si="22"/>
        <v>0.9</v>
      </c>
      <c r="BY32" s="112">
        <f t="shared" si="23"/>
        <v>0.81818181818181823</v>
      </c>
    </row>
    <row r="33" spans="1:77" x14ac:dyDescent="0.35">
      <c r="A33" s="109" t="s">
        <v>48</v>
      </c>
      <c r="B33" s="148"/>
      <c r="C33" s="113" t="s">
        <v>43</v>
      </c>
      <c r="D33" s="115">
        <v>1</v>
      </c>
      <c r="E33" s="109">
        <v>1</v>
      </c>
      <c r="F33" s="109">
        <f t="shared" si="1"/>
        <v>0</v>
      </c>
      <c r="G33" s="113">
        <v>0</v>
      </c>
      <c r="H33" s="115">
        <v>1</v>
      </c>
      <c r="I33" s="109">
        <v>0</v>
      </c>
      <c r="J33" s="109">
        <f t="shared" si="2"/>
        <v>1</v>
      </c>
      <c r="K33" s="113">
        <v>0</v>
      </c>
      <c r="L33" s="115">
        <v>0</v>
      </c>
      <c r="M33" s="109">
        <v>0</v>
      </c>
      <c r="N33" s="109">
        <f t="shared" si="3"/>
        <v>0</v>
      </c>
      <c r="O33" s="113">
        <v>0</v>
      </c>
      <c r="P33" s="115">
        <v>5</v>
      </c>
      <c r="Q33" s="109">
        <v>5</v>
      </c>
      <c r="R33" s="109">
        <f t="shared" si="4"/>
        <v>0</v>
      </c>
      <c r="S33" s="113">
        <v>0</v>
      </c>
      <c r="T33" s="115">
        <v>5</v>
      </c>
      <c r="U33" s="109">
        <v>3</v>
      </c>
      <c r="V33" s="109">
        <f t="shared" si="5"/>
        <v>2</v>
      </c>
      <c r="W33" s="113">
        <v>2</v>
      </c>
      <c r="X33" s="115">
        <v>0</v>
      </c>
      <c r="Y33" s="109">
        <v>0</v>
      </c>
      <c r="Z33" s="109">
        <f t="shared" si="6"/>
        <v>0</v>
      </c>
      <c r="AA33" s="113">
        <v>0</v>
      </c>
      <c r="AB33" s="115">
        <v>0</v>
      </c>
      <c r="AC33" s="109">
        <v>0</v>
      </c>
      <c r="AD33" s="109">
        <v>0</v>
      </c>
      <c r="AE33" s="113">
        <v>0</v>
      </c>
      <c r="AF33" s="115">
        <v>0</v>
      </c>
      <c r="AG33" s="109">
        <v>0</v>
      </c>
      <c r="AH33" s="109">
        <f t="shared" si="8"/>
        <v>0</v>
      </c>
      <c r="AI33" s="113">
        <v>0</v>
      </c>
      <c r="AJ33" s="115">
        <v>0</v>
      </c>
      <c r="AK33" s="109">
        <v>0</v>
      </c>
      <c r="AL33" s="109">
        <f t="shared" si="9"/>
        <v>0</v>
      </c>
      <c r="AM33" s="113">
        <v>0</v>
      </c>
      <c r="AN33" s="115">
        <v>0</v>
      </c>
      <c r="AO33" s="109">
        <v>0</v>
      </c>
      <c r="AP33" s="109">
        <f t="shared" si="10"/>
        <v>0</v>
      </c>
      <c r="AQ33" s="113">
        <v>0</v>
      </c>
      <c r="AR33" s="115">
        <v>0</v>
      </c>
      <c r="AS33" s="109">
        <v>0</v>
      </c>
      <c r="AT33" s="109">
        <f t="shared" si="11"/>
        <v>0</v>
      </c>
      <c r="AU33" s="113">
        <v>0</v>
      </c>
      <c r="AV33" s="115">
        <v>0</v>
      </c>
      <c r="AW33" s="109">
        <v>0</v>
      </c>
      <c r="AX33" s="109">
        <f t="shared" si="12"/>
        <v>0</v>
      </c>
      <c r="AY33" s="113">
        <v>0</v>
      </c>
      <c r="AZ33" s="115">
        <v>0</v>
      </c>
      <c r="BA33" s="109">
        <v>0</v>
      </c>
      <c r="BB33" s="109">
        <f t="shared" si="13"/>
        <v>0</v>
      </c>
      <c r="BC33" s="113">
        <v>0</v>
      </c>
      <c r="BD33" s="115">
        <v>0</v>
      </c>
      <c r="BE33" s="109">
        <v>0</v>
      </c>
      <c r="BF33" s="109">
        <f t="shared" si="14"/>
        <v>0</v>
      </c>
      <c r="BG33" s="113">
        <v>0</v>
      </c>
      <c r="BH33" s="115">
        <v>0</v>
      </c>
      <c r="BI33" s="109">
        <v>0</v>
      </c>
      <c r="BJ33" s="109">
        <f t="shared" si="15"/>
        <v>0</v>
      </c>
      <c r="BK33" s="113">
        <v>0</v>
      </c>
      <c r="BL33" s="115">
        <v>0</v>
      </c>
      <c r="BM33" s="109">
        <v>0</v>
      </c>
      <c r="BN33" s="109">
        <f t="shared" si="16"/>
        <v>0</v>
      </c>
      <c r="BO33" s="113">
        <v>0</v>
      </c>
      <c r="BP33" s="115">
        <v>0</v>
      </c>
      <c r="BQ33" s="109">
        <v>0</v>
      </c>
      <c r="BR33" s="109">
        <f t="shared" si="17"/>
        <v>0</v>
      </c>
      <c r="BS33" s="113">
        <v>0</v>
      </c>
      <c r="BT33" s="115">
        <f t="shared" si="18"/>
        <v>9</v>
      </c>
      <c r="BU33" s="109">
        <f t="shared" si="19"/>
        <v>3</v>
      </c>
      <c r="BV33" s="109">
        <f t="shared" si="20"/>
        <v>2</v>
      </c>
      <c r="BW33" s="109">
        <f t="shared" si="21"/>
        <v>0.75</v>
      </c>
      <c r="BX33" s="109">
        <f t="shared" si="22"/>
        <v>0.81818181818181823</v>
      </c>
      <c r="BY33" s="113">
        <f t="shared" si="23"/>
        <v>0.78260869565217384</v>
      </c>
    </row>
    <row r="34" spans="1:77" ht="15" thickBot="1" x14ac:dyDescent="0.4">
      <c r="A34" s="109" t="s">
        <v>48</v>
      </c>
      <c r="B34" s="148"/>
      <c r="C34" s="113" t="s">
        <v>74</v>
      </c>
      <c r="D34" s="130">
        <v>1</v>
      </c>
      <c r="E34" s="131">
        <v>1</v>
      </c>
      <c r="F34" s="131">
        <f t="shared" si="1"/>
        <v>0</v>
      </c>
      <c r="G34" s="129">
        <v>0</v>
      </c>
      <c r="H34" s="130">
        <v>1</v>
      </c>
      <c r="I34" s="131">
        <v>0</v>
      </c>
      <c r="J34" s="131">
        <f t="shared" si="2"/>
        <v>1</v>
      </c>
      <c r="K34" s="129">
        <v>0</v>
      </c>
      <c r="L34" s="130">
        <v>0</v>
      </c>
      <c r="M34" s="131">
        <v>0</v>
      </c>
      <c r="N34" s="131">
        <f t="shared" si="3"/>
        <v>0</v>
      </c>
      <c r="O34" s="129">
        <v>0</v>
      </c>
      <c r="P34" s="130">
        <v>5</v>
      </c>
      <c r="Q34" s="131">
        <v>5</v>
      </c>
      <c r="R34" s="131">
        <f t="shared" si="4"/>
        <v>0</v>
      </c>
      <c r="S34" s="129">
        <v>0</v>
      </c>
      <c r="T34" s="130">
        <v>5</v>
      </c>
      <c r="U34" s="131">
        <v>0</v>
      </c>
      <c r="V34" s="131">
        <f t="shared" si="5"/>
        <v>5</v>
      </c>
      <c r="W34" s="129">
        <v>0</v>
      </c>
      <c r="X34" s="130">
        <v>0</v>
      </c>
      <c r="Y34" s="131">
        <v>0</v>
      </c>
      <c r="Z34" s="131">
        <f t="shared" si="6"/>
        <v>0</v>
      </c>
      <c r="AA34" s="129">
        <v>0</v>
      </c>
      <c r="AB34" s="130">
        <v>0</v>
      </c>
      <c r="AC34" s="131">
        <v>0</v>
      </c>
      <c r="AD34" s="131">
        <v>0</v>
      </c>
      <c r="AE34" s="129">
        <v>0</v>
      </c>
      <c r="AF34" s="130">
        <v>0</v>
      </c>
      <c r="AG34" s="131">
        <v>0</v>
      </c>
      <c r="AH34" s="131">
        <f t="shared" si="8"/>
        <v>0</v>
      </c>
      <c r="AI34" s="129">
        <v>0</v>
      </c>
      <c r="AJ34" s="130">
        <v>0</v>
      </c>
      <c r="AK34" s="131">
        <v>0</v>
      </c>
      <c r="AL34" s="131">
        <f t="shared" si="9"/>
        <v>0</v>
      </c>
      <c r="AM34" s="129">
        <v>0</v>
      </c>
      <c r="AN34" s="130">
        <v>0</v>
      </c>
      <c r="AO34" s="131">
        <v>0</v>
      </c>
      <c r="AP34" s="131">
        <f t="shared" si="10"/>
        <v>0</v>
      </c>
      <c r="AQ34" s="129">
        <v>0</v>
      </c>
      <c r="AR34" s="130">
        <v>0</v>
      </c>
      <c r="AS34" s="131">
        <v>0</v>
      </c>
      <c r="AT34" s="131">
        <f t="shared" si="11"/>
        <v>0</v>
      </c>
      <c r="AU34" s="129">
        <v>0</v>
      </c>
      <c r="AV34" s="130">
        <v>0</v>
      </c>
      <c r="AW34" s="131">
        <v>0</v>
      </c>
      <c r="AX34" s="131">
        <f t="shared" si="12"/>
        <v>0</v>
      </c>
      <c r="AY34" s="129">
        <v>0</v>
      </c>
      <c r="AZ34" s="130">
        <v>0</v>
      </c>
      <c r="BA34" s="131">
        <v>0</v>
      </c>
      <c r="BB34" s="131">
        <f t="shared" si="13"/>
        <v>0</v>
      </c>
      <c r="BC34" s="129">
        <v>0</v>
      </c>
      <c r="BD34" s="130">
        <v>0</v>
      </c>
      <c r="BE34" s="131">
        <v>0</v>
      </c>
      <c r="BF34" s="131">
        <f t="shared" si="14"/>
        <v>0</v>
      </c>
      <c r="BG34" s="129">
        <v>0</v>
      </c>
      <c r="BH34" s="132">
        <v>0</v>
      </c>
      <c r="BI34" s="131">
        <v>0</v>
      </c>
      <c r="BJ34" s="131">
        <f t="shared" si="15"/>
        <v>0</v>
      </c>
      <c r="BK34" s="129">
        <v>0</v>
      </c>
      <c r="BL34" s="130">
        <v>0</v>
      </c>
      <c r="BM34" s="131">
        <v>0</v>
      </c>
      <c r="BN34" s="131">
        <f t="shared" si="16"/>
        <v>0</v>
      </c>
      <c r="BO34" s="129">
        <v>0</v>
      </c>
      <c r="BP34" s="130">
        <v>0</v>
      </c>
      <c r="BQ34" s="131">
        <v>0</v>
      </c>
      <c r="BR34" s="131">
        <f t="shared" si="17"/>
        <v>0</v>
      </c>
      <c r="BS34" s="129">
        <v>0</v>
      </c>
      <c r="BT34" s="130">
        <f t="shared" si="18"/>
        <v>6</v>
      </c>
      <c r="BU34" s="131">
        <f t="shared" si="19"/>
        <v>6</v>
      </c>
      <c r="BV34" s="131">
        <f t="shared" si="20"/>
        <v>0</v>
      </c>
      <c r="BW34" s="131">
        <f t="shared" si="21"/>
        <v>0.5</v>
      </c>
      <c r="BX34" s="131">
        <f t="shared" si="22"/>
        <v>1</v>
      </c>
      <c r="BY34" s="129">
        <f t="shared" si="23"/>
        <v>0.66666666666666663</v>
      </c>
    </row>
    <row r="35" spans="1:77" ht="15" thickTop="1" x14ac:dyDescent="0.35">
      <c r="C35" s="5" t="s">
        <v>111</v>
      </c>
      <c r="D35" s="48">
        <f>SUM(D3:D34)</f>
        <v>68</v>
      </c>
      <c r="E35" s="48">
        <f t="shared" ref="E35:BP35" si="40">SUM(E3:E34)</f>
        <v>68</v>
      </c>
      <c r="F35" s="48">
        <f t="shared" si="40"/>
        <v>0</v>
      </c>
      <c r="G35" s="48">
        <f t="shared" si="40"/>
        <v>0</v>
      </c>
      <c r="H35" s="48">
        <f t="shared" si="40"/>
        <v>46</v>
      </c>
      <c r="I35" s="48">
        <f t="shared" si="40"/>
        <v>14</v>
      </c>
      <c r="J35" s="48">
        <f t="shared" si="40"/>
        <v>32</v>
      </c>
      <c r="K35" s="48">
        <f t="shared" si="40"/>
        <v>1</v>
      </c>
      <c r="L35" s="48">
        <f t="shared" si="40"/>
        <v>38</v>
      </c>
      <c r="M35" s="48">
        <f t="shared" si="40"/>
        <v>9</v>
      </c>
      <c r="N35" s="48">
        <f t="shared" si="40"/>
        <v>29</v>
      </c>
      <c r="O35" s="48">
        <f t="shared" si="40"/>
        <v>2</v>
      </c>
      <c r="P35" s="48">
        <f t="shared" si="40"/>
        <v>48</v>
      </c>
      <c r="Q35" s="48">
        <f t="shared" si="40"/>
        <v>48</v>
      </c>
      <c r="R35" s="48">
        <f t="shared" si="40"/>
        <v>0</v>
      </c>
      <c r="S35" s="48">
        <f t="shared" si="40"/>
        <v>14</v>
      </c>
      <c r="T35" s="48">
        <f t="shared" si="40"/>
        <v>48</v>
      </c>
      <c r="U35" s="48">
        <f t="shared" si="40"/>
        <v>37</v>
      </c>
      <c r="V35" s="48">
        <f t="shared" si="40"/>
        <v>11</v>
      </c>
      <c r="W35" s="48">
        <f t="shared" si="40"/>
        <v>8</v>
      </c>
      <c r="X35" s="48">
        <f t="shared" si="40"/>
        <v>72</v>
      </c>
      <c r="Y35" s="48">
        <f t="shared" si="40"/>
        <v>72</v>
      </c>
      <c r="Z35" s="48">
        <f t="shared" si="40"/>
        <v>0</v>
      </c>
      <c r="AA35" s="48">
        <f t="shared" si="40"/>
        <v>4</v>
      </c>
      <c r="AB35" s="48">
        <f t="shared" si="40"/>
        <v>20</v>
      </c>
      <c r="AC35" s="48">
        <f>SUM(AC3:AC34)</f>
        <v>18</v>
      </c>
      <c r="AD35" s="48">
        <f t="shared" si="40"/>
        <v>2</v>
      </c>
      <c r="AE35" s="48">
        <f t="shared" si="40"/>
        <v>0</v>
      </c>
      <c r="AF35" s="48">
        <f t="shared" si="40"/>
        <v>72</v>
      </c>
      <c r="AG35" s="48">
        <f t="shared" si="40"/>
        <v>72</v>
      </c>
      <c r="AH35" s="48">
        <f t="shared" si="40"/>
        <v>0</v>
      </c>
      <c r="AI35" s="48">
        <f t="shared" si="40"/>
        <v>0</v>
      </c>
      <c r="AJ35" s="48">
        <f t="shared" si="40"/>
        <v>16</v>
      </c>
      <c r="AK35" s="48">
        <f t="shared" si="40"/>
        <v>16</v>
      </c>
      <c r="AL35" s="48">
        <f t="shared" si="40"/>
        <v>0</v>
      </c>
      <c r="AM35" s="48">
        <f t="shared" si="40"/>
        <v>2</v>
      </c>
      <c r="AN35" s="48">
        <f t="shared" si="40"/>
        <v>2</v>
      </c>
      <c r="AO35" s="48">
        <f t="shared" si="40"/>
        <v>1</v>
      </c>
      <c r="AP35" s="48">
        <f t="shared" si="40"/>
        <v>1</v>
      </c>
      <c r="AQ35" s="48">
        <f t="shared" si="40"/>
        <v>8</v>
      </c>
      <c r="AR35" s="48">
        <f t="shared" si="40"/>
        <v>4</v>
      </c>
      <c r="AS35" s="48">
        <f t="shared" si="40"/>
        <v>0</v>
      </c>
      <c r="AT35" s="48">
        <f t="shared" si="40"/>
        <v>4</v>
      </c>
      <c r="AU35" s="48">
        <f t="shared" si="40"/>
        <v>5</v>
      </c>
      <c r="AV35" s="48">
        <f t="shared" si="40"/>
        <v>8</v>
      </c>
      <c r="AW35" s="48">
        <f t="shared" si="40"/>
        <v>2</v>
      </c>
      <c r="AX35" s="48">
        <f t="shared" si="40"/>
        <v>6</v>
      </c>
      <c r="AY35" s="48">
        <f t="shared" si="40"/>
        <v>11</v>
      </c>
      <c r="AZ35" s="48">
        <f t="shared" si="40"/>
        <v>36</v>
      </c>
      <c r="BA35" s="48">
        <f t="shared" si="40"/>
        <v>24</v>
      </c>
      <c r="BB35" s="48">
        <f t="shared" si="40"/>
        <v>12</v>
      </c>
      <c r="BC35" s="48">
        <f t="shared" si="40"/>
        <v>17</v>
      </c>
      <c r="BD35" s="48">
        <f t="shared" si="40"/>
        <v>8</v>
      </c>
      <c r="BE35" s="48">
        <f t="shared" si="40"/>
        <v>3</v>
      </c>
      <c r="BF35" s="48">
        <f t="shared" si="40"/>
        <v>5</v>
      </c>
      <c r="BG35" s="48">
        <f t="shared" si="40"/>
        <v>0</v>
      </c>
      <c r="BH35" s="48">
        <f t="shared" si="40"/>
        <v>2</v>
      </c>
      <c r="BI35" s="48">
        <f t="shared" si="40"/>
        <v>2</v>
      </c>
      <c r="BJ35" s="48">
        <f t="shared" si="40"/>
        <v>0</v>
      </c>
      <c r="BK35" s="48">
        <f t="shared" si="40"/>
        <v>0</v>
      </c>
      <c r="BL35" s="48">
        <f t="shared" si="40"/>
        <v>0</v>
      </c>
      <c r="BM35" s="48">
        <f t="shared" si="40"/>
        <v>0</v>
      </c>
      <c r="BN35" s="48">
        <f t="shared" si="40"/>
        <v>0</v>
      </c>
      <c r="BO35" s="48">
        <f t="shared" si="40"/>
        <v>3</v>
      </c>
      <c r="BP35" s="48">
        <f t="shared" si="40"/>
        <v>6</v>
      </c>
      <c r="BQ35" s="48">
        <f t="shared" ref="BQ35:BS35" si="41">SUM(BQ3:BQ34)</f>
        <v>2</v>
      </c>
      <c r="BR35" s="48">
        <f t="shared" si="41"/>
        <v>4</v>
      </c>
      <c r="BS35" s="48">
        <f t="shared" si="41"/>
        <v>4</v>
      </c>
    </row>
    <row r="37" spans="1:77" x14ac:dyDescent="0.35">
      <c r="C37" s="134" t="s">
        <v>23</v>
      </c>
      <c r="D37" s="143">
        <f>IFERROR(E35/(E35+F35),"")</f>
        <v>1</v>
      </c>
      <c r="E37" s="144"/>
      <c r="F37" s="144"/>
      <c r="G37" s="145"/>
      <c r="H37" s="143">
        <f t="shared" ref="H37" si="42">IFERROR(I35/(I35+J35),"")</f>
        <v>0.30434782608695654</v>
      </c>
      <c r="I37" s="144"/>
      <c r="J37" s="144"/>
      <c r="K37" s="145"/>
      <c r="L37" s="143">
        <f t="shared" ref="L37" si="43">IFERROR(M35/(M35+N35),"")</f>
        <v>0.23684210526315788</v>
      </c>
      <c r="M37" s="144"/>
      <c r="N37" s="144"/>
      <c r="O37" s="145"/>
      <c r="P37" s="143">
        <f t="shared" ref="P37" si="44">IFERROR(Q35/(Q35+R35),"")</f>
        <v>1</v>
      </c>
      <c r="Q37" s="144"/>
      <c r="R37" s="144"/>
      <c r="S37" s="145"/>
      <c r="T37" s="143">
        <f t="shared" ref="T37" si="45">IFERROR(U35/(U35+V35),"")</f>
        <v>0.77083333333333337</v>
      </c>
      <c r="U37" s="144"/>
      <c r="V37" s="144"/>
      <c r="W37" s="145"/>
      <c r="X37" s="143">
        <f t="shared" ref="X37" si="46">IFERROR(Y35/(Y35+Z35),"")</f>
        <v>1</v>
      </c>
      <c r="Y37" s="144"/>
      <c r="Z37" s="144"/>
      <c r="AA37" s="145"/>
      <c r="AB37" s="143">
        <f t="shared" ref="AB37" si="47">IFERROR(AC35/(AC35+AD35),"")</f>
        <v>0.9</v>
      </c>
      <c r="AC37" s="144"/>
      <c r="AD37" s="144"/>
      <c r="AE37" s="145"/>
      <c r="AF37" s="143">
        <f t="shared" ref="AF37" si="48">IFERROR(AG35/(AG35+AH35),"")</f>
        <v>1</v>
      </c>
      <c r="AG37" s="144"/>
      <c r="AH37" s="144"/>
      <c r="AI37" s="145"/>
      <c r="AJ37" s="143">
        <f t="shared" ref="AJ37" si="49">IFERROR(AK35/(AK35+AL35),"")</f>
        <v>1</v>
      </c>
      <c r="AK37" s="144"/>
      <c r="AL37" s="144"/>
      <c r="AM37" s="145"/>
      <c r="AN37" s="143">
        <f t="shared" ref="AN37" si="50">IFERROR(AO35/(AO35+AP35),"")</f>
        <v>0.5</v>
      </c>
      <c r="AO37" s="144"/>
      <c r="AP37" s="144"/>
      <c r="AQ37" s="145"/>
      <c r="AR37" s="143">
        <f t="shared" ref="AR37" si="51">IFERROR(AS35/(AS35+AT35),"")</f>
        <v>0</v>
      </c>
      <c r="AS37" s="144"/>
      <c r="AT37" s="144"/>
      <c r="AU37" s="145"/>
      <c r="AV37" s="143">
        <f t="shared" ref="AV37" si="52">IFERROR(AW35/(AW35+AX35),"")</f>
        <v>0.25</v>
      </c>
      <c r="AW37" s="144"/>
      <c r="AX37" s="144"/>
      <c r="AY37" s="145"/>
      <c r="AZ37" s="143">
        <f t="shared" ref="AZ37" si="53">IFERROR(BA35/(BA35+BB35),"")</f>
        <v>0.66666666666666663</v>
      </c>
      <c r="BA37" s="144"/>
      <c r="BB37" s="144"/>
      <c r="BC37" s="145"/>
      <c r="BD37" s="143">
        <f t="shared" ref="BD37" si="54">IFERROR(BE35/(BE35+BF35),"")</f>
        <v>0.375</v>
      </c>
      <c r="BE37" s="144"/>
      <c r="BF37" s="144"/>
      <c r="BG37" s="145"/>
      <c r="BH37" s="143">
        <f t="shared" ref="BH37" si="55">IFERROR(BI35/(BI35+BJ35),"")</f>
        <v>1</v>
      </c>
      <c r="BI37" s="144"/>
      <c r="BJ37" s="144"/>
      <c r="BK37" s="145"/>
      <c r="BL37" s="143" t="str">
        <f t="shared" ref="BL37" si="56">IFERROR(BM35/(BM35+BN35),"")</f>
        <v/>
      </c>
      <c r="BM37" s="144"/>
      <c r="BN37" s="144"/>
      <c r="BO37" s="145"/>
      <c r="BP37" s="143">
        <f t="shared" ref="BP37" si="57">IFERROR(BQ35/(BQ35+BR35),"")</f>
        <v>0.33333333333333331</v>
      </c>
      <c r="BQ37" s="144"/>
      <c r="BR37" s="144"/>
      <c r="BS37" s="145"/>
    </row>
    <row r="38" spans="1:77" x14ac:dyDescent="0.35">
      <c r="C38" s="134" t="s">
        <v>141</v>
      </c>
      <c r="D38" s="143">
        <f>IFERROR(E35/(E35+G35),"")</f>
        <v>1</v>
      </c>
      <c r="E38" s="144"/>
      <c r="F38" s="144"/>
      <c r="G38" s="145"/>
      <c r="H38" s="143">
        <f t="shared" ref="H38" si="58">IFERROR(I35/(I35+K35),"")</f>
        <v>0.93333333333333335</v>
      </c>
      <c r="I38" s="144"/>
      <c r="J38" s="144"/>
      <c r="K38" s="145"/>
      <c r="L38" s="143">
        <f t="shared" ref="L38" si="59">IFERROR(M35/(M35+O35),"")</f>
        <v>0.81818181818181823</v>
      </c>
      <c r="M38" s="144"/>
      <c r="N38" s="144"/>
      <c r="O38" s="145"/>
      <c r="P38" s="143">
        <f t="shared" ref="P38" si="60">IFERROR(Q35/(Q35+S35),"")</f>
        <v>0.77419354838709675</v>
      </c>
      <c r="Q38" s="144"/>
      <c r="R38" s="144"/>
      <c r="S38" s="145"/>
      <c r="T38" s="143">
        <f t="shared" ref="T38" si="61">IFERROR(U35/(U35+W35),"")</f>
        <v>0.82222222222222219</v>
      </c>
      <c r="U38" s="144"/>
      <c r="V38" s="144"/>
      <c r="W38" s="145"/>
      <c r="X38" s="143">
        <f t="shared" ref="X38" si="62">IFERROR(Y35/(Y35+AA35),"")</f>
        <v>0.94736842105263153</v>
      </c>
      <c r="Y38" s="144"/>
      <c r="Z38" s="144"/>
      <c r="AA38" s="145"/>
      <c r="AB38" s="143">
        <f t="shared" ref="AB38" si="63">IFERROR(AC35/(AC35+AE35),"")</f>
        <v>1</v>
      </c>
      <c r="AC38" s="144"/>
      <c r="AD38" s="144"/>
      <c r="AE38" s="145"/>
      <c r="AF38" s="143">
        <f t="shared" ref="AF38" si="64">IFERROR(AG35/(AG35+AI35),"")</f>
        <v>1</v>
      </c>
      <c r="AG38" s="144"/>
      <c r="AH38" s="144"/>
      <c r="AI38" s="145"/>
      <c r="AJ38" s="143">
        <f t="shared" ref="AJ38" si="65">IFERROR(AK35/(AK35+AM35),"")</f>
        <v>0.88888888888888884</v>
      </c>
      <c r="AK38" s="144"/>
      <c r="AL38" s="144"/>
      <c r="AM38" s="145"/>
      <c r="AN38" s="143">
        <f t="shared" ref="AN38" si="66">IFERROR(AO35/(AO35+AQ35),"")</f>
        <v>0.1111111111111111</v>
      </c>
      <c r="AO38" s="144"/>
      <c r="AP38" s="144"/>
      <c r="AQ38" s="145"/>
      <c r="AR38" s="143">
        <f t="shared" ref="AR38" si="67">IFERROR(AS35/(AS35+AU35),"")</f>
        <v>0</v>
      </c>
      <c r="AS38" s="144"/>
      <c r="AT38" s="144"/>
      <c r="AU38" s="145"/>
      <c r="AV38" s="143">
        <f t="shared" ref="AV38" si="68">IFERROR(AW35/(AW35+AY35),"")</f>
        <v>0.15384615384615385</v>
      </c>
      <c r="AW38" s="144"/>
      <c r="AX38" s="144"/>
      <c r="AY38" s="145"/>
      <c r="AZ38" s="143">
        <f t="shared" ref="AZ38" si="69">IFERROR(BA35/(BA35+BC35),"")</f>
        <v>0.58536585365853655</v>
      </c>
      <c r="BA38" s="144"/>
      <c r="BB38" s="144"/>
      <c r="BC38" s="145"/>
      <c r="BD38" s="143">
        <f t="shared" ref="BD38" si="70">IFERROR(BE35/(BE35+BG35),"")</f>
        <v>1</v>
      </c>
      <c r="BE38" s="144"/>
      <c r="BF38" s="144"/>
      <c r="BG38" s="145"/>
      <c r="BH38" s="143">
        <f t="shared" ref="BH38" si="71">IFERROR(BI35/(BI35+BK35),"")</f>
        <v>1</v>
      </c>
      <c r="BI38" s="144"/>
      <c r="BJ38" s="144"/>
      <c r="BK38" s="145"/>
      <c r="BL38" s="143">
        <f t="shared" ref="BL38" si="72">IFERROR(BM35/(BM35+BO35),"")</f>
        <v>0</v>
      </c>
      <c r="BM38" s="144"/>
      <c r="BN38" s="144"/>
      <c r="BO38" s="145"/>
      <c r="BP38" s="143">
        <f t="shared" ref="BP38" si="73">IFERROR(BQ35/(BQ35+BS35),"")</f>
        <v>0.33333333333333331</v>
      </c>
      <c r="BQ38" s="144"/>
      <c r="BR38" s="144"/>
      <c r="BS38" s="145"/>
    </row>
    <row r="39" spans="1:77" x14ac:dyDescent="0.35">
      <c r="C39" s="134" t="s">
        <v>24</v>
      </c>
      <c r="D39" s="143">
        <f>IFERROR(2*D37*D38/(D37+D38),IF(AND(D37=0,D38=0),0,""))</f>
        <v>1</v>
      </c>
      <c r="E39" s="144"/>
      <c r="F39" s="144"/>
      <c r="G39" s="145"/>
      <c r="H39" s="143">
        <f t="shared" ref="H39" si="74">IFERROR(2*H37*H38/(H37+H38),IF(AND(H37=0,H38=0),0,""))</f>
        <v>0.45901639344262296</v>
      </c>
      <c r="I39" s="144"/>
      <c r="J39" s="144"/>
      <c r="K39" s="145"/>
      <c r="L39" s="143">
        <f t="shared" ref="L39" si="75">IFERROR(2*L37*L38/(L37+L38),IF(AND(L37=0,L38=0),0,""))</f>
        <v>0.36734693877551022</v>
      </c>
      <c r="M39" s="144"/>
      <c r="N39" s="144"/>
      <c r="O39" s="145"/>
      <c r="P39" s="143">
        <f t="shared" ref="P39" si="76">IFERROR(2*P37*P38/(P37+P38),IF(AND(P37=0,P38=0),0,""))</f>
        <v>0.87272727272727268</v>
      </c>
      <c r="Q39" s="144"/>
      <c r="R39" s="144"/>
      <c r="S39" s="145"/>
      <c r="T39" s="143">
        <f t="shared" ref="T39" si="77">IFERROR(2*T37*T38/(T37+T38),IF(AND(T37=0,T38=0),0,""))</f>
        <v>0.79569892473118287</v>
      </c>
      <c r="U39" s="144"/>
      <c r="V39" s="144"/>
      <c r="W39" s="145"/>
      <c r="X39" s="143">
        <f t="shared" ref="X39" si="78">IFERROR(2*X37*X38/(X37+X38),IF(AND(X37=0,X38=0),0,""))</f>
        <v>0.97297297297297303</v>
      </c>
      <c r="Y39" s="144"/>
      <c r="Z39" s="144"/>
      <c r="AA39" s="145"/>
      <c r="AB39" s="143">
        <f t="shared" ref="AB39" si="79">IFERROR(2*AB37*AB38/(AB37+AB38),IF(AND(AB37=0,AB38=0),0,""))</f>
        <v>0.94736842105263164</v>
      </c>
      <c r="AC39" s="144"/>
      <c r="AD39" s="144"/>
      <c r="AE39" s="145"/>
      <c r="AF39" s="143">
        <f t="shared" ref="AF39" si="80">IFERROR(2*AF37*AF38/(AF37+AF38),IF(AND(AF37=0,AF38=0),0,""))</f>
        <v>1</v>
      </c>
      <c r="AG39" s="144"/>
      <c r="AH39" s="144"/>
      <c r="AI39" s="145"/>
      <c r="AJ39" s="143">
        <f t="shared" ref="AJ39" si="81">IFERROR(2*AJ37*AJ38/(AJ37+AJ38),IF(AND(AJ37=0,AJ38=0),0,""))</f>
        <v>0.94117647058823528</v>
      </c>
      <c r="AK39" s="144"/>
      <c r="AL39" s="144"/>
      <c r="AM39" s="145"/>
      <c r="AN39" s="143">
        <f t="shared" ref="AN39" si="82">IFERROR(2*AN37*AN38/(AN37+AN38),IF(AND(AN37=0,AN38=0),0,""))</f>
        <v>0.1818181818181818</v>
      </c>
      <c r="AO39" s="144"/>
      <c r="AP39" s="144"/>
      <c r="AQ39" s="145"/>
      <c r="AR39" s="143">
        <f t="shared" ref="AR39" si="83">IFERROR(2*AR37*AR38/(AR37+AR38),IF(AND(AR37=0,AR38=0),0,""))</f>
        <v>0</v>
      </c>
      <c r="AS39" s="144"/>
      <c r="AT39" s="144"/>
      <c r="AU39" s="145"/>
      <c r="AV39" s="143">
        <f t="shared" ref="AV39" si="84">IFERROR(2*AV37*AV38/(AV37+AV38),IF(AND(AV37=0,AV38=0),0,""))</f>
        <v>0.19047619047619049</v>
      </c>
      <c r="AW39" s="144"/>
      <c r="AX39" s="144"/>
      <c r="AY39" s="145"/>
      <c r="AZ39" s="143">
        <f t="shared" ref="AZ39" si="85">IFERROR(2*AZ37*AZ38/(AZ37+AZ38),IF(AND(AZ37=0,AZ38=0),0,""))</f>
        <v>0.62337662337662336</v>
      </c>
      <c r="BA39" s="144"/>
      <c r="BB39" s="144"/>
      <c r="BC39" s="145"/>
      <c r="BD39" s="143">
        <f t="shared" ref="BD39" si="86">IFERROR(2*BD37*BD38/(BD37+BD38),IF(AND(BD37=0,BD38=0),0,""))</f>
        <v>0.54545454545454541</v>
      </c>
      <c r="BE39" s="144"/>
      <c r="BF39" s="144"/>
      <c r="BG39" s="145"/>
      <c r="BH39" s="143">
        <f t="shared" ref="BH39" si="87">IFERROR(2*BH37*BH38/(BH37+BH38),IF(AND(BH37=0,BH38=0),0,""))</f>
        <v>1</v>
      </c>
      <c r="BI39" s="144"/>
      <c r="BJ39" s="144"/>
      <c r="BK39" s="145"/>
      <c r="BL39" s="143" t="str">
        <f t="shared" ref="BL39" si="88">IFERROR(2*BL37*BL38/(BL37+BL38),IF(AND(BL37=0,BL38=0),0,""))</f>
        <v/>
      </c>
      <c r="BM39" s="144"/>
      <c r="BN39" s="144"/>
      <c r="BO39" s="145"/>
      <c r="BP39" s="143">
        <f t="shared" ref="BP39" si="89">IFERROR(2*BP37*BP38/(BP37+BP38),IF(AND(BP37=0,BP38=0),0,""))</f>
        <v>0.33333333333333331</v>
      </c>
      <c r="BQ39" s="144"/>
      <c r="BR39" s="144"/>
      <c r="BS39" s="145"/>
    </row>
  </sheetData>
  <mergeCells count="82">
    <mergeCell ref="A1:A2"/>
    <mergeCell ref="B1:B2"/>
    <mergeCell ref="C1:C2"/>
    <mergeCell ref="D1:G1"/>
    <mergeCell ref="H1:K1"/>
    <mergeCell ref="BX1:BX2"/>
    <mergeCell ref="AZ1:BC1"/>
    <mergeCell ref="BD1:BG1"/>
    <mergeCell ref="BH1:BK1"/>
    <mergeCell ref="BL1:BO1"/>
    <mergeCell ref="BP1:BS1"/>
    <mergeCell ref="B3:B34"/>
    <mergeCell ref="BT1:BT2"/>
    <mergeCell ref="BU1:BU2"/>
    <mergeCell ref="BV1:BV2"/>
    <mergeCell ref="BW1:BW2"/>
    <mergeCell ref="AF1:AI1"/>
    <mergeCell ref="AJ1:AM1"/>
    <mergeCell ref="AN1:AQ1"/>
    <mergeCell ref="AR1:AU1"/>
    <mergeCell ref="AV1:AY1"/>
    <mergeCell ref="L1:O1"/>
    <mergeCell ref="P1:S1"/>
    <mergeCell ref="T1:W1"/>
    <mergeCell ref="X1:AA1"/>
    <mergeCell ref="AB1:AE1"/>
    <mergeCell ref="CC1:CC2"/>
    <mergeCell ref="CD1:CD2"/>
    <mergeCell ref="CE1:CE2"/>
    <mergeCell ref="CF1:CF2"/>
    <mergeCell ref="BY1:BY2"/>
    <mergeCell ref="D37:G37"/>
    <mergeCell ref="H37:K37"/>
    <mergeCell ref="L37:O37"/>
    <mergeCell ref="P37:S37"/>
    <mergeCell ref="T37:W37"/>
    <mergeCell ref="X37:AA37"/>
    <mergeCell ref="AB37:AE37"/>
    <mergeCell ref="AF37:AI37"/>
    <mergeCell ref="AJ37:AM37"/>
    <mergeCell ref="AN37:AQ37"/>
    <mergeCell ref="X38:AA38"/>
    <mergeCell ref="AB38:AE38"/>
    <mergeCell ref="AF38:AI38"/>
    <mergeCell ref="AJ38:AM38"/>
    <mergeCell ref="AN38:AQ38"/>
    <mergeCell ref="D38:G38"/>
    <mergeCell ref="H38:K38"/>
    <mergeCell ref="L38:O38"/>
    <mergeCell ref="P38:S38"/>
    <mergeCell ref="T38:W38"/>
    <mergeCell ref="AR39:AU39"/>
    <mergeCell ref="AV39:AY39"/>
    <mergeCell ref="AZ39:BC39"/>
    <mergeCell ref="BL37:BO37"/>
    <mergeCell ref="BP37:BS37"/>
    <mergeCell ref="AR38:AU38"/>
    <mergeCell ref="AV38:AY38"/>
    <mergeCell ref="AZ38:BC38"/>
    <mergeCell ref="BD38:BG38"/>
    <mergeCell ref="AR37:AU37"/>
    <mergeCell ref="AV37:AY37"/>
    <mergeCell ref="AZ37:BC37"/>
    <mergeCell ref="BD37:BG37"/>
    <mergeCell ref="BH37:BK37"/>
    <mergeCell ref="BD39:BG39"/>
    <mergeCell ref="BH39:BK39"/>
    <mergeCell ref="X39:AA39"/>
    <mergeCell ref="AB39:AE39"/>
    <mergeCell ref="AF39:AI39"/>
    <mergeCell ref="AJ39:AM39"/>
    <mergeCell ref="AN39:AQ39"/>
    <mergeCell ref="D39:G39"/>
    <mergeCell ref="H39:K39"/>
    <mergeCell ref="L39:O39"/>
    <mergeCell ref="P39:S39"/>
    <mergeCell ref="T39:W39"/>
    <mergeCell ref="BL39:BO39"/>
    <mergeCell ref="BP39:BS39"/>
    <mergeCell ref="BH38:BK38"/>
    <mergeCell ref="BL38:BO38"/>
    <mergeCell ref="BP38:BS38"/>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296D-95C9-440A-8392-02CAB74DEC40}">
  <dimension ref="A1:CF91"/>
  <sheetViews>
    <sheetView zoomScale="75" zoomScaleNormal="75" workbookViewId="0">
      <pane ySplit="2" topLeftCell="A17" activePane="bottomLeft" state="frozen"/>
      <selection activeCell="E37" sqref="E37:BT39"/>
      <selection pane="bottomLeft" activeCell="C38" sqref="C38"/>
    </sheetView>
  </sheetViews>
  <sheetFormatPr defaultRowHeight="14.5" x14ac:dyDescent="0.35"/>
  <cols>
    <col min="1" max="1" width="11.1796875" customWidth="1"/>
    <col min="2" max="2" width="35.26953125" customWidth="1"/>
    <col min="3" max="3" width="13.08984375" bestFit="1" customWidth="1"/>
    <col min="4" max="4" width="7.7265625" customWidth="1"/>
    <col min="5" max="5" width="7.6328125" customWidth="1"/>
    <col min="6" max="6" width="7.26953125" customWidth="1"/>
    <col min="7" max="7" width="7.36328125" customWidth="1"/>
    <col min="8" max="8" width="6.54296875" customWidth="1"/>
    <col min="9" max="9" width="7.7265625" customWidth="1"/>
    <col min="10" max="10" width="7" customWidth="1"/>
    <col min="11" max="11" width="7.453125" customWidth="1"/>
    <col min="12" max="12" width="7.26953125" customWidth="1"/>
    <col min="13" max="13" width="7.36328125" customWidth="1"/>
    <col min="14" max="14" width="7.6328125" customWidth="1"/>
    <col min="15" max="15" width="7.81640625" customWidth="1"/>
    <col min="16" max="16" width="6" customWidth="1"/>
    <col min="17" max="17" width="5.81640625" customWidth="1"/>
    <col min="18" max="18" width="6.26953125" customWidth="1"/>
    <col min="19" max="19" width="6.6328125" customWidth="1"/>
    <col min="20" max="20" width="7.36328125" customWidth="1"/>
    <col min="21" max="21" width="6.453125" customWidth="1"/>
    <col min="22" max="22" width="6.26953125" customWidth="1"/>
    <col min="23" max="23" width="6.6328125" customWidth="1"/>
    <col min="24" max="24" width="5.81640625" customWidth="1"/>
    <col min="25" max="25" width="6.7265625" customWidth="1"/>
    <col min="26" max="26" width="6.08984375" customWidth="1"/>
    <col min="27" max="27" width="6.7265625" customWidth="1"/>
    <col min="28" max="28" width="6.26953125" customWidth="1"/>
    <col min="29" max="29" width="6.54296875" customWidth="1"/>
    <col min="30" max="30" width="6.90625" customWidth="1"/>
    <col min="31" max="31" width="7.6328125" customWidth="1"/>
    <col min="32" max="32" width="7.1796875" customWidth="1"/>
    <col min="33" max="33" width="8.54296875" customWidth="1"/>
    <col min="34" max="34" width="8.6328125" customWidth="1"/>
    <col min="35" max="35" width="7.08984375" customWidth="1"/>
    <col min="36" max="36" width="6.54296875" customWidth="1"/>
    <col min="37" max="37" width="7.08984375" customWidth="1"/>
    <col min="38" max="38" width="6.7265625" customWidth="1"/>
    <col min="39" max="39" width="7.36328125" customWidth="1"/>
    <col min="40" max="40" width="6.6328125" customWidth="1"/>
    <col min="41" max="41" width="6.81640625" customWidth="1"/>
    <col min="42" max="42" width="6.7265625" customWidth="1"/>
    <col min="43" max="43" width="6.90625" customWidth="1"/>
    <col min="44" max="44" width="6.7265625" customWidth="1"/>
    <col min="45" max="45" width="6.81640625" customWidth="1"/>
    <col min="46" max="46" width="7" customWidth="1"/>
    <col min="47" max="47" width="7.1796875" customWidth="1"/>
    <col min="48" max="48" width="9" customWidth="1"/>
    <col min="49" max="49" width="9.36328125" customWidth="1"/>
    <col min="50" max="50" width="8.6328125" customWidth="1"/>
    <col min="51" max="51" width="9.6328125" customWidth="1"/>
    <col min="52" max="52" width="7.26953125" customWidth="1"/>
    <col min="53" max="53" width="7.36328125" customWidth="1"/>
    <col min="54" max="54" width="8" customWidth="1"/>
    <col min="55" max="55" width="7.81640625" customWidth="1"/>
    <col min="56" max="56" width="6.26953125" customWidth="1"/>
    <col min="57" max="57" width="7.90625" customWidth="1"/>
    <col min="58" max="58" width="7.1796875" customWidth="1"/>
    <col min="59" max="59" width="7.453125" customWidth="1"/>
    <col min="60" max="60" width="7.36328125" customWidth="1"/>
    <col min="61" max="61" width="6.90625" customWidth="1"/>
    <col min="62" max="62" width="7.36328125" customWidth="1"/>
    <col min="63" max="63" width="7.90625" customWidth="1"/>
    <col min="64" max="64" width="6.6328125" customWidth="1"/>
    <col min="65" max="65" width="7.1796875" customWidth="1"/>
    <col min="66" max="66" width="6.54296875" customWidth="1"/>
    <col min="67" max="67" width="7.7265625" customWidth="1"/>
    <col min="68" max="68" width="6.54296875" customWidth="1"/>
    <col min="69" max="69" width="7.26953125" customWidth="1"/>
    <col min="70" max="70" width="6.90625" customWidth="1"/>
    <col min="71" max="71" width="5.453125" customWidth="1"/>
    <col min="72" max="72" width="9" customWidth="1"/>
    <col min="76" max="76" width="11.90625" bestFit="1" customWidth="1"/>
    <col min="81" max="81" width="13.08984375" bestFit="1" customWidth="1"/>
    <col min="83" max="83" width="11.90625" bestFit="1" customWidth="1"/>
  </cols>
  <sheetData>
    <row r="1" spans="1:84" ht="15.5" thickTop="1" thickBot="1" x14ac:dyDescent="0.4">
      <c r="A1" s="153" t="s">
        <v>0</v>
      </c>
      <c r="B1" s="161" t="s">
        <v>1</v>
      </c>
      <c r="C1" s="151" t="s">
        <v>2</v>
      </c>
      <c r="D1" s="164" t="s">
        <v>3</v>
      </c>
      <c r="E1" s="165"/>
      <c r="F1" s="165"/>
      <c r="G1" s="166"/>
      <c r="H1" s="158" t="s">
        <v>95</v>
      </c>
      <c r="I1" s="158"/>
      <c r="J1" s="158"/>
      <c r="K1" s="159"/>
      <c r="L1" s="153" t="s">
        <v>96</v>
      </c>
      <c r="M1" s="149"/>
      <c r="N1" s="149"/>
      <c r="O1" s="151"/>
      <c r="P1" s="153" t="s">
        <v>97</v>
      </c>
      <c r="Q1" s="149"/>
      <c r="R1" s="149"/>
      <c r="S1" s="151"/>
      <c r="T1" s="153" t="s">
        <v>98</v>
      </c>
      <c r="U1" s="149"/>
      <c r="V1" s="149"/>
      <c r="W1" s="151"/>
      <c r="X1" s="153" t="s">
        <v>99</v>
      </c>
      <c r="Y1" s="149"/>
      <c r="Z1" s="149"/>
      <c r="AA1" s="151"/>
      <c r="AB1" s="153" t="s">
        <v>100</v>
      </c>
      <c r="AC1" s="149"/>
      <c r="AD1" s="149"/>
      <c r="AE1" s="151"/>
      <c r="AF1" s="153" t="s">
        <v>101</v>
      </c>
      <c r="AG1" s="149"/>
      <c r="AH1" s="149"/>
      <c r="AI1" s="151"/>
      <c r="AJ1" s="153" t="s">
        <v>102</v>
      </c>
      <c r="AK1" s="149"/>
      <c r="AL1" s="149"/>
      <c r="AM1" s="151"/>
      <c r="AN1" s="153" t="s">
        <v>103</v>
      </c>
      <c r="AO1" s="149"/>
      <c r="AP1" s="149"/>
      <c r="AQ1" s="151"/>
      <c r="AR1" s="153" t="s">
        <v>104</v>
      </c>
      <c r="AS1" s="149"/>
      <c r="AT1" s="149"/>
      <c r="AU1" s="151"/>
      <c r="AV1" s="153" t="s">
        <v>105</v>
      </c>
      <c r="AW1" s="149"/>
      <c r="AX1" s="149"/>
      <c r="AY1" s="156"/>
      <c r="AZ1" s="157" t="s">
        <v>106</v>
      </c>
      <c r="BA1" s="158"/>
      <c r="BB1" s="158"/>
      <c r="BC1" s="159"/>
      <c r="BD1" s="153" t="s">
        <v>107</v>
      </c>
      <c r="BE1" s="149"/>
      <c r="BF1" s="149"/>
      <c r="BG1" s="151"/>
      <c r="BH1" s="153" t="s">
        <v>108</v>
      </c>
      <c r="BI1" s="149"/>
      <c r="BJ1" s="149"/>
      <c r="BK1" s="151"/>
      <c r="BL1" s="153" t="s">
        <v>109</v>
      </c>
      <c r="BM1" s="149"/>
      <c r="BN1" s="149"/>
      <c r="BO1" s="151"/>
      <c r="BP1" s="153" t="s">
        <v>110</v>
      </c>
      <c r="BQ1" s="149"/>
      <c r="BR1" s="149"/>
      <c r="BS1" s="151"/>
      <c r="BT1" s="154" t="s">
        <v>20</v>
      </c>
      <c r="BU1" s="149" t="s">
        <v>21</v>
      </c>
      <c r="BV1" s="149" t="s">
        <v>22</v>
      </c>
      <c r="BW1" s="149" t="s">
        <v>23</v>
      </c>
      <c r="BX1" s="149" t="s">
        <v>141</v>
      </c>
      <c r="BY1" s="151" t="s">
        <v>24</v>
      </c>
      <c r="CC1" s="146" t="s">
        <v>2</v>
      </c>
      <c r="CD1" s="146" t="str">
        <f>BW1</f>
        <v>Recall</v>
      </c>
      <c r="CE1" s="146" t="str">
        <f>BX1</f>
        <v>Precision</v>
      </c>
      <c r="CF1" s="146" t="str">
        <f>BY1</f>
        <v>F1</v>
      </c>
    </row>
    <row r="2" spans="1:84" ht="15.5" thickTop="1" thickBot="1" x14ac:dyDescent="0.4">
      <c r="A2" s="160"/>
      <c r="B2" s="162"/>
      <c r="C2" s="163"/>
      <c r="D2" s="6" t="s">
        <v>25</v>
      </c>
      <c r="E2" s="1" t="s">
        <v>20</v>
      </c>
      <c r="F2" s="1" t="s">
        <v>21</v>
      </c>
      <c r="G2" s="2" t="s">
        <v>22</v>
      </c>
      <c r="H2" s="1" t="s">
        <v>25</v>
      </c>
      <c r="I2" s="4" t="s">
        <v>20</v>
      </c>
      <c r="J2" s="4" t="s">
        <v>21</v>
      </c>
      <c r="K2" s="2" t="s">
        <v>22</v>
      </c>
      <c r="L2" s="1" t="s">
        <v>25</v>
      </c>
      <c r="M2" s="4" t="s">
        <v>20</v>
      </c>
      <c r="N2" s="4" t="s">
        <v>21</v>
      </c>
      <c r="O2" s="2" t="s">
        <v>22</v>
      </c>
      <c r="P2" s="1" t="s">
        <v>25</v>
      </c>
      <c r="Q2" s="4" t="s">
        <v>20</v>
      </c>
      <c r="R2" s="4" t="s">
        <v>21</v>
      </c>
      <c r="S2" s="2" t="s">
        <v>22</v>
      </c>
      <c r="T2" s="1" t="s">
        <v>25</v>
      </c>
      <c r="U2" s="4" t="s">
        <v>20</v>
      </c>
      <c r="V2" s="4" t="s">
        <v>21</v>
      </c>
      <c r="W2" s="2" t="s">
        <v>22</v>
      </c>
      <c r="X2" s="1" t="s">
        <v>25</v>
      </c>
      <c r="Y2" s="4" t="s">
        <v>20</v>
      </c>
      <c r="Z2" s="4" t="s">
        <v>21</v>
      </c>
      <c r="AA2" s="2" t="s">
        <v>22</v>
      </c>
      <c r="AB2" s="1" t="s">
        <v>25</v>
      </c>
      <c r="AC2" s="4" t="s">
        <v>20</v>
      </c>
      <c r="AD2" s="4" t="s">
        <v>21</v>
      </c>
      <c r="AE2" s="2" t="s">
        <v>22</v>
      </c>
      <c r="AF2" s="1" t="s">
        <v>25</v>
      </c>
      <c r="AG2" s="4" t="s">
        <v>20</v>
      </c>
      <c r="AH2" s="4" t="s">
        <v>21</v>
      </c>
      <c r="AI2" s="2" t="s">
        <v>22</v>
      </c>
      <c r="AJ2" s="1" t="s">
        <v>25</v>
      </c>
      <c r="AK2" s="4" t="s">
        <v>20</v>
      </c>
      <c r="AL2" s="4" t="s">
        <v>21</v>
      </c>
      <c r="AM2" s="2" t="s">
        <v>22</v>
      </c>
      <c r="AN2" s="1" t="s">
        <v>25</v>
      </c>
      <c r="AO2" s="4" t="s">
        <v>20</v>
      </c>
      <c r="AP2" s="4" t="s">
        <v>21</v>
      </c>
      <c r="AQ2" s="2" t="s">
        <v>22</v>
      </c>
      <c r="AR2" s="1" t="s">
        <v>25</v>
      </c>
      <c r="AS2" s="4" t="s">
        <v>20</v>
      </c>
      <c r="AT2" s="4" t="s">
        <v>21</v>
      </c>
      <c r="AU2" s="2" t="s">
        <v>22</v>
      </c>
      <c r="AV2" s="1" t="s">
        <v>25</v>
      </c>
      <c r="AW2" s="4" t="s">
        <v>20</v>
      </c>
      <c r="AX2" s="4" t="s">
        <v>21</v>
      </c>
      <c r="AY2" s="122" t="s">
        <v>22</v>
      </c>
      <c r="AZ2" s="121" t="s">
        <v>25</v>
      </c>
      <c r="BA2" s="3" t="s">
        <v>20</v>
      </c>
      <c r="BB2" s="3" t="s">
        <v>21</v>
      </c>
      <c r="BC2" s="122" t="s">
        <v>22</v>
      </c>
      <c r="BD2" s="6" t="s">
        <v>25</v>
      </c>
      <c r="BE2" s="4" t="s">
        <v>20</v>
      </c>
      <c r="BF2" s="4" t="s">
        <v>21</v>
      </c>
      <c r="BG2" s="2" t="s">
        <v>22</v>
      </c>
      <c r="BH2" s="1" t="s">
        <v>25</v>
      </c>
      <c r="BI2" s="4" t="s">
        <v>20</v>
      </c>
      <c r="BJ2" s="4" t="s">
        <v>21</v>
      </c>
      <c r="BK2" s="2" t="s">
        <v>22</v>
      </c>
      <c r="BL2" s="1" t="s">
        <v>25</v>
      </c>
      <c r="BM2" s="4" t="s">
        <v>20</v>
      </c>
      <c r="BN2" s="4" t="s">
        <v>21</v>
      </c>
      <c r="BO2" s="2" t="s">
        <v>22</v>
      </c>
      <c r="BP2" s="1" t="s">
        <v>25</v>
      </c>
      <c r="BQ2" s="4" t="s">
        <v>20</v>
      </c>
      <c r="BR2" s="4" t="s">
        <v>21</v>
      </c>
      <c r="BS2" s="2" t="s">
        <v>22</v>
      </c>
      <c r="BT2" s="155"/>
      <c r="BU2" s="150"/>
      <c r="BV2" s="150"/>
      <c r="BW2" s="150"/>
      <c r="BX2" s="150"/>
      <c r="BY2" s="152"/>
      <c r="CC2" s="146"/>
      <c r="CD2" s="146"/>
      <c r="CE2" s="146"/>
      <c r="CF2" s="146"/>
    </row>
    <row r="3" spans="1:84" ht="15" thickTop="1" x14ac:dyDescent="0.35">
      <c r="A3" s="49" t="s">
        <v>48</v>
      </c>
      <c r="B3" s="147" t="s">
        <v>49</v>
      </c>
      <c r="C3" s="7" t="s">
        <v>26</v>
      </c>
      <c r="D3" s="8">
        <v>3</v>
      </c>
      <c r="E3" s="9">
        <v>3</v>
      </c>
      <c r="F3" s="9">
        <f>D3-E3</f>
        <v>0</v>
      </c>
      <c r="G3" s="7">
        <v>0</v>
      </c>
      <c r="H3" s="10">
        <v>3</v>
      </c>
      <c r="I3" s="9">
        <v>3</v>
      </c>
      <c r="J3" s="9">
        <f>H3-I3</f>
        <v>0</v>
      </c>
      <c r="K3" s="7">
        <v>0</v>
      </c>
      <c r="L3" s="10">
        <v>6</v>
      </c>
      <c r="M3" s="9">
        <v>6</v>
      </c>
      <c r="N3" s="9">
        <f>L3-M3</f>
        <v>0</v>
      </c>
      <c r="O3" s="7">
        <v>0</v>
      </c>
      <c r="P3" s="10">
        <v>4</v>
      </c>
      <c r="Q3" s="9">
        <v>4</v>
      </c>
      <c r="R3" s="9">
        <f>P3-Q3</f>
        <v>0</v>
      </c>
      <c r="S3" s="7">
        <v>0</v>
      </c>
      <c r="T3" s="10">
        <v>4</v>
      </c>
      <c r="U3" s="9">
        <v>4</v>
      </c>
      <c r="V3" s="9">
        <f>T3-U3</f>
        <v>0</v>
      </c>
      <c r="W3" s="7">
        <v>0</v>
      </c>
      <c r="X3" s="10">
        <v>3</v>
      </c>
      <c r="Y3" s="9">
        <v>3</v>
      </c>
      <c r="Z3" s="9">
        <f>X3-Y3</f>
        <v>0</v>
      </c>
      <c r="AA3" s="7">
        <v>0</v>
      </c>
      <c r="AB3" s="10">
        <v>0</v>
      </c>
      <c r="AC3" s="9">
        <v>0</v>
      </c>
      <c r="AD3" s="9">
        <f>AB3-AC3</f>
        <v>0</v>
      </c>
      <c r="AE3" s="7">
        <v>0</v>
      </c>
      <c r="AF3" s="10">
        <v>3</v>
      </c>
      <c r="AG3" s="9">
        <v>3</v>
      </c>
      <c r="AH3" s="9">
        <f>AF3-AG3</f>
        <v>0</v>
      </c>
      <c r="AI3" s="7">
        <v>0</v>
      </c>
      <c r="AJ3" s="10">
        <v>2</v>
      </c>
      <c r="AK3" s="9">
        <v>2</v>
      </c>
      <c r="AL3" s="9">
        <f>AJ3-AK3</f>
        <v>0</v>
      </c>
      <c r="AM3" s="7">
        <v>0</v>
      </c>
      <c r="AN3" s="10">
        <v>0</v>
      </c>
      <c r="AO3" s="9">
        <v>0</v>
      </c>
      <c r="AP3" s="9">
        <f>AN3-AO3</f>
        <v>0</v>
      </c>
      <c r="AQ3" s="7">
        <v>0</v>
      </c>
      <c r="AR3" s="10">
        <v>0</v>
      </c>
      <c r="AS3" s="9">
        <v>0</v>
      </c>
      <c r="AT3" s="9">
        <f>AR3-AS3</f>
        <v>0</v>
      </c>
      <c r="AU3" s="7">
        <v>0</v>
      </c>
      <c r="AV3" s="10">
        <v>0</v>
      </c>
      <c r="AW3" s="9">
        <v>0</v>
      </c>
      <c r="AX3" s="9">
        <f>AV3-AW3</f>
        <v>0</v>
      </c>
      <c r="AY3" s="7">
        <v>0</v>
      </c>
      <c r="AZ3" s="8">
        <v>2</v>
      </c>
      <c r="BA3" s="124">
        <v>2</v>
      </c>
      <c r="BB3" s="124">
        <f>AZ3-BA3</f>
        <v>0</v>
      </c>
      <c r="BC3" s="123">
        <v>0</v>
      </c>
      <c r="BD3" s="8">
        <v>0</v>
      </c>
      <c r="BE3" s="9">
        <v>0</v>
      </c>
      <c r="BF3" s="9">
        <f>BD3-BE3</f>
        <v>0</v>
      </c>
      <c r="BG3" s="7">
        <v>1</v>
      </c>
      <c r="BH3" s="10">
        <v>0</v>
      </c>
      <c r="BI3" s="9">
        <v>0</v>
      </c>
      <c r="BJ3" s="9">
        <f>BH3-BI3</f>
        <v>0</v>
      </c>
      <c r="BK3" s="7">
        <v>0</v>
      </c>
      <c r="BL3" s="10">
        <v>0</v>
      </c>
      <c r="BM3" s="9">
        <v>0</v>
      </c>
      <c r="BN3" s="9">
        <f>BL3-BM3</f>
        <v>0</v>
      </c>
      <c r="BO3" s="7">
        <v>4</v>
      </c>
      <c r="BP3" s="10">
        <v>0</v>
      </c>
      <c r="BQ3" s="9">
        <v>0</v>
      </c>
      <c r="BR3" s="9">
        <f>BP3-BQ3</f>
        <v>0</v>
      </c>
      <c r="BS3" s="7">
        <v>0</v>
      </c>
      <c r="BT3" s="10">
        <f>SUM(E3,I3,M3,Q3,U3,Y3,AC3,AG3,AK3,AO3,AS3,AW3,BE3,BI3,BM3,BQ3,BA3)</f>
        <v>30</v>
      </c>
      <c r="BU3" s="9">
        <f>SUM(BR3,BN3,BJ3,BF3,AX3,AT3,AP3,AL3,AH3,AD3,Z3,V3,R3,N3,J3,F3,BB3)</f>
        <v>0</v>
      </c>
      <c r="BV3" s="124">
        <f>SUM(BS3,BO3,BK3,BG3,AY3,AU3,AQ3,AM3,AI3,AE3,AA3,W3,S3,O3,K3,G3, BC3)</f>
        <v>5</v>
      </c>
      <c r="BW3" s="9">
        <f>BT3/(BT3+BU3)</f>
        <v>1</v>
      </c>
      <c r="BX3" s="9">
        <f>BT3/(BT3+BV3)</f>
        <v>0.8571428571428571</v>
      </c>
      <c r="BY3" s="7">
        <f>2*(BX3*BW3)/(BX3+BW3)</f>
        <v>0.92307692307692302</v>
      </c>
      <c r="CC3" s="133" t="s">
        <v>75</v>
      </c>
      <c r="CD3">
        <f>AVERAGE(BW3:BW4)</f>
        <v>0.96666666666666667</v>
      </c>
      <c r="CE3">
        <f t="shared" ref="CE3:CF3" si="0">AVERAGE(BX3:BX4)</f>
        <v>0.82857142857142851</v>
      </c>
      <c r="CF3">
        <f t="shared" si="0"/>
        <v>0.89230769230769225</v>
      </c>
    </row>
    <row r="4" spans="1:84" x14ac:dyDescent="0.35">
      <c r="A4" s="49" t="s">
        <v>48</v>
      </c>
      <c r="B4" s="148"/>
      <c r="C4" s="123" t="s">
        <v>60</v>
      </c>
      <c r="D4" s="8">
        <v>3</v>
      </c>
      <c r="E4" s="124">
        <v>3</v>
      </c>
      <c r="F4" s="124">
        <f t="shared" ref="F4:F34" si="1">D4-E4</f>
        <v>0</v>
      </c>
      <c r="G4" s="123">
        <v>0</v>
      </c>
      <c r="H4" s="8">
        <v>3</v>
      </c>
      <c r="I4" s="124">
        <v>3</v>
      </c>
      <c r="J4" s="124">
        <f t="shared" ref="J4:J34" si="2">H4-I4</f>
        <v>0</v>
      </c>
      <c r="K4" s="123">
        <v>0</v>
      </c>
      <c r="L4" s="8">
        <v>6</v>
      </c>
      <c r="M4" s="124">
        <v>6</v>
      </c>
      <c r="N4" s="124">
        <f t="shared" ref="N4:N34" si="3">L4-M4</f>
        <v>0</v>
      </c>
      <c r="O4" s="123">
        <v>0</v>
      </c>
      <c r="P4" s="8">
        <v>4</v>
      </c>
      <c r="Q4" s="124">
        <v>4</v>
      </c>
      <c r="R4" s="124">
        <f t="shared" ref="R4:R34" si="4">P4-Q4</f>
        <v>0</v>
      </c>
      <c r="S4" s="123">
        <v>0</v>
      </c>
      <c r="T4" s="8">
        <v>4</v>
      </c>
      <c r="U4" s="124">
        <v>4</v>
      </c>
      <c r="V4" s="124">
        <f t="shared" ref="V4:V34" si="5">T4-U4</f>
        <v>0</v>
      </c>
      <c r="W4" s="123">
        <v>0</v>
      </c>
      <c r="X4" s="8">
        <v>3</v>
      </c>
      <c r="Y4" s="124">
        <v>3</v>
      </c>
      <c r="Z4" s="124">
        <f t="shared" ref="Z4:Z34" si="6">X4-Y4</f>
        <v>0</v>
      </c>
      <c r="AA4" s="123">
        <v>0</v>
      </c>
      <c r="AB4" s="8">
        <v>0</v>
      </c>
      <c r="AC4" s="124">
        <v>0</v>
      </c>
      <c r="AD4" s="124">
        <f t="shared" ref="AD4:AD29" si="7">AB4-AC4</f>
        <v>0</v>
      </c>
      <c r="AE4" s="123">
        <v>0</v>
      </c>
      <c r="AF4" s="8">
        <v>3</v>
      </c>
      <c r="AG4" s="124">
        <v>3</v>
      </c>
      <c r="AH4" s="124">
        <f t="shared" ref="AH4:AH34" si="8">AF4-AG4</f>
        <v>0</v>
      </c>
      <c r="AI4" s="123">
        <v>0</v>
      </c>
      <c r="AJ4" s="8">
        <v>2</v>
      </c>
      <c r="AK4" s="124">
        <v>2</v>
      </c>
      <c r="AL4" s="124">
        <f t="shared" ref="AL4:AL34" si="9">AJ4-AK4</f>
        <v>0</v>
      </c>
      <c r="AM4" s="123">
        <v>0</v>
      </c>
      <c r="AN4" s="8">
        <v>0</v>
      </c>
      <c r="AO4" s="124">
        <v>0</v>
      </c>
      <c r="AP4" s="124">
        <f t="shared" ref="AP4:AP34" si="10">AN4-AO4</f>
        <v>0</v>
      </c>
      <c r="AQ4" s="123">
        <v>0</v>
      </c>
      <c r="AR4" s="8">
        <v>0</v>
      </c>
      <c r="AS4" s="124">
        <v>0</v>
      </c>
      <c r="AT4" s="124">
        <f t="shared" ref="AT4:AT34" si="11">AR4-AS4</f>
        <v>0</v>
      </c>
      <c r="AU4" s="123">
        <v>0</v>
      </c>
      <c r="AV4" s="8">
        <v>0</v>
      </c>
      <c r="AW4" s="124">
        <v>0</v>
      </c>
      <c r="AX4" s="124">
        <f t="shared" ref="AX4:AX34" si="12">AV4-AW4</f>
        <v>0</v>
      </c>
      <c r="AY4" s="123">
        <v>0</v>
      </c>
      <c r="AZ4" s="8">
        <v>2</v>
      </c>
      <c r="BA4" s="124">
        <v>0</v>
      </c>
      <c r="BB4" s="124">
        <f t="shared" ref="BB4:BB34" si="13">AZ4-BA4</f>
        <v>2</v>
      </c>
      <c r="BC4" s="123">
        <v>2</v>
      </c>
      <c r="BD4" s="8">
        <v>0</v>
      </c>
      <c r="BE4" s="124">
        <v>0</v>
      </c>
      <c r="BF4" s="124">
        <f t="shared" ref="BF4:BF34" si="14">BD4-BE4</f>
        <v>0</v>
      </c>
      <c r="BG4" s="123">
        <v>1</v>
      </c>
      <c r="BH4" s="8">
        <v>0</v>
      </c>
      <c r="BI4" s="124">
        <v>0</v>
      </c>
      <c r="BJ4" s="124">
        <f t="shared" ref="BJ4:BJ34" si="15">BH4-BI4</f>
        <v>0</v>
      </c>
      <c r="BK4" s="123">
        <v>0</v>
      </c>
      <c r="BL4" s="8">
        <v>0</v>
      </c>
      <c r="BM4" s="124">
        <v>0</v>
      </c>
      <c r="BN4" s="124">
        <f t="shared" ref="BN4:BN34" si="16">BL4-BM4</f>
        <v>0</v>
      </c>
      <c r="BO4" s="123">
        <v>4</v>
      </c>
      <c r="BP4" s="8">
        <v>0</v>
      </c>
      <c r="BQ4" s="124">
        <v>0</v>
      </c>
      <c r="BR4" s="124">
        <f t="shared" ref="BR4:BR34" si="17">BP4-BQ4</f>
        <v>0</v>
      </c>
      <c r="BS4" s="123">
        <v>0</v>
      </c>
      <c r="BT4" s="8">
        <f t="shared" ref="BT4:BT34" si="18">SUM(E4,I4,M4,Q4,U4,Y4,AC4,AG4,AK4,AO4,AS4,AW4,BE4,BI4,BM4,BQ4,BA4)</f>
        <v>28</v>
      </c>
      <c r="BU4" s="124">
        <f t="shared" ref="BU4:BU34" si="19">SUM(BR4,BN4,BJ4,BF4,AX4,AT4,AP4,AL4,AH4,AD4,Z4,V4,R4,N4,J4,F4,BB4)</f>
        <v>2</v>
      </c>
      <c r="BV4" s="124">
        <f t="shared" ref="BV4:BV34" si="20">SUM(BS4,BO4,BK4,BG4,AY4,AU4,AQ4,AM4,AI4,AE4,AA4,W4,S4,O4,K4,G4, BC4)</f>
        <v>7</v>
      </c>
      <c r="BW4" s="124">
        <f t="shared" ref="BW4:BW34" si="21">BT4/(BT4+BU4)</f>
        <v>0.93333333333333335</v>
      </c>
      <c r="BX4" s="124">
        <f t="shared" ref="BX4:BX34" si="22">BT4/(BT4+BV4)</f>
        <v>0.8</v>
      </c>
      <c r="BY4" s="123">
        <f t="shared" ref="BY4:BY34" si="23">2*(BX4*BW4)/(BX4+BW4)</f>
        <v>0.86153846153846159</v>
      </c>
      <c r="CC4" s="133" t="s">
        <v>76</v>
      </c>
      <c r="CD4">
        <f>AVERAGE(BW5:BW6)</f>
        <v>0.8</v>
      </c>
      <c r="CE4">
        <f t="shared" ref="CE4:CF4" si="24">AVERAGE(BX5:BX6)</f>
        <v>0.47619047619047616</v>
      </c>
      <c r="CF4">
        <f t="shared" si="24"/>
        <v>0.59139784946236551</v>
      </c>
    </row>
    <row r="5" spans="1:84" x14ac:dyDescent="0.35">
      <c r="A5" s="50" t="s">
        <v>48</v>
      </c>
      <c r="B5" s="148"/>
      <c r="C5" s="11" t="s">
        <v>27</v>
      </c>
      <c r="D5" s="12">
        <v>2</v>
      </c>
      <c r="E5" s="13">
        <v>2</v>
      </c>
      <c r="F5" s="13">
        <f t="shared" si="1"/>
        <v>0</v>
      </c>
      <c r="G5" s="11">
        <v>0</v>
      </c>
      <c r="H5" s="12">
        <v>2</v>
      </c>
      <c r="I5" s="13">
        <v>2</v>
      </c>
      <c r="J5" s="13">
        <f t="shared" si="2"/>
        <v>0</v>
      </c>
      <c r="K5" s="11">
        <v>2</v>
      </c>
      <c r="L5" s="12">
        <v>0</v>
      </c>
      <c r="M5" s="13">
        <v>0</v>
      </c>
      <c r="N5" s="13">
        <f t="shared" si="3"/>
        <v>0</v>
      </c>
      <c r="O5" s="11">
        <v>0</v>
      </c>
      <c r="P5" s="12">
        <v>0</v>
      </c>
      <c r="Q5" s="13">
        <v>0</v>
      </c>
      <c r="R5" s="13">
        <f t="shared" si="4"/>
        <v>0</v>
      </c>
      <c r="S5" s="11">
        <v>1</v>
      </c>
      <c r="T5" s="12">
        <v>0</v>
      </c>
      <c r="U5" s="13">
        <v>0</v>
      </c>
      <c r="V5" s="13">
        <f t="shared" si="5"/>
        <v>0</v>
      </c>
      <c r="W5" s="11">
        <v>1</v>
      </c>
      <c r="X5" s="12">
        <v>2</v>
      </c>
      <c r="Y5" s="13">
        <v>2</v>
      </c>
      <c r="Z5" s="13">
        <f t="shared" si="6"/>
        <v>0</v>
      </c>
      <c r="AA5" s="11">
        <v>0</v>
      </c>
      <c r="AB5" s="12">
        <v>0</v>
      </c>
      <c r="AC5" s="13">
        <v>0</v>
      </c>
      <c r="AD5" s="13">
        <f t="shared" si="7"/>
        <v>0</v>
      </c>
      <c r="AE5" s="11">
        <v>0</v>
      </c>
      <c r="AF5" s="12">
        <v>2</v>
      </c>
      <c r="AG5" s="13">
        <v>2</v>
      </c>
      <c r="AH5" s="13">
        <f t="shared" si="8"/>
        <v>0</v>
      </c>
      <c r="AI5" s="11">
        <v>2</v>
      </c>
      <c r="AJ5" s="12">
        <v>0</v>
      </c>
      <c r="AK5" s="13">
        <v>0</v>
      </c>
      <c r="AL5" s="13">
        <f t="shared" si="9"/>
        <v>0</v>
      </c>
      <c r="AM5" s="11">
        <v>0</v>
      </c>
      <c r="AN5" s="12">
        <v>0</v>
      </c>
      <c r="AO5" s="13">
        <v>0</v>
      </c>
      <c r="AP5" s="13">
        <f t="shared" si="10"/>
        <v>0</v>
      </c>
      <c r="AQ5" s="11">
        <v>1</v>
      </c>
      <c r="AR5" s="12">
        <v>0</v>
      </c>
      <c r="AS5" s="13">
        <v>0</v>
      </c>
      <c r="AT5" s="13">
        <f t="shared" si="11"/>
        <v>0</v>
      </c>
      <c r="AU5" s="11">
        <v>0</v>
      </c>
      <c r="AV5" s="12">
        <v>1</v>
      </c>
      <c r="AW5" s="13">
        <v>0</v>
      </c>
      <c r="AX5" s="13">
        <f t="shared" si="12"/>
        <v>1</v>
      </c>
      <c r="AY5" s="11">
        <v>1</v>
      </c>
      <c r="AZ5" s="12">
        <v>1</v>
      </c>
      <c r="BA5" s="13">
        <v>0</v>
      </c>
      <c r="BB5" s="13">
        <f t="shared" si="13"/>
        <v>1</v>
      </c>
      <c r="BC5" s="11">
        <v>1</v>
      </c>
      <c r="BD5" s="12">
        <v>0</v>
      </c>
      <c r="BE5" s="13">
        <v>0</v>
      </c>
      <c r="BF5" s="13">
        <f t="shared" si="14"/>
        <v>0</v>
      </c>
      <c r="BG5" s="11">
        <v>0</v>
      </c>
      <c r="BH5" s="12">
        <v>0</v>
      </c>
      <c r="BI5" s="13">
        <v>0</v>
      </c>
      <c r="BJ5" s="13">
        <f t="shared" si="15"/>
        <v>0</v>
      </c>
      <c r="BK5" s="11">
        <v>0</v>
      </c>
      <c r="BL5" s="12">
        <v>0</v>
      </c>
      <c r="BM5" s="13">
        <v>0</v>
      </c>
      <c r="BN5" s="13">
        <f t="shared" si="16"/>
        <v>0</v>
      </c>
      <c r="BO5" s="11">
        <v>4</v>
      </c>
      <c r="BP5" s="12">
        <v>0</v>
      </c>
      <c r="BQ5" s="13">
        <v>0</v>
      </c>
      <c r="BR5" s="13">
        <f t="shared" si="17"/>
        <v>0</v>
      </c>
      <c r="BS5" s="11">
        <v>0</v>
      </c>
      <c r="BT5" s="12">
        <f t="shared" si="18"/>
        <v>8</v>
      </c>
      <c r="BU5" s="13">
        <f t="shared" si="19"/>
        <v>2</v>
      </c>
      <c r="BV5" s="13">
        <f t="shared" si="20"/>
        <v>13</v>
      </c>
      <c r="BW5" s="13">
        <f t="shared" si="21"/>
        <v>0.8</v>
      </c>
      <c r="BX5" s="13">
        <f t="shared" si="22"/>
        <v>0.38095238095238093</v>
      </c>
      <c r="BY5" s="11">
        <f t="shared" si="23"/>
        <v>0.5161290322580645</v>
      </c>
      <c r="CC5" s="133" t="s">
        <v>77</v>
      </c>
      <c r="CD5">
        <f>AVERAGE(BW7:BW8)</f>
        <v>0.96875</v>
      </c>
      <c r="CE5">
        <f t="shared" ref="CE5:CF5" si="25">AVERAGE(BX7:BX8)</f>
        <v>0.81666666666666665</v>
      </c>
      <c r="CF5">
        <f t="shared" si="25"/>
        <v>0.8856209150326797</v>
      </c>
    </row>
    <row r="6" spans="1:84" x14ac:dyDescent="0.35">
      <c r="A6" s="50" t="s">
        <v>48</v>
      </c>
      <c r="B6" s="148"/>
      <c r="C6" s="11" t="s">
        <v>61</v>
      </c>
      <c r="D6" s="12">
        <v>2</v>
      </c>
      <c r="E6" s="13">
        <v>2</v>
      </c>
      <c r="F6" s="13">
        <f t="shared" si="1"/>
        <v>0</v>
      </c>
      <c r="G6" s="11">
        <v>0</v>
      </c>
      <c r="H6" s="12">
        <v>2</v>
      </c>
      <c r="I6" s="13">
        <v>2</v>
      </c>
      <c r="J6" s="13">
        <f t="shared" si="2"/>
        <v>0</v>
      </c>
      <c r="K6" s="11">
        <v>0</v>
      </c>
      <c r="L6" s="12">
        <v>0</v>
      </c>
      <c r="M6" s="13">
        <v>0</v>
      </c>
      <c r="N6" s="13">
        <f t="shared" si="3"/>
        <v>0</v>
      </c>
      <c r="O6" s="11">
        <v>0</v>
      </c>
      <c r="P6" s="12">
        <v>0</v>
      </c>
      <c r="Q6" s="13">
        <v>0</v>
      </c>
      <c r="R6" s="13">
        <f t="shared" si="4"/>
        <v>0</v>
      </c>
      <c r="S6" s="11">
        <v>1</v>
      </c>
      <c r="T6" s="12">
        <v>0</v>
      </c>
      <c r="U6" s="13">
        <v>0</v>
      </c>
      <c r="V6" s="13">
        <f t="shared" si="5"/>
        <v>0</v>
      </c>
      <c r="W6" s="11">
        <v>1</v>
      </c>
      <c r="X6" s="12">
        <v>2</v>
      </c>
      <c r="Y6" s="13">
        <v>2</v>
      </c>
      <c r="Z6" s="13">
        <f t="shared" si="6"/>
        <v>0</v>
      </c>
      <c r="AA6" s="11">
        <v>0</v>
      </c>
      <c r="AB6" s="12">
        <v>0</v>
      </c>
      <c r="AC6" s="13">
        <v>0</v>
      </c>
      <c r="AD6" s="13">
        <f t="shared" si="7"/>
        <v>0</v>
      </c>
      <c r="AE6" s="11">
        <v>0</v>
      </c>
      <c r="AF6" s="12">
        <v>2</v>
      </c>
      <c r="AG6" s="13">
        <v>2</v>
      </c>
      <c r="AH6" s="13">
        <f t="shared" si="8"/>
        <v>0</v>
      </c>
      <c r="AI6" s="11">
        <v>0</v>
      </c>
      <c r="AJ6" s="12">
        <v>0</v>
      </c>
      <c r="AK6" s="13">
        <v>0</v>
      </c>
      <c r="AL6" s="13">
        <f t="shared" si="9"/>
        <v>0</v>
      </c>
      <c r="AM6" s="11">
        <v>0</v>
      </c>
      <c r="AN6" s="12">
        <v>0</v>
      </c>
      <c r="AO6" s="13">
        <v>0</v>
      </c>
      <c r="AP6" s="13">
        <f t="shared" si="10"/>
        <v>0</v>
      </c>
      <c r="AQ6" s="11">
        <v>0</v>
      </c>
      <c r="AR6" s="12">
        <v>0</v>
      </c>
      <c r="AS6" s="13">
        <v>0</v>
      </c>
      <c r="AT6" s="13">
        <f t="shared" si="11"/>
        <v>0</v>
      </c>
      <c r="AU6" s="11">
        <v>0</v>
      </c>
      <c r="AV6" s="12">
        <v>1</v>
      </c>
      <c r="AW6" s="13">
        <v>0</v>
      </c>
      <c r="AX6" s="13">
        <f t="shared" si="12"/>
        <v>1</v>
      </c>
      <c r="AY6" s="11">
        <v>1</v>
      </c>
      <c r="AZ6" s="12">
        <v>1</v>
      </c>
      <c r="BA6" s="13">
        <v>0</v>
      </c>
      <c r="BB6" s="13">
        <f t="shared" si="13"/>
        <v>1</v>
      </c>
      <c r="BC6" s="11">
        <v>1</v>
      </c>
      <c r="BD6" s="12">
        <v>0</v>
      </c>
      <c r="BE6" s="13">
        <v>0</v>
      </c>
      <c r="BF6" s="13">
        <f t="shared" si="14"/>
        <v>0</v>
      </c>
      <c r="BG6" s="11">
        <v>0</v>
      </c>
      <c r="BH6" s="12">
        <v>0</v>
      </c>
      <c r="BI6" s="13">
        <v>0</v>
      </c>
      <c r="BJ6" s="13">
        <f t="shared" si="15"/>
        <v>0</v>
      </c>
      <c r="BK6" s="11">
        <v>0</v>
      </c>
      <c r="BL6" s="12">
        <v>0</v>
      </c>
      <c r="BM6" s="13">
        <v>0</v>
      </c>
      <c r="BN6" s="13">
        <f t="shared" si="16"/>
        <v>0</v>
      </c>
      <c r="BO6" s="11">
        <v>2</v>
      </c>
      <c r="BP6" s="12">
        <v>0</v>
      </c>
      <c r="BQ6" s="13">
        <v>0</v>
      </c>
      <c r="BR6" s="13">
        <f t="shared" si="17"/>
        <v>0</v>
      </c>
      <c r="BS6" s="11">
        <v>0</v>
      </c>
      <c r="BT6" s="12">
        <f t="shared" si="18"/>
        <v>8</v>
      </c>
      <c r="BU6" s="13">
        <f t="shared" si="19"/>
        <v>2</v>
      </c>
      <c r="BV6" s="13">
        <f t="shared" si="20"/>
        <v>6</v>
      </c>
      <c r="BW6" s="13">
        <f t="shared" si="21"/>
        <v>0.8</v>
      </c>
      <c r="BX6" s="13">
        <f t="shared" si="22"/>
        <v>0.5714285714285714</v>
      </c>
      <c r="BY6" s="11">
        <f t="shared" si="23"/>
        <v>0.66666666666666663</v>
      </c>
      <c r="CC6" s="133" t="s">
        <v>78</v>
      </c>
      <c r="CD6">
        <f>AVERAGE(BW9:BW10)</f>
        <v>0.91666666666666663</v>
      </c>
      <c r="CE6">
        <f t="shared" ref="CE6:CF6" si="26">AVERAGE(BX9:BX10)</f>
        <v>0.44</v>
      </c>
      <c r="CF6">
        <f t="shared" si="26"/>
        <v>0.59459459459459452</v>
      </c>
    </row>
    <row r="7" spans="1:84" x14ac:dyDescent="0.35">
      <c r="A7" s="51" t="s">
        <v>48</v>
      </c>
      <c r="B7" s="148"/>
      <c r="C7" s="14" t="s">
        <v>28</v>
      </c>
      <c r="D7" s="15">
        <v>2</v>
      </c>
      <c r="E7" s="16">
        <v>2</v>
      </c>
      <c r="F7" s="16">
        <f t="shared" si="1"/>
        <v>0</v>
      </c>
      <c r="G7" s="14">
        <v>0</v>
      </c>
      <c r="H7" s="15">
        <v>1</v>
      </c>
      <c r="I7" s="16">
        <v>1</v>
      </c>
      <c r="J7" s="16">
        <f t="shared" si="2"/>
        <v>0</v>
      </c>
      <c r="K7" s="14">
        <v>0</v>
      </c>
      <c r="L7" s="15">
        <v>1</v>
      </c>
      <c r="M7" s="16">
        <v>1</v>
      </c>
      <c r="N7" s="16">
        <f t="shared" si="3"/>
        <v>0</v>
      </c>
      <c r="O7" s="14">
        <v>0</v>
      </c>
      <c r="P7" s="15">
        <v>1</v>
      </c>
      <c r="Q7" s="16">
        <v>1</v>
      </c>
      <c r="R7" s="16">
        <f t="shared" si="4"/>
        <v>0</v>
      </c>
      <c r="S7" s="14">
        <v>0</v>
      </c>
      <c r="T7" s="15">
        <v>1</v>
      </c>
      <c r="U7" s="16">
        <v>1</v>
      </c>
      <c r="V7" s="16">
        <f t="shared" si="5"/>
        <v>0</v>
      </c>
      <c r="W7" s="14">
        <v>0</v>
      </c>
      <c r="X7" s="15">
        <v>3</v>
      </c>
      <c r="Y7" s="16">
        <v>3</v>
      </c>
      <c r="Z7" s="16">
        <f t="shared" si="6"/>
        <v>0</v>
      </c>
      <c r="AA7" s="14">
        <v>0</v>
      </c>
      <c r="AB7" s="15">
        <v>0</v>
      </c>
      <c r="AC7" s="16">
        <v>0</v>
      </c>
      <c r="AD7" s="16">
        <f t="shared" si="7"/>
        <v>0</v>
      </c>
      <c r="AE7" s="14">
        <v>0</v>
      </c>
      <c r="AF7" s="15">
        <v>3</v>
      </c>
      <c r="AG7" s="16">
        <v>3</v>
      </c>
      <c r="AH7" s="16">
        <f t="shared" si="8"/>
        <v>0</v>
      </c>
      <c r="AI7" s="14">
        <v>0</v>
      </c>
      <c r="AJ7" s="15">
        <v>0</v>
      </c>
      <c r="AK7" s="16">
        <v>0</v>
      </c>
      <c r="AL7" s="16">
        <f t="shared" si="9"/>
        <v>0</v>
      </c>
      <c r="AM7" s="14">
        <v>1</v>
      </c>
      <c r="AN7" s="15">
        <v>1</v>
      </c>
      <c r="AO7" s="16">
        <v>0</v>
      </c>
      <c r="AP7" s="16">
        <f t="shared" si="10"/>
        <v>1</v>
      </c>
      <c r="AQ7" s="14">
        <v>0</v>
      </c>
      <c r="AR7" s="15">
        <v>0</v>
      </c>
      <c r="AS7" s="16">
        <v>0</v>
      </c>
      <c r="AT7" s="16">
        <f t="shared" si="11"/>
        <v>0</v>
      </c>
      <c r="AU7" s="14">
        <v>0</v>
      </c>
      <c r="AV7" s="15">
        <v>0</v>
      </c>
      <c r="AW7" s="16">
        <v>0</v>
      </c>
      <c r="AX7" s="16">
        <f t="shared" si="12"/>
        <v>0</v>
      </c>
      <c r="AY7" s="14">
        <v>0</v>
      </c>
      <c r="AZ7" s="15">
        <v>1</v>
      </c>
      <c r="BA7" s="16">
        <v>1</v>
      </c>
      <c r="BB7" s="16">
        <f t="shared" si="13"/>
        <v>0</v>
      </c>
      <c r="BC7" s="14">
        <v>0</v>
      </c>
      <c r="BD7" s="15">
        <v>2</v>
      </c>
      <c r="BE7" s="16">
        <v>2</v>
      </c>
      <c r="BF7" s="16">
        <f t="shared" si="14"/>
        <v>0</v>
      </c>
      <c r="BG7" s="14">
        <v>0</v>
      </c>
      <c r="BH7" s="15">
        <v>0</v>
      </c>
      <c r="BI7" s="16">
        <v>0</v>
      </c>
      <c r="BJ7" s="16">
        <f t="shared" si="15"/>
        <v>0</v>
      </c>
      <c r="BK7" s="14">
        <v>0</v>
      </c>
      <c r="BL7" s="15">
        <v>0</v>
      </c>
      <c r="BM7" s="16">
        <v>0</v>
      </c>
      <c r="BN7" s="16">
        <f t="shared" si="16"/>
        <v>0</v>
      </c>
      <c r="BO7" s="14">
        <v>2</v>
      </c>
      <c r="BP7" s="15">
        <v>0</v>
      </c>
      <c r="BQ7" s="16">
        <v>0</v>
      </c>
      <c r="BR7" s="16">
        <f t="shared" si="17"/>
        <v>0</v>
      </c>
      <c r="BS7" s="14">
        <v>0</v>
      </c>
      <c r="BT7" s="15">
        <f t="shared" si="18"/>
        <v>15</v>
      </c>
      <c r="BU7" s="16">
        <f t="shared" si="19"/>
        <v>1</v>
      </c>
      <c r="BV7" s="16">
        <f t="shared" si="20"/>
        <v>3</v>
      </c>
      <c r="BW7" s="16">
        <f t="shared" si="21"/>
        <v>0.9375</v>
      </c>
      <c r="BX7" s="16">
        <f t="shared" si="22"/>
        <v>0.83333333333333337</v>
      </c>
      <c r="BY7" s="14">
        <f t="shared" si="23"/>
        <v>0.88235294117647056</v>
      </c>
      <c r="CC7" s="133" t="s">
        <v>79</v>
      </c>
      <c r="CD7">
        <f>AVERAGE(BW11:BW12)</f>
        <v>0.8571428571428571</v>
      </c>
      <c r="CE7">
        <f t="shared" ref="CE7:CF7" si="27">AVERAGE(BX11:BX12)</f>
        <v>0.5244932432432432</v>
      </c>
      <c r="CF7">
        <f t="shared" si="27"/>
        <v>0.64996746909564074</v>
      </c>
    </row>
    <row r="8" spans="1:84" x14ac:dyDescent="0.35">
      <c r="A8" s="51" t="s">
        <v>48</v>
      </c>
      <c r="B8" s="148"/>
      <c r="C8" s="14" t="s">
        <v>62</v>
      </c>
      <c r="D8" s="15">
        <v>2</v>
      </c>
      <c r="E8" s="16">
        <v>2</v>
      </c>
      <c r="F8" s="16">
        <f t="shared" si="1"/>
        <v>0</v>
      </c>
      <c r="G8" s="14">
        <v>0</v>
      </c>
      <c r="H8" s="15">
        <v>1</v>
      </c>
      <c r="I8" s="16">
        <v>1</v>
      </c>
      <c r="J8" s="16">
        <f t="shared" si="2"/>
        <v>0</v>
      </c>
      <c r="K8" s="14">
        <v>0</v>
      </c>
      <c r="L8" s="15">
        <v>1</v>
      </c>
      <c r="M8" s="16">
        <v>1</v>
      </c>
      <c r="N8" s="16">
        <f t="shared" si="3"/>
        <v>0</v>
      </c>
      <c r="O8" s="14">
        <v>0</v>
      </c>
      <c r="P8" s="15">
        <v>1</v>
      </c>
      <c r="Q8" s="16">
        <v>1</v>
      </c>
      <c r="R8" s="16">
        <f t="shared" si="4"/>
        <v>0</v>
      </c>
      <c r="S8" s="14">
        <v>1</v>
      </c>
      <c r="T8" s="15">
        <v>1</v>
      </c>
      <c r="U8" s="16">
        <v>1</v>
      </c>
      <c r="V8" s="16">
        <f t="shared" si="5"/>
        <v>0</v>
      </c>
      <c r="W8" s="14">
        <v>1</v>
      </c>
      <c r="X8" s="15">
        <v>3</v>
      </c>
      <c r="Y8" s="16">
        <v>3</v>
      </c>
      <c r="Z8" s="16">
        <f t="shared" si="6"/>
        <v>0</v>
      </c>
      <c r="AA8" s="14">
        <v>0</v>
      </c>
      <c r="AB8" s="15">
        <v>0</v>
      </c>
      <c r="AC8" s="16">
        <v>0</v>
      </c>
      <c r="AD8" s="16">
        <f t="shared" si="7"/>
        <v>0</v>
      </c>
      <c r="AE8" s="14">
        <v>0</v>
      </c>
      <c r="AF8" s="15">
        <v>3</v>
      </c>
      <c r="AG8" s="16">
        <v>3</v>
      </c>
      <c r="AH8" s="16">
        <f t="shared" si="8"/>
        <v>0</v>
      </c>
      <c r="AI8" s="14">
        <v>0</v>
      </c>
      <c r="AJ8" s="15">
        <v>0</v>
      </c>
      <c r="AK8" s="16">
        <v>0</v>
      </c>
      <c r="AL8" s="16">
        <f t="shared" si="9"/>
        <v>0</v>
      </c>
      <c r="AM8" s="14">
        <v>0</v>
      </c>
      <c r="AN8" s="15">
        <v>1</v>
      </c>
      <c r="AO8" s="16">
        <v>1</v>
      </c>
      <c r="AP8" s="16">
        <f t="shared" si="10"/>
        <v>0</v>
      </c>
      <c r="AQ8" s="14">
        <v>0</v>
      </c>
      <c r="AR8" s="15">
        <v>0</v>
      </c>
      <c r="AS8" s="16">
        <v>0</v>
      </c>
      <c r="AT8" s="16">
        <f t="shared" si="11"/>
        <v>0</v>
      </c>
      <c r="AU8" s="14">
        <v>0</v>
      </c>
      <c r="AV8" s="15">
        <v>0</v>
      </c>
      <c r="AW8" s="16">
        <v>0</v>
      </c>
      <c r="AX8" s="16">
        <f t="shared" si="12"/>
        <v>0</v>
      </c>
      <c r="AY8" s="14">
        <v>0</v>
      </c>
      <c r="AZ8" s="15">
        <v>1</v>
      </c>
      <c r="BA8" s="16">
        <v>1</v>
      </c>
      <c r="BB8" s="16">
        <f t="shared" si="13"/>
        <v>0</v>
      </c>
      <c r="BC8" s="14">
        <v>0</v>
      </c>
      <c r="BD8" s="15">
        <v>2</v>
      </c>
      <c r="BE8" s="16">
        <v>2</v>
      </c>
      <c r="BF8" s="16">
        <f t="shared" si="14"/>
        <v>0</v>
      </c>
      <c r="BG8" s="14">
        <v>0</v>
      </c>
      <c r="BH8" s="15">
        <v>0</v>
      </c>
      <c r="BI8" s="16">
        <v>0</v>
      </c>
      <c r="BJ8" s="16">
        <f t="shared" si="15"/>
        <v>0</v>
      </c>
      <c r="BK8" s="14">
        <v>0</v>
      </c>
      <c r="BL8" s="15">
        <v>0</v>
      </c>
      <c r="BM8" s="16">
        <v>0</v>
      </c>
      <c r="BN8" s="16">
        <f t="shared" si="16"/>
        <v>0</v>
      </c>
      <c r="BO8" s="14">
        <v>2</v>
      </c>
      <c r="BP8" s="15">
        <v>0</v>
      </c>
      <c r="BQ8" s="16">
        <v>0</v>
      </c>
      <c r="BR8" s="16">
        <f t="shared" si="17"/>
        <v>0</v>
      </c>
      <c r="BS8" s="14">
        <v>0</v>
      </c>
      <c r="BT8" s="15">
        <f t="shared" si="18"/>
        <v>16</v>
      </c>
      <c r="BU8" s="16">
        <f t="shared" si="19"/>
        <v>0</v>
      </c>
      <c r="BV8" s="16">
        <f t="shared" si="20"/>
        <v>4</v>
      </c>
      <c r="BW8" s="16">
        <f t="shared" si="21"/>
        <v>1</v>
      </c>
      <c r="BX8" s="16">
        <f t="shared" si="22"/>
        <v>0.8</v>
      </c>
      <c r="BY8" s="14">
        <f t="shared" si="23"/>
        <v>0.88888888888888895</v>
      </c>
      <c r="CC8" s="133" t="s">
        <v>80</v>
      </c>
      <c r="CD8">
        <f>AVERAGE(BW13:BW14)</f>
        <v>1</v>
      </c>
      <c r="CE8">
        <f t="shared" ref="CE8:CF8" si="28">AVERAGE(BX13:BX14)</f>
        <v>0.63970588235294112</v>
      </c>
      <c r="CF8">
        <f t="shared" si="28"/>
        <v>0.77472527472527475</v>
      </c>
    </row>
    <row r="9" spans="1:84" x14ac:dyDescent="0.35">
      <c r="A9" s="52" t="s">
        <v>48</v>
      </c>
      <c r="B9" s="148"/>
      <c r="C9" s="17" t="s">
        <v>29</v>
      </c>
      <c r="D9" s="18">
        <v>1</v>
      </c>
      <c r="E9" s="19">
        <v>1</v>
      </c>
      <c r="F9" s="19">
        <f t="shared" ref="F9" si="29">D9-E9</f>
        <v>0</v>
      </c>
      <c r="G9" s="17">
        <v>0</v>
      </c>
      <c r="H9" s="18">
        <v>0</v>
      </c>
      <c r="I9" s="19">
        <v>0</v>
      </c>
      <c r="J9" s="19">
        <f t="shared" ref="J9" si="30">H9-I9</f>
        <v>0</v>
      </c>
      <c r="K9" s="17">
        <v>1</v>
      </c>
      <c r="L9" s="18">
        <v>0</v>
      </c>
      <c r="M9" s="19">
        <v>0</v>
      </c>
      <c r="N9" s="19">
        <f t="shared" ref="N9" si="31">L9-M9</f>
        <v>0</v>
      </c>
      <c r="O9" s="17">
        <v>0</v>
      </c>
      <c r="P9" s="18">
        <v>0</v>
      </c>
      <c r="Q9" s="19">
        <v>0</v>
      </c>
      <c r="R9" s="19">
        <f t="shared" ref="R9" si="32">P9-Q9</f>
        <v>0</v>
      </c>
      <c r="S9" s="17">
        <v>0</v>
      </c>
      <c r="T9" s="18">
        <v>0</v>
      </c>
      <c r="U9" s="19">
        <v>0</v>
      </c>
      <c r="V9" s="19">
        <f t="shared" ref="V9" si="33">T9-U9</f>
        <v>0</v>
      </c>
      <c r="W9" s="17">
        <v>0</v>
      </c>
      <c r="X9" s="18">
        <v>3</v>
      </c>
      <c r="Y9" s="19">
        <v>3</v>
      </c>
      <c r="Z9" s="19">
        <f t="shared" ref="Z9" si="34">X9-Y9</f>
        <v>0</v>
      </c>
      <c r="AA9" s="17">
        <v>0</v>
      </c>
      <c r="AB9" s="18">
        <v>4</v>
      </c>
      <c r="AC9" s="19">
        <v>3</v>
      </c>
      <c r="AD9" s="19">
        <f t="shared" ref="AD9" si="35">AB9-AC9</f>
        <v>1</v>
      </c>
      <c r="AE9" s="17">
        <v>0</v>
      </c>
      <c r="AF9" s="18">
        <v>3</v>
      </c>
      <c r="AG9" s="19">
        <v>3</v>
      </c>
      <c r="AH9" s="19">
        <f t="shared" ref="AH9" si="36">AF9-AG9</f>
        <v>0</v>
      </c>
      <c r="AI9" s="17">
        <v>1</v>
      </c>
      <c r="AJ9" s="18">
        <v>0</v>
      </c>
      <c r="AK9" s="19">
        <v>0</v>
      </c>
      <c r="AL9" s="19">
        <f t="shared" ref="AL9" si="37">AJ9-AK9</f>
        <v>0</v>
      </c>
      <c r="AM9" s="17">
        <v>0</v>
      </c>
      <c r="AN9" s="18">
        <v>0</v>
      </c>
      <c r="AO9" s="19">
        <v>0</v>
      </c>
      <c r="AP9" s="19">
        <f t="shared" ref="AP9" si="38">AN9-AO9</f>
        <v>0</v>
      </c>
      <c r="AQ9" s="17">
        <v>0</v>
      </c>
      <c r="AR9" s="18">
        <v>0</v>
      </c>
      <c r="AS9" s="19">
        <v>0</v>
      </c>
      <c r="AT9" s="19">
        <f t="shared" ref="AT9" si="39">AR9-AS9</f>
        <v>0</v>
      </c>
      <c r="AU9" s="17">
        <v>4</v>
      </c>
      <c r="AV9" s="18">
        <v>0</v>
      </c>
      <c r="AW9" s="19">
        <v>0</v>
      </c>
      <c r="AX9" s="19">
        <f t="shared" ref="AX9" si="40">AV9-AW9</f>
        <v>0</v>
      </c>
      <c r="AY9" s="17">
        <v>0</v>
      </c>
      <c r="AZ9" s="18">
        <v>0</v>
      </c>
      <c r="BA9" s="19">
        <v>0</v>
      </c>
      <c r="BB9" s="19">
        <f t="shared" ref="BB9" si="41">AZ9-BA9</f>
        <v>0</v>
      </c>
      <c r="BC9" s="17">
        <v>0</v>
      </c>
      <c r="BD9" s="18">
        <v>0</v>
      </c>
      <c r="BE9" s="19">
        <v>0</v>
      </c>
      <c r="BF9" s="19">
        <f t="shared" ref="BF9" si="42">BD9-BE9</f>
        <v>0</v>
      </c>
      <c r="BG9" s="17">
        <v>0</v>
      </c>
      <c r="BH9" s="18">
        <v>1</v>
      </c>
      <c r="BI9" s="19">
        <v>1</v>
      </c>
      <c r="BJ9" s="19">
        <f t="shared" ref="BJ9" si="43">BH9-BI9</f>
        <v>0</v>
      </c>
      <c r="BK9" s="17">
        <v>0</v>
      </c>
      <c r="BL9" s="18">
        <v>0</v>
      </c>
      <c r="BM9" s="19">
        <v>0</v>
      </c>
      <c r="BN9" s="19">
        <f t="shared" ref="BN9" si="44">BL9-BM9</f>
        <v>0</v>
      </c>
      <c r="BO9" s="17">
        <v>8</v>
      </c>
      <c r="BP9" s="18">
        <v>0</v>
      </c>
      <c r="BQ9" s="19">
        <v>0</v>
      </c>
      <c r="BR9" s="19">
        <f t="shared" ref="BR9" si="45">BP9-BQ9</f>
        <v>0</v>
      </c>
      <c r="BS9" s="17">
        <v>0</v>
      </c>
      <c r="BT9" s="18">
        <f t="shared" si="18"/>
        <v>11</v>
      </c>
      <c r="BU9" s="19">
        <f t="shared" si="19"/>
        <v>1</v>
      </c>
      <c r="BV9" s="19">
        <f t="shared" si="20"/>
        <v>14</v>
      </c>
      <c r="BW9" s="19">
        <f t="shared" ref="BW9" si="46">BT9/(BT9+BU9)</f>
        <v>0.91666666666666663</v>
      </c>
      <c r="BX9" s="19">
        <f t="shared" ref="BX9" si="47">BT9/(BT9+BV9)</f>
        <v>0.44</v>
      </c>
      <c r="BY9" s="17">
        <f t="shared" ref="BY9" si="48">2*(BX9*BW9)/(BX9+BW9)</f>
        <v>0.59459459459459452</v>
      </c>
      <c r="CC9" s="133" t="s">
        <v>81</v>
      </c>
      <c r="CD9">
        <f>AVERAGE(BW15:BW16)</f>
        <v>1</v>
      </c>
      <c r="CE9">
        <f t="shared" ref="CE9:CF9" si="49">AVERAGE(BX15:BX16)</f>
        <v>0.56521739130434778</v>
      </c>
      <c r="CF9">
        <f t="shared" si="49"/>
        <v>0.72222222222222221</v>
      </c>
    </row>
    <row r="10" spans="1:84" x14ac:dyDescent="0.35">
      <c r="A10" s="52" t="s">
        <v>48</v>
      </c>
      <c r="B10" s="148"/>
      <c r="C10" s="17" t="s">
        <v>45</v>
      </c>
      <c r="D10" s="18">
        <v>1</v>
      </c>
      <c r="E10" s="19">
        <v>1</v>
      </c>
      <c r="F10" s="19">
        <f t="shared" si="1"/>
        <v>0</v>
      </c>
      <c r="G10" s="17">
        <v>0</v>
      </c>
      <c r="H10" s="18">
        <v>0</v>
      </c>
      <c r="I10" s="19">
        <v>0</v>
      </c>
      <c r="J10" s="19">
        <f t="shared" si="2"/>
        <v>0</v>
      </c>
      <c r="K10" s="17">
        <v>1</v>
      </c>
      <c r="L10" s="18">
        <v>0</v>
      </c>
      <c r="M10" s="19">
        <v>0</v>
      </c>
      <c r="N10" s="19">
        <f t="shared" si="3"/>
        <v>0</v>
      </c>
      <c r="O10" s="17">
        <v>0</v>
      </c>
      <c r="P10" s="18">
        <v>0</v>
      </c>
      <c r="Q10" s="19">
        <v>0</v>
      </c>
      <c r="R10" s="19">
        <f t="shared" si="4"/>
        <v>0</v>
      </c>
      <c r="S10" s="17">
        <v>0</v>
      </c>
      <c r="T10" s="18">
        <v>0</v>
      </c>
      <c r="U10" s="19">
        <v>0</v>
      </c>
      <c r="V10" s="19">
        <f t="shared" si="5"/>
        <v>0</v>
      </c>
      <c r="W10" s="17">
        <v>0</v>
      </c>
      <c r="X10" s="18">
        <v>3</v>
      </c>
      <c r="Y10" s="19">
        <v>3</v>
      </c>
      <c r="Z10" s="19">
        <f t="shared" si="6"/>
        <v>0</v>
      </c>
      <c r="AA10" s="17">
        <v>0</v>
      </c>
      <c r="AB10" s="18">
        <v>4</v>
      </c>
      <c r="AC10" s="19">
        <v>3</v>
      </c>
      <c r="AD10" s="19">
        <f t="shared" si="7"/>
        <v>1</v>
      </c>
      <c r="AE10" s="17">
        <v>0</v>
      </c>
      <c r="AF10" s="18">
        <v>3</v>
      </c>
      <c r="AG10" s="19">
        <v>3</v>
      </c>
      <c r="AH10" s="19">
        <f t="shared" si="8"/>
        <v>0</v>
      </c>
      <c r="AI10" s="17">
        <v>1</v>
      </c>
      <c r="AJ10" s="18">
        <v>0</v>
      </c>
      <c r="AK10" s="19">
        <v>0</v>
      </c>
      <c r="AL10" s="19">
        <f t="shared" si="9"/>
        <v>0</v>
      </c>
      <c r="AM10" s="17">
        <v>0</v>
      </c>
      <c r="AN10" s="18">
        <v>0</v>
      </c>
      <c r="AO10" s="19">
        <v>0</v>
      </c>
      <c r="AP10" s="19">
        <f t="shared" si="10"/>
        <v>0</v>
      </c>
      <c r="AQ10" s="17">
        <v>0</v>
      </c>
      <c r="AR10" s="18">
        <v>0</v>
      </c>
      <c r="AS10" s="19">
        <v>0</v>
      </c>
      <c r="AT10" s="19">
        <f t="shared" si="11"/>
        <v>0</v>
      </c>
      <c r="AU10" s="17">
        <v>4</v>
      </c>
      <c r="AV10" s="18">
        <v>0</v>
      </c>
      <c r="AW10" s="19">
        <v>0</v>
      </c>
      <c r="AX10" s="19">
        <f t="shared" si="12"/>
        <v>0</v>
      </c>
      <c r="AY10" s="17">
        <v>0</v>
      </c>
      <c r="AZ10" s="18">
        <v>0</v>
      </c>
      <c r="BA10" s="19">
        <v>0</v>
      </c>
      <c r="BB10" s="19">
        <f t="shared" si="13"/>
        <v>0</v>
      </c>
      <c r="BC10" s="17">
        <v>0</v>
      </c>
      <c r="BD10" s="18">
        <v>0</v>
      </c>
      <c r="BE10" s="19">
        <v>0</v>
      </c>
      <c r="BF10" s="19">
        <f t="shared" si="14"/>
        <v>0</v>
      </c>
      <c r="BG10" s="17">
        <v>0</v>
      </c>
      <c r="BH10" s="18">
        <v>1</v>
      </c>
      <c r="BI10" s="19">
        <v>1</v>
      </c>
      <c r="BJ10" s="19">
        <f t="shared" si="15"/>
        <v>0</v>
      </c>
      <c r="BK10" s="17">
        <v>0</v>
      </c>
      <c r="BL10" s="18">
        <v>0</v>
      </c>
      <c r="BM10" s="19">
        <v>0</v>
      </c>
      <c r="BN10" s="19">
        <f t="shared" si="16"/>
        <v>0</v>
      </c>
      <c r="BO10" s="17">
        <v>8</v>
      </c>
      <c r="BP10" s="18">
        <v>0</v>
      </c>
      <c r="BQ10" s="19">
        <v>0</v>
      </c>
      <c r="BR10" s="19">
        <f t="shared" si="17"/>
        <v>0</v>
      </c>
      <c r="BS10" s="17">
        <v>0</v>
      </c>
      <c r="BT10" s="18">
        <f t="shared" si="18"/>
        <v>11</v>
      </c>
      <c r="BU10" s="19">
        <f t="shared" si="19"/>
        <v>1</v>
      </c>
      <c r="BV10" s="19">
        <f t="shared" si="20"/>
        <v>14</v>
      </c>
      <c r="BW10" s="19">
        <f t="shared" si="21"/>
        <v>0.91666666666666663</v>
      </c>
      <c r="BX10" s="19">
        <f t="shared" si="22"/>
        <v>0.44</v>
      </c>
      <c r="BY10" s="17">
        <f t="shared" si="23"/>
        <v>0.59459459459459452</v>
      </c>
      <c r="CC10" s="133" t="s">
        <v>82</v>
      </c>
      <c r="CD10">
        <f>AVERAGE(BW17:BW18)</f>
        <v>0.90909090909090906</v>
      </c>
      <c r="CE10">
        <f t="shared" ref="CE10:CF10" si="50">AVERAGE(BX17:BX18)</f>
        <v>0.54411764705882359</v>
      </c>
      <c r="CF10">
        <f t="shared" si="50"/>
        <v>0.67972350230414746</v>
      </c>
    </row>
    <row r="11" spans="1:84" x14ac:dyDescent="0.35">
      <c r="A11" s="53" t="s">
        <v>48</v>
      </c>
      <c r="B11" s="148"/>
      <c r="C11" s="20" t="s">
        <v>30</v>
      </c>
      <c r="D11" s="21">
        <v>2</v>
      </c>
      <c r="E11" s="22">
        <v>2</v>
      </c>
      <c r="F11" s="22">
        <f t="shared" si="1"/>
        <v>0</v>
      </c>
      <c r="G11" s="20">
        <v>0</v>
      </c>
      <c r="H11" s="21">
        <v>1</v>
      </c>
      <c r="I11" s="22">
        <v>1</v>
      </c>
      <c r="J11" s="22">
        <f t="shared" si="2"/>
        <v>0</v>
      </c>
      <c r="K11" s="20">
        <v>1</v>
      </c>
      <c r="L11" s="21">
        <v>2</v>
      </c>
      <c r="M11" s="22">
        <v>2</v>
      </c>
      <c r="N11" s="22">
        <f t="shared" si="3"/>
        <v>0</v>
      </c>
      <c r="O11" s="20">
        <v>2</v>
      </c>
      <c r="P11" s="21">
        <v>2</v>
      </c>
      <c r="Q11" s="22">
        <v>2</v>
      </c>
      <c r="R11" s="22">
        <f t="shared" si="4"/>
        <v>0</v>
      </c>
      <c r="S11" s="20">
        <v>2</v>
      </c>
      <c r="T11" s="21">
        <v>2</v>
      </c>
      <c r="U11" s="22">
        <v>0</v>
      </c>
      <c r="V11" s="22">
        <f t="shared" si="5"/>
        <v>2</v>
      </c>
      <c r="W11" s="20">
        <v>4</v>
      </c>
      <c r="X11" s="21">
        <v>4</v>
      </c>
      <c r="Y11" s="22">
        <v>4</v>
      </c>
      <c r="Z11" s="22">
        <f t="shared" si="6"/>
        <v>0</v>
      </c>
      <c r="AA11" s="20">
        <v>2</v>
      </c>
      <c r="AB11" s="21">
        <v>0</v>
      </c>
      <c r="AC11" s="22">
        <v>0</v>
      </c>
      <c r="AD11" s="22">
        <f t="shared" si="7"/>
        <v>0</v>
      </c>
      <c r="AE11" s="20">
        <v>0</v>
      </c>
      <c r="AF11" s="21">
        <v>4</v>
      </c>
      <c r="AG11" s="22">
        <v>3</v>
      </c>
      <c r="AH11" s="22">
        <f t="shared" si="8"/>
        <v>1</v>
      </c>
      <c r="AI11" s="20">
        <v>3</v>
      </c>
      <c r="AJ11" s="21">
        <v>1</v>
      </c>
      <c r="AK11" s="22">
        <v>1</v>
      </c>
      <c r="AL11" s="22">
        <f t="shared" si="9"/>
        <v>0</v>
      </c>
      <c r="AM11" s="20">
        <v>0</v>
      </c>
      <c r="AN11" s="21">
        <v>0</v>
      </c>
      <c r="AO11" s="22">
        <v>0</v>
      </c>
      <c r="AP11" s="22">
        <f t="shared" si="10"/>
        <v>0</v>
      </c>
      <c r="AQ11" s="20">
        <v>1</v>
      </c>
      <c r="AR11" s="21">
        <v>0</v>
      </c>
      <c r="AS11" s="22">
        <v>0</v>
      </c>
      <c r="AT11" s="22">
        <f t="shared" si="11"/>
        <v>0</v>
      </c>
      <c r="AU11" s="20">
        <v>0</v>
      </c>
      <c r="AV11" s="21">
        <v>0</v>
      </c>
      <c r="AW11" s="22">
        <v>0</v>
      </c>
      <c r="AX11" s="22">
        <f t="shared" si="12"/>
        <v>0</v>
      </c>
      <c r="AY11" s="20">
        <v>0</v>
      </c>
      <c r="AZ11" s="21">
        <v>1</v>
      </c>
      <c r="BA11" s="22">
        <v>1</v>
      </c>
      <c r="BB11" s="22">
        <f t="shared" si="13"/>
        <v>0</v>
      </c>
      <c r="BC11" s="20">
        <v>0</v>
      </c>
      <c r="BD11" s="21">
        <v>2</v>
      </c>
      <c r="BE11" s="22">
        <v>2</v>
      </c>
      <c r="BF11" s="22">
        <f t="shared" si="14"/>
        <v>0</v>
      </c>
      <c r="BG11" s="20">
        <v>0</v>
      </c>
      <c r="BH11" s="21">
        <v>0</v>
      </c>
      <c r="BI11" s="22">
        <v>0</v>
      </c>
      <c r="BJ11" s="22">
        <f t="shared" si="15"/>
        <v>0</v>
      </c>
      <c r="BK11" s="20">
        <v>0</v>
      </c>
      <c r="BL11" s="21">
        <v>0</v>
      </c>
      <c r="BM11" s="22">
        <v>0</v>
      </c>
      <c r="BN11" s="22">
        <f t="shared" si="16"/>
        <v>0</v>
      </c>
      <c r="BO11" s="20">
        <v>4</v>
      </c>
      <c r="BP11" s="21">
        <v>0</v>
      </c>
      <c r="BQ11" s="22">
        <v>0</v>
      </c>
      <c r="BR11" s="22">
        <f t="shared" si="17"/>
        <v>0</v>
      </c>
      <c r="BS11" s="20">
        <v>0</v>
      </c>
      <c r="BT11" s="21">
        <f t="shared" si="18"/>
        <v>18</v>
      </c>
      <c r="BU11" s="22">
        <f t="shared" si="19"/>
        <v>3</v>
      </c>
      <c r="BV11" s="22">
        <f t="shared" si="20"/>
        <v>19</v>
      </c>
      <c r="BW11" s="22">
        <f t="shared" si="21"/>
        <v>0.8571428571428571</v>
      </c>
      <c r="BX11" s="22">
        <f t="shared" si="22"/>
        <v>0.48648648648648651</v>
      </c>
      <c r="BY11" s="20">
        <f t="shared" si="23"/>
        <v>0.62068965517241381</v>
      </c>
      <c r="CC11" s="133" t="s">
        <v>83</v>
      </c>
      <c r="CD11">
        <f>AVERAGE(BW19:BW20)</f>
        <v>0.83333333333333337</v>
      </c>
      <c r="CE11">
        <f t="shared" ref="CE11:CF11" si="51">AVERAGE(BX19:BX20)</f>
        <v>0.42444821731748728</v>
      </c>
      <c r="CF11">
        <f t="shared" si="51"/>
        <v>0.55513878469617395</v>
      </c>
    </row>
    <row r="12" spans="1:84" x14ac:dyDescent="0.35">
      <c r="A12" s="53" t="s">
        <v>48</v>
      </c>
      <c r="B12" s="148"/>
      <c r="C12" s="20" t="s">
        <v>63</v>
      </c>
      <c r="D12" s="21">
        <v>2</v>
      </c>
      <c r="E12" s="22">
        <v>2</v>
      </c>
      <c r="F12" s="22">
        <f t="shared" si="1"/>
        <v>0</v>
      </c>
      <c r="G12" s="20">
        <v>0</v>
      </c>
      <c r="H12" s="21">
        <v>1</v>
      </c>
      <c r="I12" s="22">
        <v>1</v>
      </c>
      <c r="J12" s="22">
        <f>H12-I12</f>
        <v>0</v>
      </c>
      <c r="K12" s="20">
        <v>2</v>
      </c>
      <c r="L12" s="21">
        <v>2</v>
      </c>
      <c r="M12" s="22">
        <v>2</v>
      </c>
      <c r="N12" s="22">
        <f t="shared" si="3"/>
        <v>0</v>
      </c>
      <c r="O12" s="20">
        <v>4</v>
      </c>
      <c r="P12" s="21">
        <v>2</v>
      </c>
      <c r="Q12" s="22">
        <v>2</v>
      </c>
      <c r="R12" s="22">
        <f>P12-Q12</f>
        <v>0</v>
      </c>
      <c r="S12" s="20">
        <v>2</v>
      </c>
      <c r="T12" s="21">
        <v>2</v>
      </c>
      <c r="U12" s="22">
        <v>2</v>
      </c>
      <c r="V12" s="22">
        <f t="shared" si="5"/>
        <v>0</v>
      </c>
      <c r="W12" s="20">
        <v>2</v>
      </c>
      <c r="X12" s="21">
        <v>4</v>
      </c>
      <c r="Y12" s="22">
        <v>3</v>
      </c>
      <c r="Z12" s="22">
        <f t="shared" si="6"/>
        <v>1</v>
      </c>
      <c r="AA12" s="20">
        <v>0</v>
      </c>
      <c r="AB12" s="21">
        <v>0</v>
      </c>
      <c r="AC12" s="22">
        <v>0</v>
      </c>
      <c r="AD12" s="22">
        <f t="shared" si="7"/>
        <v>0</v>
      </c>
      <c r="AE12" s="20">
        <v>0</v>
      </c>
      <c r="AF12" s="21">
        <v>4</v>
      </c>
      <c r="AG12" s="22">
        <v>3</v>
      </c>
      <c r="AH12" s="22">
        <f t="shared" si="8"/>
        <v>1</v>
      </c>
      <c r="AI12" s="20">
        <v>2</v>
      </c>
      <c r="AJ12" s="21">
        <v>1</v>
      </c>
      <c r="AK12" s="22">
        <v>1</v>
      </c>
      <c r="AL12" s="22">
        <f t="shared" si="9"/>
        <v>0</v>
      </c>
      <c r="AM12" s="20">
        <v>0</v>
      </c>
      <c r="AN12" s="21">
        <v>0</v>
      </c>
      <c r="AO12" s="22">
        <v>0</v>
      </c>
      <c r="AP12" s="22">
        <f t="shared" si="10"/>
        <v>0</v>
      </c>
      <c r="AQ12" s="20">
        <v>0</v>
      </c>
      <c r="AR12" s="21">
        <v>0</v>
      </c>
      <c r="AS12" s="22">
        <v>0</v>
      </c>
      <c r="AT12" s="22">
        <f t="shared" si="11"/>
        <v>0</v>
      </c>
      <c r="AU12" s="20">
        <v>0</v>
      </c>
      <c r="AV12" s="21">
        <v>0</v>
      </c>
      <c r="AW12" s="22">
        <v>0</v>
      </c>
      <c r="AX12" s="22">
        <f>AV12-AW12</f>
        <v>0</v>
      </c>
      <c r="AY12" s="20">
        <v>0</v>
      </c>
      <c r="AZ12" s="21">
        <v>1</v>
      </c>
      <c r="BA12" s="22">
        <v>1</v>
      </c>
      <c r="BB12" s="22">
        <f t="shared" si="13"/>
        <v>0</v>
      </c>
      <c r="BC12" s="20">
        <v>0</v>
      </c>
      <c r="BD12" s="21">
        <v>2</v>
      </c>
      <c r="BE12" s="22">
        <v>1</v>
      </c>
      <c r="BF12" s="22">
        <f t="shared" si="14"/>
        <v>1</v>
      </c>
      <c r="BG12" s="20">
        <v>0</v>
      </c>
      <c r="BH12" s="21">
        <v>0</v>
      </c>
      <c r="BI12" s="22">
        <v>0</v>
      </c>
      <c r="BJ12" s="22">
        <f t="shared" si="15"/>
        <v>0</v>
      </c>
      <c r="BK12" s="20">
        <v>0</v>
      </c>
      <c r="BL12" s="21">
        <v>0</v>
      </c>
      <c r="BM12" s="22">
        <v>0</v>
      </c>
      <c r="BN12" s="22">
        <f t="shared" si="16"/>
        <v>0</v>
      </c>
      <c r="BO12" s="20">
        <v>2</v>
      </c>
      <c r="BP12" s="21">
        <v>0</v>
      </c>
      <c r="BQ12" s="22">
        <v>0</v>
      </c>
      <c r="BR12" s="22">
        <f t="shared" si="17"/>
        <v>0</v>
      </c>
      <c r="BS12" s="20">
        <v>0</v>
      </c>
      <c r="BT12" s="21">
        <f t="shared" si="18"/>
        <v>18</v>
      </c>
      <c r="BU12" s="22">
        <f t="shared" si="19"/>
        <v>3</v>
      </c>
      <c r="BV12" s="22">
        <f t="shared" si="20"/>
        <v>14</v>
      </c>
      <c r="BW12" s="22">
        <f t="shared" si="21"/>
        <v>0.8571428571428571</v>
      </c>
      <c r="BX12" s="22">
        <f t="shared" si="22"/>
        <v>0.5625</v>
      </c>
      <c r="BY12" s="20">
        <f t="shared" si="23"/>
        <v>0.67924528301886777</v>
      </c>
      <c r="CC12" s="133" t="s">
        <v>84</v>
      </c>
      <c r="CD12">
        <f>AVERAGE(BW21:BW22)</f>
        <v>0.82352941176470584</v>
      </c>
      <c r="CE12">
        <f t="shared" ref="CE12:CF12" si="52">AVERAGE(BX21:BX22)</f>
        <v>0.68301435406698563</v>
      </c>
      <c r="CF12">
        <f t="shared" si="52"/>
        <v>0.74572649572649574</v>
      </c>
    </row>
    <row r="13" spans="1:84" ht="13.5" customHeight="1" x14ac:dyDescent="0.35">
      <c r="A13" s="54" t="s">
        <v>48</v>
      </c>
      <c r="B13" s="148"/>
      <c r="C13" s="23" t="s">
        <v>31</v>
      </c>
      <c r="D13" s="24">
        <v>4</v>
      </c>
      <c r="E13" s="25">
        <v>4</v>
      </c>
      <c r="F13" s="25">
        <f t="shared" si="1"/>
        <v>0</v>
      </c>
      <c r="G13" s="23">
        <v>0</v>
      </c>
      <c r="H13" s="24">
        <v>0</v>
      </c>
      <c r="I13" s="25">
        <v>0</v>
      </c>
      <c r="J13" s="25">
        <f t="shared" si="2"/>
        <v>0</v>
      </c>
      <c r="K13" s="23">
        <v>0</v>
      </c>
      <c r="L13" s="24">
        <v>0</v>
      </c>
      <c r="M13" s="25">
        <v>0</v>
      </c>
      <c r="N13" s="25">
        <f t="shared" si="3"/>
        <v>0</v>
      </c>
      <c r="O13" s="23">
        <v>0</v>
      </c>
      <c r="P13" s="24">
        <v>0</v>
      </c>
      <c r="Q13" s="25">
        <v>0</v>
      </c>
      <c r="R13" s="25">
        <f t="shared" si="4"/>
        <v>0</v>
      </c>
      <c r="S13" s="23">
        <v>0</v>
      </c>
      <c r="T13" s="24">
        <v>0</v>
      </c>
      <c r="U13" s="25">
        <v>0</v>
      </c>
      <c r="V13" s="25">
        <f t="shared" si="5"/>
        <v>0</v>
      </c>
      <c r="W13" s="23">
        <v>0</v>
      </c>
      <c r="X13" s="24">
        <v>4</v>
      </c>
      <c r="Y13" s="25">
        <v>4</v>
      </c>
      <c r="Z13" s="25">
        <f t="shared" si="6"/>
        <v>0</v>
      </c>
      <c r="AA13" s="23">
        <v>0</v>
      </c>
      <c r="AB13" s="24">
        <v>0</v>
      </c>
      <c r="AC13" s="25">
        <v>0</v>
      </c>
      <c r="AD13" s="25">
        <f t="shared" si="7"/>
        <v>0</v>
      </c>
      <c r="AE13" s="23">
        <v>0</v>
      </c>
      <c r="AF13" s="24">
        <v>4</v>
      </c>
      <c r="AG13" s="25">
        <v>4</v>
      </c>
      <c r="AH13" s="25">
        <f t="shared" si="8"/>
        <v>0</v>
      </c>
      <c r="AI13" s="23">
        <v>0</v>
      </c>
      <c r="AJ13" s="24">
        <v>3</v>
      </c>
      <c r="AK13" s="25">
        <v>3</v>
      </c>
      <c r="AL13" s="25">
        <f t="shared" si="9"/>
        <v>0</v>
      </c>
      <c r="AM13" s="23">
        <v>0</v>
      </c>
      <c r="AN13" s="24">
        <v>0</v>
      </c>
      <c r="AO13" s="25">
        <v>0</v>
      </c>
      <c r="AP13" s="25">
        <f t="shared" si="10"/>
        <v>0</v>
      </c>
      <c r="AQ13" s="23">
        <v>0</v>
      </c>
      <c r="AR13" s="24">
        <v>0</v>
      </c>
      <c r="AS13" s="25">
        <v>0</v>
      </c>
      <c r="AT13" s="25">
        <f t="shared" si="11"/>
        <v>0</v>
      </c>
      <c r="AU13" s="23">
        <v>0</v>
      </c>
      <c r="AV13" s="24">
        <v>0</v>
      </c>
      <c r="AW13" s="25">
        <v>0</v>
      </c>
      <c r="AX13" s="25">
        <f t="shared" si="12"/>
        <v>0</v>
      </c>
      <c r="AY13" s="23">
        <v>0</v>
      </c>
      <c r="AZ13" s="24">
        <v>3</v>
      </c>
      <c r="BA13" s="25">
        <v>3</v>
      </c>
      <c r="BB13" s="25">
        <f t="shared" si="13"/>
        <v>0</v>
      </c>
      <c r="BC13" s="23">
        <v>0</v>
      </c>
      <c r="BD13" s="24">
        <v>0</v>
      </c>
      <c r="BE13" s="25">
        <v>0</v>
      </c>
      <c r="BF13" s="25">
        <f t="shared" si="14"/>
        <v>0</v>
      </c>
      <c r="BG13" s="23">
        <v>0</v>
      </c>
      <c r="BH13" s="24">
        <v>0</v>
      </c>
      <c r="BI13" s="25">
        <v>0</v>
      </c>
      <c r="BJ13" s="25">
        <f t="shared" si="15"/>
        <v>0</v>
      </c>
      <c r="BK13" s="23">
        <v>0</v>
      </c>
      <c r="BL13" s="24">
        <v>0</v>
      </c>
      <c r="BM13" s="25">
        <v>0</v>
      </c>
      <c r="BN13" s="25">
        <f t="shared" si="16"/>
        <v>0</v>
      </c>
      <c r="BO13" s="23">
        <v>6</v>
      </c>
      <c r="BP13" s="24">
        <v>0</v>
      </c>
      <c r="BQ13" s="25">
        <v>0</v>
      </c>
      <c r="BR13" s="25">
        <f t="shared" si="17"/>
        <v>0</v>
      </c>
      <c r="BS13" s="23">
        <v>0</v>
      </c>
      <c r="BT13" s="24">
        <f t="shared" si="18"/>
        <v>18</v>
      </c>
      <c r="BU13" s="25">
        <f t="shared" si="19"/>
        <v>0</v>
      </c>
      <c r="BV13" s="25">
        <f t="shared" si="20"/>
        <v>6</v>
      </c>
      <c r="BW13" s="25">
        <f t="shared" si="21"/>
        <v>1</v>
      </c>
      <c r="BX13" s="25">
        <f t="shared" si="22"/>
        <v>0.75</v>
      </c>
      <c r="BY13" s="23">
        <f t="shared" si="23"/>
        <v>0.8571428571428571</v>
      </c>
      <c r="CC13" s="133" t="s">
        <v>85</v>
      </c>
      <c r="CD13">
        <f>AVERAGE(BW23:BW24)</f>
        <v>0.95454545454545459</v>
      </c>
      <c r="CE13">
        <f t="shared" ref="CE13:CF13" si="53">AVERAGE(BX23:BX24)</f>
        <v>0.63602941176470584</v>
      </c>
      <c r="CF13">
        <f t="shared" si="53"/>
        <v>0.76322751322751325</v>
      </c>
    </row>
    <row r="14" spans="1:84" x14ac:dyDescent="0.35">
      <c r="A14" s="54" t="s">
        <v>48</v>
      </c>
      <c r="B14" s="148"/>
      <c r="C14" s="23" t="s">
        <v>64</v>
      </c>
      <c r="D14" s="24">
        <v>4</v>
      </c>
      <c r="E14" s="25">
        <v>4</v>
      </c>
      <c r="F14" s="25">
        <f t="shared" si="1"/>
        <v>0</v>
      </c>
      <c r="G14" s="23">
        <v>0</v>
      </c>
      <c r="H14" s="24">
        <v>0</v>
      </c>
      <c r="I14" s="24">
        <v>0</v>
      </c>
      <c r="J14" s="24">
        <v>0</v>
      </c>
      <c r="K14" s="23">
        <v>4</v>
      </c>
      <c r="L14" s="24">
        <v>0</v>
      </c>
      <c r="M14" s="24">
        <v>0</v>
      </c>
      <c r="N14" s="24">
        <v>0</v>
      </c>
      <c r="O14" s="23">
        <v>0</v>
      </c>
      <c r="P14" s="24">
        <v>0</v>
      </c>
      <c r="Q14" s="25">
        <v>0</v>
      </c>
      <c r="R14" s="25">
        <f t="shared" si="4"/>
        <v>0</v>
      </c>
      <c r="S14" s="23">
        <v>0</v>
      </c>
      <c r="T14" s="24">
        <v>0</v>
      </c>
      <c r="U14" s="25">
        <v>0</v>
      </c>
      <c r="V14" s="25">
        <v>0</v>
      </c>
      <c r="W14" s="23">
        <v>0</v>
      </c>
      <c r="X14" s="24">
        <v>4</v>
      </c>
      <c r="Y14" s="24">
        <v>4</v>
      </c>
      <c r="Z14" s="24">
        <f>X14-Y14</f>
        <v>0</v>
      </c>
      <c r="AA14" s="23">
        <v>0</v>
      </c>
      <c r="AB14" s="24">
        <v>0</v>
      </c>
      <c r="AC14" s="24">
        <v>0</v>
      </c>
      <c r="AD14" s="24">
        <f>AB14-AC14</f>
        <v>0</v>
      </c>
      <c r="AE14" s="23">
        <v>0</v>
      </c>
      <c r="AF14" s="24">
        <v>4</v>
      </c>
      <c r="AG14" s="24">
        <v>4</v>
      </c>
      <c r="AH14" s="24">
        <f>AF14-AG14</f>
        <v>0</v>
      </c>
      <c r="AI14" s="23">
        <v>4</v>
      </c>
      <c r="AJ14" s="24">
        <v>3</v>
      </c>
      <c r="AK14" s="24">
        <v>3</v>
      </c>
      <c r="AL14" s="24">
        <f>AJ14-AK14</f>
        <v>0</v>
      </c>
      <c r="AM14" s="23">
        <v>0</v>
      </c>
      <c r="AN14" s="24">
        <v>0</v>
      </c>
      <c r="AO14" s="24">
        <v>0</v>
      </c>
      <c r="AP14" s="24">
        <f>AN14-AO14</f>
        <v>0</v>
      </c>
      <c r="AQ14" s="23">
        <v>0</v>
      </c>
      <c r="AR14" s="24">
        <v>0</v>
      </c>
      <c r="AS14" s="25">
        <v>0</v>
      </c>
      <c r="AT14" s="25">
        <f t="shared" si="11"/>
        <v>0</v>
      </c>
      <c r="AU14" s="23">
        <v>0</v>
      </c>
      <c r="AV14" s="24">
        <v>0</v>
      </c>
      <c r="AW14" s="25">
        <v>0</v>
      </c>
      <c r="AX14" s="25">
        <f t="shared" si="12"/>
        <v>0</v>
      </c>
      <c r="AY14" s="23">
        <v>0</v>
      </c>
      <c r="AZ14" s="24">
        <v>3</v>
      </c>
      <c r="BA14" s="25">
        <v>3</v>
      </c>
      <c r="BB14" s="25">
        <f t="shared" si="13"/>
        <v>0</v>
      </c>
      <c r="BC14" s="23">
        <v>0</v>
      </c>
      <c r="BD14" s="24">
        <v>0</v>
      </c>
      <c r="BE14" s="25">
        <v>0</v>
      </c>
      <c r="BF14" s="25">
        <f t="shared" si="14"/>
        <v>0</v>
      </c>
      <c r="BG14" s="23">
        <v>2</v>
      </c>
      <c r="BH14" s="24">
        <v>0</v>
      </c>
      <c r="BI14" s="25">
        <v>0</v>
      </c>
      <c r="BJ14" s="25">
        <f t="shared" si="15"/>
        <v>0</v>
      </c>
      <c r="BK14" s="23">
        <v>0</v>
      </c>
      <c r="BL14" s="24">
        <v>0</v>
      </c>
      <c r="BM14" s="25">
        <v>0</v>
      </c>
      <c r="BN14" s="25">
        <f t="shared" si="16"/>
        <v>0</v>
      </c>
      <c r="BO14" s="23">
        <v>6</v>
      </c>
      <c r="BP14" s="24">
        <v>0</v>
      </c>
      <c r="BQ14" s="25">
        <v>0</v>
      </c>
      <c r="BR14" s="25">
        <f t="shared" si="17"/>
        <v>0</v>
      </c>
      <c r="BS14" s="23">
        <v>0</v>
      </c>
      <c r="BT14" s="24">
        <f t="shared" si="18"/>
        <v>18</v>
      </c>
      <c r="BU14" s="25">
        <f t="shared" si="19"/>
        <v>0</v>
      </c>
      <c r="BV14" s="25">
        <f t="shared" si="20"/>
        <v>16</v>
      </c>
      <c r="BW14" s="25">
        <f t="shared" si="21"/>
        <v>1</v>
      </c>
      <c r="BX14" s="25">
        <f t="shared" si="22"/>
        <v>0.52941176470588236</v>
      </c>
      <c r="BY14" s="23">
        <f t="shared" si="23"/>
        <v>0.6923076923076924</v>
      </c>
      <c r="CC14" s="133" t="s">
        <v>86</v>
      </c>
      <c r="CD14">
        <f>AVERAGE(BW25:BW26)</f>
        <v>0.8125</v>
      </c>
      <c r="CE14">
        <f t="shared" ref="CE14:CF14" si="54">AVERAGE(BX25:BX26)</f>
        <v>0.61556064073226546</v>
      </c>
      <c r="CF14">
        <f t="shared" si="54"/>
        <v>0.69890109890109886</v>
      </c>
    </row>
    <row r="15" spans="1:84" x14ac:dyDescent="0.35">
      <c r="A15" s="55" t="s">
        <v>48</v>
      </c>
      <c r="B15" s="148"/>
      <c r="C15" s="26" t="s">
        <v>32</v>
      </c>
      <c r="D15" s="27">
        <v>3</v>
      </c>
      <c r="E15" s="28">
        <v>3</v>
      </c>
      <c r="F15" s="28">
        <f t="shared" si="1"/>
        <v>0</v>
      </c>
      <c r="G15" s="26">
        <v>0</v>
      </c>
      <c r="H15" s="27">
        <v>0</v>
      </c>
      <c r="I15" s="27">
        <v>0</v>
      </c>
      <c r="J15" s="27">
        <f t="shared" si="2"/>
        <v>0</v>
      </c>
      <c r="K15" s="26">
        <v>3</v>
      </c>
      <c r="L15" s="27">
        <v>0</v>
      </c>
      <c r="M15" s="27">
        <v>0</v>
      </c>
      <c r="N15" s="27">
        <f t="shared" si="3"/>
        <v>0</v>
      </c>
      <c r="O15" s="26">
        <v>0</v>
      </c>
      <c r="P15" s="27">
        <v>0</v>
      </c>
      <c r="Q15" s="28">
        <v>0</v>
      </c>
      <c r="R15" s="28">
        <f t="shared" si="4"/>
        <v>0</v>
      </c>
      <c r="S15" s="26">
        <v>0</v>
      </c>
      <c r="T15" s="27">
        <v>0</v>
      </c>
      <c r="U15" s="28">
        <v>0</v>
      </c>
      <c r="V15" s="28">
        <f t="shared" si="5"/>
        <v>0</v>
      </c>
      <c r="W15" s="26">
        <v>0</v>
      </c>
      <c r="X15" s="27">
        <v>3</v>
      </c>
      <c r="Y15" s="27">
        <v>3</v>
      </c>
      <c r="Z15" s="27">
        <f t="shared" si="6"/>
        <v>0</v>
      </c>
      <c r="AA15" s="26">
        <v>0</v>
      </c>
      <c r="AB15" s="27">
        <v>0</v>
      </c>
      <c r="AC15" s="27">
        <v>0</v>
      </c>
      <c r="AD15" s="27">
        <f t="shared" si="7"/>
        <v>0</v>
      </c>
      <c r="AE15" s="26">
        <v>0</v>
      </c>
      <c r="AF15" s="27">
        <v>3</v>
      </c>
      <c r="AG15" s="27">
        <v>3</v>
      </c>
      <c r="AH15" s="27">
        <f t="shared" si="8"/>
        <v>0</v>
      </c>
      <c r="AI15" s="26">
        <v>3</v>
      </c>
      <c r="AJ15" s="27">
        <v>2</v>
      </c>
      <c r="AK15" s="27">
        <v>2</v>
      </c>
      <c r="AL15" s="27">
        <f t="shared" si="9"/>
        <v>0</v>
      </c>
      <c r="AM15" s="26">
        <v>0</v>
      </c>
      <c r="AN15" s="27">
        <v>0</v>
      </c>
      <c r="AO15" s="27">
        <v>0</v>
      </c>
      <c r="AP15" s="27">
        <f t="shared" si="10"/>
        <v>0</v>
      </c>
      <c r="AQ15" s="26">
        <v>0</v>
      </c>
      <c r="AR15" s="27">
        <v>0</v>
      </c>
      <c r="AS15" s="28">
        <v>0</v>
      </c>
      <c r="AT15" s="28">
        <f t="shared" si="11"/>
        <v>0</v>
      </c>
      <c r="AU15" s="26">
        <v>0</v>
      </c>
      <c r="AV15" s="27">
        <v>0</v>
      </c>
      <c r="AW15" s="28">
        <v>0</v>
      </c>
      <c r="AX15" s="28">
        <f t="shared" si="12"/>
        <v>0</v>
      </c>
      <c r="AY15" s="26">
        <v>0</v>
      </c>
      <c r="AZ15" s="27">
        <v>2</v>
      </c>
      <c r="BA15" s="28">
        <v>2</v>
      </c>
      <c r="BB15" s="28">
        <f t="shared" si="13"/>
        <v>0</v>
      </c>
      <c r="BC15" s="26">
        <v>0</v>
      </c>
      <c r="BD15" s="27">
        <v>0</v>
      </c>
      <c r="BE15" s="28">
        <v>0</v>
      </c>
      <c r="BF15" s="28">
        <f t="shared" si="14"/>
        <v>0</v>
      </c>
      <c r="BG15" s="26">
        <v>0</v>
      </c>
      <c r="BH15" s="27">
        <v>0</v>
      </c>
      <c r="BI15" s="28">
        <v>0</v>
      </c>
      <c r="BJ15" s="28">
        <f t="shared" si="15"/>
        <v>0</v>
      </c>
      <c r="BK15" s="26">
        <v>0</v>
      </c>
      <c r="BL15" s="27">
        <v>0</v>
      </c>
      <c r="BM15" s="28">
        <v>0</v>
      </c>
      <c r="BN15" s="28">
        <f t="shared" si="16"/>
        <v>0</v>
      </c>
      <c r="BO15" s="26">
        <v>4</v>
      </c>
      <c r="BP15" s="27">
        <v>0</v>
      </c>
      <c r="BQ15" s="28">
        <v>0</v>
      </c>
      <c r="BR15" s="28">
        <f t="shared" si="17"/>
        <v>0</v>
      </c>
      <c r="BS15" s="26">
        <v>0</v>
      </c>
      <c r="BT15" s="27">
        <f t="shared" si="18"/>
        <v>13</v>
      </c>
      <c r="BU15" s="28">
        <f t="shared" si="19"/>
        <v>0</v>
      </c>
      <c r="BV15" s="28">
        <f t="shared" si="20"/>
        <v>10</v>
      </c>
      <c r="BW15" s="28">
        <f t="shared" si="21"/>
        <v>1</v>
      </c>
      <c r="BX15" s="28">
        <f t="shared" si="22"/>
        <v>0.56521739130434778</v>
      </c>
      <c r="BY15" s="26">
        <f t="shared" si="23"/>
        <v>0.72222222222222221</v>
      </c>
      <c r="CC15" s="133" t="s">
        <v>87</v>
      </c>
      <c r="CD15">
        <f>AVERAGE(BW27:BW28)</f>
        <v>0.8214285714285714</v>
      </c>
      <c r="CE15">
        <f t="shared" ref="CE15:CF15" si="55">AVERAGE(BX27:BX28)</f>
        <v>0.60526315789473684</v>
      </c>
      <c r="CF15">
        <f t="shared" si="55"/>
        <v>0.69696969696969702</v>
      </c>
    </row>
    <row r="16" spans="1:84" x14ac:dyDescent="0.35">
      <c r="A16" s="55" t="s">
        <v>48</v>
      </c>
      <c r="B16" s="148"/>
      <c r="C16" s="26" t="s">
        <v>65</v>
      </c>
      <c r="D16" s="27">
        <v>3</v>
      </c>
      <c r="E16" s="28">
        <v>3</v>
      </c>
      <c r="F16" s="28">
        <f t="shared" si="1"/>
        <v>0</v>
      </c>
      <c r="G16" s="26">
        <v>0</v>
      </c>
      <c r="H16" s="27">
        <v>0</v>
      </c>
      <c r="I16" s="27">
        <v>0</v>
      </c>
      <c r="J16" s="27">
        <f t="shared" si="2"/>
        <v>0</v>
      </c>
      <c r="K16" s="26">
        <v>3</v>
      </c>
      <c r="L16" s="27">
        <v>0</v>
      </c>
      <c r="M16" s="27">
        <v>0</v>
      </c>
      <c r="N16" s="27">
        <f t="shared" si="3"/>
        <v>0</v>
      </c>
      <c r="O16" s="26">
        <v>0</v>
      </c>
      <c r="P16" s="27">
        <v>0</v>
      </c>
      <c r="Q16" s="28">
        <v>0</v>
      </c>
      <c r="R16" s="28">
        <f t="shared" si="4"/>
        <v>0</v>
      </c>
      <c r="S16" s="26">
        <v>0</v>
      </c>
      <c r="T16" s="27">
        <v>0</v>
      </c>
      <c r="U16" s="28">
        <v>0</v>
      </c>
      <c r="V16" s="28">
        <f t="shared" si="5"/>
        <v>0</v>
      </c>
      <c r="W16" s="26">
        <v>0</v>
      </c>
      <c r="X16" s="27">
        <v>3</v>
      </c>
      <c r="Y16" s="27">
        <v>3</v>
      </c>
      <c r="Z16" s="27">
        <v>0</v>
      </c>
      <c r="AA16" s="26">
        <v>0</v>
      </c>
      <c r="AB16" s="27">
        <v>0</v>
      </c>
      <c r="AC16" s="27">
        <v>0</v>
      </c>
      <c r="AD16" s="27">
        <f t="shared" si="7"/>
        <v>0</v>
      </c>
      <c r="AE16" s="26">
        <v>0</v>
      </c>
      <c r="AF16" s="27">
        <v>3</v>
      </c>
      <c r="AG16" s="27">
        <v>3</v>
      </c>
      <c r="AH16" s="27">
        <f t="shared" si="8"/>
        <v>0</v>
      </c>
      <c r="AI16" s="26">
        <v>3</v>
      </c>
      <c r="AJ16" s="27">
        <v>2</v>
      </c>
      <c r="AK16" s="27">
        <v>2</v>
      </c>
      <c r="AL16" s="27">
        <f t="shared" si="9"/>
        <v>0</v>
      </c>
      <c r="AM16" s="26">
        <v>0</v>
      </c>
      <c r="AN16" s="27">
        <v>0</v>
      </c>
      <c r="AO16" s="27">
        <v>0</v>
      </c>
      <c r="AP16" s="27">
        <f t="shared" si="10"/>
        <v>0</v>
      </c>
      <c r="AQ16" s="26">
        <v>0</v>
      </c>
      <c r="AR16" s="27">
        <v>0</v>
      </c>
      <c r="AS16" s="28">
        <v>0</v>
      </c>
      <c r="AT16" s="28">
        <f t="shared" si="11"/>
        <v>0</v>
      </c>
      <c r="AU16" s="26">
        <v>0</v>
      </c>
      <c r="AV16" s="27">
        <v>0</v>
      </c>
      <c r="AW16" s="28">
        <v>0</v>
      </c>
      <c r="AX16" s="28">
        <f t="shared" si="12"/>
        <v>0</v>
      </c>
      <c r="AY16" s="26">
        <v>0</v>
      </c>
      <c r="AZ16" s="27">
        <v>2</v>
      </c>
      <c r="BA16" s="28">
        <v>2</v>
      </c>
      <c r="BB16" s="28">
        <f t="shared" si="13"/>
        <v>0</v>
      </c>
      <c r="BC16" s="26">
        <v>0</v>
      </c>
      <c r="BD16" s="27">
        <v>0</v>
      </c>
      <c r="BE16" s="28">
        <v>0</v>
      </c>
      <c r="BF16" s="28">
        <f t="shared" si="14"/>
        <v>0</v>
      </c>
      <c r="BG16" s="26">
        <v>0</v>
      </c>
      <c r="BH16" s="27">
        <v>0</v>
      </c>
      <c r="BI16" s="28">
        <v>0</v>
      </c>
      <c r="BJ16" s="28">
        <f t="shared" si="15"/>
        <v>0</v>
      </c>
      <c r="BK16" s="26">
        <v>0</v>
      </c>
      <c r="BL16" s="27">
        <v>0</v>
      </c>
      <c r="BM16" s="28">
        <v>0</v>
      </c>
      <c r="BN16" s="28">
        <f t="shared" si="16"/>
        <v>0</v>
      </c>
      <c r="BO16" s="26">
        <v>4</v>
      </c>
      <c r="BP16" s="27">
        <v>0</v>
      </c>
      <c r="BQ16" s="28">
        <v>0</v>
      </c>
      <c r="BR16" s="28">
        <f t="shared" si="17"/>
        <v>0</v>
      </c>
      <c r="BS16" s="26">
        <v>0</v>
      </c>
      <c r="BT16" s="27">
        <f t="shared" si="18"/>
        <v>13</v>
      </c>
      <c r="BU16" s="28">
        <f t="shared" si="19"/>
        <v>0</v>
      </c>
      <c r="BV16" s="28">
        <f t="shared" si="20"/>
        <v>10</v>
      </c>
      <c r="BW16" s="28">
        <f t="shared" si="21"/>
        <v>1</v>
      </c>
      <c r="BX16" s="28">
        <f t="shared" si="22"/>
        <v>0.56521739130434778</v>
      </c>
      <c r="BY16" s="26">
        <f t="shared" si="23"/>
        <v>0.72222222222222221</v>
      </c>
      <c r="CC16" s="133" t="s">
        <v>88</v>
      </c>
      <c r="CD16">
        <f>AVERAGE(BW29:BW30)</f>
        <v>1</v>
      </c>
      <c r="CE16">
        <f t="shared" ref="CE16:CF16" si="56">AVERAGE(BX29:BX30)</f>
        <v>0.91666666666666663</v>
      </c>
      <c r="CF16">
        <f t="shared" si="56"/>
        <v>0.95652173913043481</v>
      </c>
    </row>
    <row r="17" spans="1:84" x14ac:dyDescent="0.35">
      <c r="A17" s="56" t="s">
        <v>48</v>
      </c>
      <c r="B17" s="148"/>
      <c r="C17" s="29" t="s">
        <v>33</v>
      </c>
      <c r="D17" s="30">
        <v>2</v>
      </c>
      <c r="E17" s="31">
        <v>2</v>
      </c>
      <c r="F17" s="31">
        <f t="shared" si="1"/>
        <v>0</v>
      </c>
      <c r="G17" s="29">
        <v>0</v>
      </c>
      <c r="H17" s="30">
        <v>2</v>
      </c>
      <c r="I17" s="31">
        <v>2</v>
      </c>
      <c r="J17" s="31">
        <f t="shared" si="2"/>
        <v>0</v>
      </c>
      <c r="K17" s="29">
        <v>1</v>
      </c>
      <c r="L17" s="30">
        <v>1</v>
      </c>
      <c r="M17" s="31">
        <v>1</v>
      </c>
      <c r="N17" s="31">
        <f t="shared" si="3"/>
        <v>0</v>
      </c>
      <c r="O17" s="29">
        <v>0</v>
      </c>
      <c r="P17" s="30">
        <v>1</v>
      </c>
      <c r="Q17" s="31">
        <v>1</v>
      </c>
      <c r="R17" s="31">
        <f t="shared" si="4"/>
        <v>0</v>
      </c>
      <c r="S17" s="29">
        <v>1</v>
      </c>
      <c r="T17" s="30">
        <v>1</v>
      </c>
      <c r="U17" s="31">
        <v>1</v>
      </c>
      <c r="V17" s="31">
        <f t="shared" si="5"/>
        <v>0</v>
      </c>
      <c r="W17" s="29">
        <v>1</v>
      </c>
      <c r="X17" s="30">
        <v>1</v>
      </c>
      <c r="Y17" s="31">
        <v>1</v>
      </c>
      <c r="Z17" s="31">
        <f t="shared" si="6"/>
        <v>0</v>
      </c>
      <c r="AA17" s="29">
        <v>0</v>
      </c>
      <c r="AB17" s="30">
        <v>0</v>
      </c>
      <c r="AC17" s="31">
        <v>0</v>
      </c>
      <c r="AD17" s="31">
        <f t="shared" si="7"/>
        <v>0</v>
      </c>
      <c r="AE17" s="29">
        <v>0</v>
      </c>
      <c r="AF17" s="30">
        <v>1</v>
      </c>
      <c r="AG17" s="31">
        <v>1</v>
      </c>
      <c r="AH17" s="31">
        <f t="shared" si="8"/>
        <v>0</v>
      </c>
      <c r="AI17" s="29">
        <v>1</v>
      </c>
      <c r="AJ17" s="30">
        <v>0</v>
      </c>
      <c r="AK17" s="31">
        <v>0</v>
      </c>
      <c r="AL17" s="31">
        <f t="shared" si="9"/>
        <v>0</v>
      </c>
      <c r="AM17" s="29">
        <v>0</v>
      </c>
      <c r="AN17" s="30">
        <v>0</v>
      </c>
      <c r="AO17" s="31">
        <v>0</v>
      </c>
      <c r="AP17" s="31">
        <f t="shared" si="10"/>
        <v>0</v>
      </c>
      <c r="AQ17" s="29">
        <v>0</v>
      </c>
      <c r="AR17" s="30">
        <v>0</v>
      </c>
      <c r="AS17" s="31">
        <v>0</v>
      </c>
      <c r="AT17" s="31">
        <f t="shared" si="11"/>
        <v>0</v>
      </c>
      <c r="AU17" s="29">
        <v>0</v>
      </c>
      <c r="AV17" s="30">
        <v>1</v>
      </c>
      <c r="AW17" s="31">
        <v>1</v>
      </c>
      <c r="AX17" s="31">
        <f t="shared" si="12"/>
        <v>0</v>
      </c>
      <c r="AY17" s="29">
        <v>0</v>
      </c>
      <c r="AZ17" s="30">
        <v>1</v>
      </c>
      <c r="BA17" s="31">
        <v>0</v>
      </c>
      <c r="BB17" s="31">
        <f t="shared" si="13"/>
        <v>1</v>
      </c>
      <c r="BC17" s="29">
        <v>1</v>
      </c>
      <c r="BD17" s="30">
        <v>0</v>
      </c>
      <c r="BE17" s="31">
        <v>0</v>
      </c>
      <c r="BF17" s="31">
        <f t="shared" si="14"/>
        <v>0</v>
      </c>
      <c r="BG17" s="29">
        <v>0</v>
      </c>
      <c r="BH17" s="30">
        <v>0</v>
      </c>
      <c r="BI17" s="31">
        <v>0</v>
      </c>
      <c r="BJ17" s="31">
        <f t="shared" si="15"/>
        <v>0</v>
      </c>
      <c r="BK17" s="29">
        <v>0</v>
      </c>
      <c r="BL17" s="30">
        <v>0</v>
      </c>
      <c r="BM17" s="31">
        <v>0</v>
      </c>
      <c r="BN17" s="31">
        <f t="shared" si="16"/>
        <v>0</v>
      </c>
      <c r="BO17" s="29">
        <v>2</v>
      </c>
      <c r="BP17" s="30">
        <v>0</v>
      </c>
      <c r="BQ17" s="31">
        <v>0</v>
      </c>
      <c r="BR17" s="31">
        <f t="shared" si="17"/>
        <v>0</v>
      </c>
      <c r="BS17" s="29">
        <v>0</v>
      </c>
      <c r="BT17" s="30">
        <f t="shared" si="18"/>
        <v>10</v>
      </c>
      <c r="BU17" s="31">
        <f t="shared" si="19"/>
        <v>1</v>
      </c>
      <c r="BV17" s="31">
        <f t="shared" si="20"/>
        <v>7</v>
      </c>
      <c r="BW17" s="31">
        <f t="shared" si="21"/>
        <v>0.90909090909090906</v>
      </c>
      <c r="BX17" s="31">
        <f t="shared" si="22"/>
        <v>0.58823529411764708</v>
      </c>
      <c r="BY17" s="29">
        <f t="shared" si="23"/>
        <v>0.7142857142857143</v>
      </c>
      <c r="CC17" s="133" t="s">
        <v>89</v>
      </c>
      <c r="CD17">
        <f>AVERAGE(BW31:BW32)</f>
        <v>0.875</v>
      </c>
      <c r="CE17">
        <f t="shared" ref="CE17:CF17" si="57">AVERAGE(BX31:BX32)</f>
        <v>0.65625</v>
      </c>
      <c r="CF17">
        <f t="shared" si="57"/>
        <v>0.75</v>
      </c>
    </row>
    <row r="18" spans="1:84" x14ac:dyDescent="0.35">
      <c r="A18" s="56" t="s">
        <v>48</v>
      </c>
      <c r="B18" s="148"/>
      <c r="C18" s="29" t="s">
        <v>66</v>
      </c>
      <c r="D18" s="30">
        <v>2</v>
      </c>
      <c r="E18" s="31">
        <v>2</v>
      </c>
      <c r="F18" s="31">
        <f t="shared" si="1"/>
        <v>0</v>
      </c>
      <c r="G18" s="29">
        <v>0</v>
      </c>
      <c r="H18" s="30">
        <v>2</v>
      </c>
      <c r="I18" s="31">
        <v>2</v>
      </c>
      <c r="J18" s="31">
        <f t="shared" si="2"/>
        <v>0</v>
      </c>
      <c r="K18" s="29">
        <v>2</v>
      </c>
      <c r="L18" s="30">
        <v>1</v>
      </c>
      <c r="M18" s="31">
        <v>1</v>
      </c>
      <c r="N18" s="31">
        <f t="shared" si="3"/>
        <v>0</v>
      </c>
      <c r="O18" s="29">
        <v>1</v>
      </c>
      <c r="P18" s="30">
        <v>1</v>
      </c>
      <c r="Q18" s="31">
        <v>1</v>
      </c>
      <c r="R18" s="31">
        <f t="shared" si="4"/>
        <v>0</v>
      </c>
      <c r="S18" s="29">
        <v>1</v>
      </c>
      <c r="T18" s="30">
        <v>1</v>
      </c>
      <c r="U18" s="31">
        <v>1</v>
      </c>
      <c r="V18" s="31">
        <f t="shared" si="5"/>
        <v>0</v>
      </c>
      <c r="W18" s="29">
        <v>1</v>
      </c>
      <c r="X18" s="30">
        <v>1</v>
      </c>
      <c r="Y18" s="31">
        <v>1</v>
      </c>
      <c r="Z18" s="31">
        <f t="shared" si="6"/>
        <v>0</v>
      </c>
      <c r="AA18" s="29">
        <v>0</v>
      </c>
      <c r="AB18" s="30">
        <v>0</v>
      </c>
      <c r="AC18" s="31">
        <v>0</v>
      </c>
      <c r="AD18" s="31">
        <f t="shared" si="7"/>
        <v>0</v>
      </c>
      <c r="AE18" s="29">
        <v>0</v>
      </c>
      <c r="AF18" s="30">
        <v>1</v>
      </c>
      <c r="AG18" s="31">
        <v>1</v>
      </c>
      <c r="AH18" s="31">
        <f t="shared" si="8"/>
        <v>0</v>
      </c>
      <c r="AI18" s="29">
        <v>2</v>
      </c>
      <c r="AJ18" s="30">
        <v>0</v>
      </c>
      <c r="AK18" s="31">
        <v>0</v>
      </c>
      <c r="AL18" s="31">
        <f t="shared" si="9"/>
        <v>0</v>
      </c>
      <c r="AM18" s="29">
        <v>0</v>
      </c>
      <c r="AN18" s="30">
        <v>0</v>
      </c>
      <c r="AO18" s="31">
        <v>0</v>
      </c>
      <c r="AP18" s="31">
        <f t="shared" si="10"/>
        <v>0</v>
      </c>
      <c r="AQ18" s="29">
        <v>0</v>
      </c>
      <c r="AR18" s="30">
        <v>0</v>
      </c>
      <c r="AS18" s="31">
        <v>0</v>
      </c>
      <c r="AT18" s="31">
        <f t="shared" si="11"/>
        <v>0</v>
      </c>
      <c r="AU18" s="29">
        <v>0</v>
      </c>
      <c r="AV18" s="30">
        <v>1</v>
      </c>
      <c r="AW18" s="31">
        <v>1</v>
      </c>
      <c r="AX18" s="31">
        <f t="shared" si="12"/>
        <v>0</v>
      </c>
      <c r="AY18" s="29">
        <v>0</v>
      </c>
      <c r="AZ18" s="30">
        <v>1</v>
      </c>
      <c r="BA18" s="31">
        <v>0</v>
      </c>
      <c r="BB18" s="31">
        <f t="shared" si="13"/>
        <v>1</v>
      </c>
      <c r="BC18" s="29">
        <v>1</v>
      </c>
      <c r="BD18" s="30">
        <v>0</v>
      </c>
      <c r="BE18" s="31">
        <v>0</v>
      </c>
      <c r="BF18" s="31">
        <f t="shared" si="14"/>
        <v>0</v>
      </c>
      <c r="BG18" s="29">
        <v>0</v>
      </c>
      <c r="BH18" s="30">
        <v>0</v>
      </c>
      <c r="BI18" s="31">
        <v>0</v>
      </c>
      <c r="BJ18" s="31">
        <f t="shared" si="15"/>
        <v>0</v>
      </c>
      <c r="BK18" s="29">
        <v>0</v>
      </c>
      <c r="BL18" s="30">
        <v>0</v>
      </c>
      <c r="BM18" s="31">
        <v>0</v>
      </c>
      <c r="BN18" s="31">
        <f>BL18-BM18</f>
        <v>0</v>
      </c>
      <c r="BO18" s="29">
        <v>2</v>
      </c>
      <c r="BP18" s="30">
        <v>0</v>
      </c>
      <c r="BQ18" s="31">
        <v>0</v>
      </c>
      <c r="BR18" s="31">
        <f t="shared" si="17"/>
        <v>0</v>
      </c>
      <c r="BS18" s="29">
        <v>0</v>
      </c>
      <c r="BT18" s="30">
        <f t="shared" si="18"/>
        <v>10</v>
      </c>
      <c r="BU18" s="31">
        <f t="shared" si="19"/>
        <v>1</v>
      </c>
      <c r="BV18" s="31">
        <f t="shared" si="20"/>
        <v>10</v>
      </c>
      <c r="BW18" s="31">
        <f t="shared" si="21"/>
        <v>0.90909090909090906</v>
      </c>
      <c r="BX18" s="31">
        <f t="shared" si="22"/>
        <v>0.5</v>
      </c>
      <c r="BY18" s="29">
        <f t="shared" si="23"/>
        <v>0.64516129032258063</v>
      </c>
      <c r="CC18" s="133" t="s">
        <v>90</v>
      </c>
      <c r="CD18">
        <f>AVERAGE(BW33:BW34)</f>
        <v>0.83333333333333326</v>
      </c>
      <c r="CE18">
        <f t="shared" ref="CE18:CF18" si="58">AVERAGE(BX33:BX34)</f>
        <v>0.83333333333333326</v>
      </c>
      <c r="CF18">
        <f t="shared" si="58"/>
        <v>0.83333333333333326</v>
      </c>
    </row>
    <row r="19" spans="1:84" x14ac:dyDescent="0.35">
      <c r="A19" s="57" t="s">
        <v>48</v>
      </c>
      <c r="B19" s="148"/>
      <c r="C19" s="32" t="s">
        <v>34</v>
      </c>
      <c r="D19" s="33">
        <v>2</v>
      </c>
      <c r="E19" s="34">
        <v>2</v>
      </c>
      <c r="F19" s="34">
        <f t="shared" si="1"/>
        <v>0</v>
      </c>
      <c r="G19" s="32">
        <v>0</v>
      </c>
      <c r="H19" s="33">
        <v>2</v>
      </c>
      <c r="I19" s="34">
        <v>2</v>
      </c>
      <c r="J19" s="34">
        <f t="shared" si="2"/>
        <v>0</v>
      </c>
      <c r="K19" s="32">
        <v>2</v>
      </c>
      <c r="L19" s="33">
        <v>1</v>
      </c>
      <c r="M19" s="34">
        <v>1</v>
      </c>
      <c r="N19" s="34">
        <f t="shared" si="3"/>
        <v>0</v>
      </c>
      <c r="O19" s="32">
        <v>0</v>
      </c>
      <c r="P19" s="33">
        <v>1</v>
      </c>
      <c r="Q19" s="34">
        <v>1</v>
      </c>
      <c r="R19" s="34">
        <f t="shared" si="4"/>
        <v>0</v>
      </c>
      <c r="S19" s="32">
        <v>1</v>
      </c>
      <c r="T19" s="33">
        <v>1</v>
      </c>
      <c r="U19" s="34">
        <v>1</v>
      </c>
      <c r="V19" s="34">
        <f t="shared" si="5"/>
        <v>0</v>
      </c>
      <c r="W19" s="32">
        <v>1</v>
      </c>
      <c r="X19" s="33">
        <v>1</v>
      </c>
      <c r="Y19" s="34">
        <v>1</v>
      </c>
      <c r="Z19" s="34">
        <f t="shared" si="6"/>
        <v>0</v>
      </c>
      <c r="AA19" s="32">
        <v>0</v>
      </c>
      <c r="AB19" s="33">
        <v>1</v>
      </c>
      <c r="AC19" s="34">
        <v>1</v>
      </c>
      <c r="AD19" s="34">
        <f t="shared" si="7"/>
        <v>0</v>
      </c>
      <c r="AE19" s="32">
        <v>0</v>
      </c>
      <c r="AF19" s="33">
        <v>1</v>
      </c>
      <c r="AG19" s="34">
        <v>1</v>
      </c>
      <c r="AH19" s="34">
        <f t="shared" si="8"/>
        <v>0</v>
      </c>
      <c r="AI19" s="32">
        <v>2</v>
      </c>
      <c r="AJ19" s="33">
        <v>0</v>
      </c>
      <c r="AK19" s="34">
        <v>0</v>
      </c>
      <c r="AL19" s="34">
        <f t="shared" si="9"/>
        <v>0</v>
      </c>
      <c r="AM19" s="32">
        <v>0</v>
      </c>
      <c r="AN19" s="33">
        <v>0</v>
      </c>
      <c r="AO19" s="34">
        <v>0</v>
      </c>
      <c r="AP19" s="34">
        <f t="shared" si="10"/>
        <v>0</v>
      </c>
      <c r="AQ19" s="32">
        <v>0</v>
      </c>
      <c r="AR19" s="33">
        <v>0</v>
      </c>
      <c r="AS19" s="34">
        <v>0</v>
      </c>
      <c r="AT19" s="34">
        <f t="shared" si="11"/>
        <v>0</v>
      </c>
      <c r="AU19" s="32">
        <v>3</v>
      </c>
      <c r="AV19" s="33">
        <v>1</v>
      </c>
      <c r="AW19" s="34">
        <v>0</v>
      </c>
      <c r="AX19" s="34">
        <f t="shared" si="12"/>
        <v>1</v>
      </c>
      <c r="AY19" s="32">
        <v>1</v>
      </c>
      <c r="AZ19" s="33">
        <v>1</v>
      </c>
      <c r="BA19" s="34">
        <v>0</v>
      </c>
      <c r="BB19" s="34">
        <f t="shared" si="13"/>
        <v>1</v>
      </c>
      <c r="BC19" s="32">
        <v>3</v>
      </c>
      <c r="BD19" s="33">
        <v>0</v>
      </c>
      <c r="BE19" s="34">
        <v>0</v>
      </c>
      <c r="BF19" s="34">
        <f t="shared" si="14"/>
        <v>0</v>
      </c>
      <c r="BG19" s="32">
        <v>0</v>
      </c>
      <c r="BH19" s="33">
        <v>0</v>
      </c>
      <c r="BI19" s="34">
        <v>0</v>
      </c>
      <c r="BJ19" s="34">
        <f t="shared" si="15"/>
        <v>0</v>
      </c>
      <c r="BK19" s="32">
        <v>0</v>
      </c>
      <c r="BL19" s="33">
        <v>0</v>
      </c>
      <c r="BM19" s="34">
        <v>0</v>
      </c>
      <c r="BN19" s="34">
        <f t="shared" si="16"/>
        <v>0</v>
      </c>
      <c r="BO19" s="32">
        <v>8</v>
      </c>
      <c r="BP19" s="33">
        <v>0</v>
      </c>
      <c r="BQ19" s="34">
        <v>0</v>
      </c>
      <c r="BR19" s="34">
        <f t="shared" si="17"/>
        <v>0</v>
      </c>
      <c r="BS19" s="32">
        <v>0</v>
      </c>
      <c r="BT19" s="33">
        <f t="shared" si="18"/>
        <v>10</v>
      </c>
      <c r="BU19" s="34">
        <f t="shared" si="19"/>
        <v>2</v>
      </c>
      <c r="BV19" s="34">
        <f t="shared" si="20"/>
        <v>21</v>
      </c>
      <c r="BW19" s="34">
        <f t="shared" si="21"/>
        <v>0.83333333333333337</v>
      </c>
      <c r="BX19" s="34">
        <f t="shared" si="22"/>
        <v>0.32258064516129031</v>
      </c>
      <c r="BY19" s="32">
        <f t="shared" si="23"/>
        <v>0.46511627906976738</v>
      </c>
      <c r="CC19" s="133" t="s">
        <v>57</v>
      </c>
      <c r="CD19">
        <f>AVERAGE(CD3:CD18)</f>
        <v>0.89824920024828125</v>
      </c>
      <c r="CE19">
        <f t="shared" ref="CE19:CF19" si="59">AVERAGE(CE3:CE18)</f>
        <v>0.63784553232275676</v>
      </c>
      <c r="CF19">
        <f t="shared" si="59"/>
        <v>0.73689863635808539</v>
      </c>
    </row>
    <row r="20" spans="1:84" x14ac:dyDescent="0.35">
      <c r="A20" s="57" t="s">
        <v>48</v>
      </c>
      <c r="B20" s="148"/>
      <c r="C20" s="32" t="s">
        <v>67</v>
      </c>
      <c r="D20" s="33">
        <v>2</v>
      </c>
      <c r="E20" s="34">
        <v>2</v>
      </c>
      <c r="F20" s="34">
        <f t="shared" si="1"/>
        <v>0</v>
      </c>
      <c r="G20" s="32">
        <v>0</v>
      </c>
      <c r="H20" s="33">
        <v>2</v>
      </c>
      <c r="I20" s="34">
        <v>2</v>
      </c>
      <c r="J20" s="34">
        <f t="shared" si="2"/>
        <v>0</v>
      </c>
      <c r="K20" s="32">
        <v>1</v>
      </c>
      <c r="L20" s="33">
        <v>1</v>
      </c>
      <c r="M20" s="34">
        <v>1</v>
      </c>
      <c r="N20" s="34">
        <f t="shared" si="3"/>
        <v>0</v>
      </c>
      <c r="O20" s="32">
        <v>1</v>
      </c>
      <c r="P20" s="33">
        <v>1</v>
      </c>
      <c r="Q20" s="34">
        <v>1</v>
      </c>
      <c r="R20" s="34">
        <f t="shared" si="4"/>
        <v>0</v>
      </c>
      <c r="S20" s="32">
        <v>1</v>
      </c>
      <c r="T20" s="33">
        <v>1</v>
      </c>
      <c r="U20" s="34">
        <v>1</v>
      </c>
      <c r="V20" s="34">
        <f t="shared" si="5"/>
        <v>0</v>
      </c>
      <c r="W20" s="32">
        <v>1</v>
      </c>
      <c r="X20" s="33">
        <v>1</v>
      </c>
      <c r="Y20" s="34">
        <v>1</v>
      </c>
      <c r="Z20" s="34">
        <f t="shared" si="6"/>
        <v>0</v>
      </c>
      <c r="AA20" s="32">
        <v>0</v>
      </c>
      <c r="AB20" s="33">
        <v>1</v>
      </c>
      <c r="AC20" s="34">
        <v>1</v>
      </c>
      <c r="AD20" s="34">
        <f t="shared" si="7"/>
        <v>0</v>
      </c>
      <c r="AE20" s="32">
        <v>0</v>
      </c>
      <c r="AF20" s="33">
        <v>1</v>
      </c>
      <c r="AG20" s="34">
        <v>1</v>
      </c>
      <c r="AH20" s="34">
        <f t="shared" si="8"/>
        <v>0</v>
      </c>
      <c r="AI20" s="32">
        <v>1</v>
      </c>
      <c r="AJ20" s="33">
        <v>0</v>
      </c>
      <c r="AK20" s="34">
        <v>0</v>
      </c>
      <c r="AL20" s="34">
        <f t="shared" si="9"/>
        <v>0</v>
      </c>
      <c r="AM20" s="32">
        <v>0</v>
      </c>
      <c r="AN20" s="33">
        <v>0</v>
      </c>
      <c r="AO20" s="34">
        <v>0</v>
      </c>
      <c r="AP20" s="34">
        <f t="shared" si="10"/>
        <v>0</v>
      </c>
      <c r="AQ20" s="32">
        <v>0</v>
      </c>
      <c r="AR20" s="33">
        <v>0</v>
      </c>
      <c r="AS20" s="34">
        <v>0</v>
      </c>
      <c r="AT20" s="34">
        <f t="shared" si="11"/>
        <v>0</v>
      </c>
      <c r="AU20" s="32">
        <v>1</v>
      </c>
      <c r="AV20" s="33">
        <v>1</v>
      </c>
      <c r="AW20" s="34">
        <v>0</v>
      </c>
      <c r="AX20" s="34">
        <f t="shared" si="12"/>
        <v>1</v>
      </c>
      <c r="AY20" s="32">
        <v>0</v>
      </c>
      <c r="AZ20" s="33">
        <v>1</v>
      </c>
      <c r="BA20" s="34">
        <v>0</v>
      </c>
      <c r="BB20" s="34">
        <f t="shared" si="13"/>
        <v>1</v>
      </c>
      <c r="BC20" s="32">
        <v>1</v>
      </c>
      <c r="BD20" s="33">
        <v>0</v>
      </c>
      <c r="BE20" s="34">
        <v>0</v>
      </c>
      <c r="BF20" s="34">
        <f t="shared" si="14"/>
        <v>0</v>
      </c>
      <c r="BG20" s="32">
        <v>0</v>
      </c>
      <c r="BH20" s="33">
        <v>0</v>
      </c>
      <c r="BI20" s="34">
        <v>0</v>
      </c>
      <c r="BJ20" s="34">
        <f t="shared" si="15"/>
        <v>0</v>
      </c>
      <c r="BK20" s="32">
        <v>0</v>
      </c>
      <c r="BL20" s="33">
        <v>0</v>
      </c>
      <c r="BM20" s="34">
        <v>0</v>
      </c>
      <c r="BN20" s="34">
        <f t="shared" si="16"/>
        <v>0</v>
      </c>
      <c r="BO20" s="32">
        <v>2</v>
      </c>
      <c r="BP20" s="33">
        <v>0</v>
      </c>
      <c r="BQ20" s="34">
        <v>0</v>
      </c>
      <c r="BR20" s="34">
        <f t="shared" si="17"/>
        <v>0</v>
      </c>
      <c r="BS20" s="32">
        <v>0</v>
      </c>
      <c r="BT20" s="33">
        <f t="shared" si="18"/>
        <v>10</v>
      </c>
      <c r="BU20" s="34">
        <f t="shared" si="19"/>
        <v>2</v>
      </c>
      <c r="BV20" s="34">
        <f t="shared" si="20"/>
        <v>9</v>
      </c>
      <c r="BW20" s="34">
        <f t="shared" si="21"/>
        <v>0.83333333333333337</v>
      </c>
      <c r="BX20" s="34">
        <f t="shared" si="22"/>
        <v>0.52631578947368418</v>
      </c>
      <c r="BY20" s="32">
        <f t="shared" si="23"/>
        <v>0.64516129032258063</v>
      </c>
    </row>
    <row r="21" spans="1:84" x14ac:dyDescent="0.35">
      <c r="A21" s="58" t="s">
        <v>48</v>
      </c>
      <c r="B21" s="148"/>
      <c r="C21" s="35" t="s">
        <v>35</v>
      </c>
      <c r="D21" s="36">
        <v>2</v>
      </c>
      <c r="E21" s="37">
        <v>2</v>
      </c>
      <c r="F21" s="37">
        <f t="shared" si="1"/>
        <v>0</v>
      </c>
      <c r="G21" s="35">
        <v>0</v>
      </c>
      <c r="H21" s="36">
        <v>2</v>
      </c>
      <c r="I21" s="37">
        <v>2</v>
      </c>
      <c r="J21" s="37">
        <f t="shared" si="2"/>
        <v>0</v>
      </c>
      <c r="K21" s="35">
        <v>0</v>
      </c>
      <c r="L21" s="36">
        <v>3</v>
      </c>
      <c r="M21" s="37">
        <v>3</v>
      </c>
      <c r="N21" s="37">
        <f t="shared" si="3"/>
        <v>0</v>
      </c>
      <c r="O21" s="35">
        <v>0</v>
      </c>
      <c r="P21" s="36">
        <v>2</v>
      </c>
      <c r="Q21" s="37">
        <v>2</v>
      </c>
      <c r="R21" s="37">
        <f t="shared" si="4"/>
        <v>0</v>
      </c>
      <c r="S21" s="35">
        <v>1</v>
      </c>
      <c r="T21" s="36">
        <v>2</v>
      </c>
      <c r="U21" s="37">
        <v>0</v>
      </c>
      <c r="V21" s="37">
        <f t="shared" si="5"/>
        <v>2</v>
      </c>
      <c r="W21" s="35">
        <v>3</v>
      </c>
      <c r="X21" s="36">
        <v>2</v>
      </c>
      <c r="Y21" s="37">
        <v>2</v>
      </c>
      <c r="Z21" s="37">
        <f t="shared" si="6"/>
        <v>0</v>
      </c>
      <c r="AA21" s="35">
        <v>0</v>
      </c>
      <c r="AB21" s="36">
        <v>0</v>
      </c>
      <c r="AC21" s="37">
        <v>0</v>
      </c>
      <c r="AD21" s="37">
        <f t="shared" si="7"/>
        <v>0</v>
      </c>
      <c r="AE21" s="35">
        <v>0</v>
      </c>
      <c r="AF21" s="36">
        <v>2</v>
      </c>
      <c r="AG21" s="37">
        <v>2</v>
      </c>
      <c r="AH21" s="37">
        <f t="shared" si="8"/>
        <v>0</v>
      </c>
      <c r="AI21" s="35">
        <v>0</v>
      </c>
      <c r="AJ21" s="36">
        <v>0</v>
      </c>
      <c r="AK21" s="37">
        <v>0</v>
      </c>
      <c r="AL21" s="37">
        <f t="shared" si="9"/>
        <v>0</v>
      </c>
      <c r="AM21" s="35">
        <v>0</v>
      </c>
      <c r="AN21" s="36">
        <v>0</v>
      </c>
      <c r="AO21" s="37">
        <v>0</v>
      </c>
      <c r="AP21" s="37">
        <f t="shared" si="10"/>
        <v>0</v>
      </c>
      <c r="AQ21" s="35">
        <v>0</v>
      </c>
      <c r="AR21" s="36">
        <v>0</v>
      </c>
      <c r="AS21" s="37">
        <v>0</v>
      </c>
      <c r="AT21" s="37">
        <f t="shared" si="11"/>
        <v>0</v>
      </c>
      <c r="AU21" s="35">
        <v>1</v>
      </c>
      <c r="AV21" s="36">
        <v>1</v>
      </c>
      <c r="AW21" s="37">
        <v>0</v>
      </c>
      <c r="AX21" s="37">
        <f t="shared" si="12"/>
        <v>1</v>
      </c>
      <c r="AY21" s="35">
        <v>0</v>
      </c>
      <c r="AZ21" s="36">
        <v>1</v>
      </c>
      <c r="BA21" s="37">
        <v>0</v>
      </c>
      <c r="BB21" s="37">
        <f t="shared" si="13"/>
        <v>1</v>
      </c>
      <c r="BC21" s="35">
        <v>1</v>
      </c>
      <c r="BD21" s="36">
        <v>0</v>
      </c>
      <c r="BE21" s="37">
        <v>0</v>
      </c>
      <c r="BF21" s="37">
        <f t="shared" si="14"/>
        <v>0</v>
      </c>
      <c r="BG21" s="35">
        <v>0</v>
      </c>
      <c r="BH21" s="36">
        <v>0</v>
      </c>
      <c r="BI21" s="37">
        <v>0</v>
      </c>
      <c r="BJ21" s="37">
        <f t="shared" si="15"/>
        <v>0</v>
      </c>
      <c r="BK21" s="35">
        <v>0</v>
      </c>
      <c r="BL21" s="36">
        <v>0</v>
      </c>
      <c r="BM21" s="37">
        <v>0</v>
      </c>
      <c r="BN21" s="37">
        <f t="shared" si="16"/>
        <v>0</v>
      </c>
      <c r="BO21" s="35">
        <v>0</v>
      </c>
      <c r="BP21" s="36">
        <v>0</v>
      </c>
      <c r="BQ21" s="37">
        <v>0</v>
      </c>
      <c r="BR21" s="37">
        <f t="shared" si="17"/>
        <v>0</v>
      </c>
      <c r="BS21" s="35">
        <v>0</v>
      </c>
      <c r="BT21" s="36">
        <f t="shared" si="18"/>
        <v>13</v>
      </c>
      <c r="BU21" s="37">
        <f t="shared" si="19"/>
        <v>4</v>
      </c>
      <c r="BV21" s="37">
        <f t="shared" si="20"/>
        <v>6</v>
      </c>
      <c r="BW21" s="37">
        <f t="shared" si="21"/>
        <v>0.76470588235294112</v>
      </c>
      <c r="BX21" s="37">
        <f t="shared" si="22"/>
        <v>0.68421052631578949</v>
      </c>
      <c r="BY21" s="35">
        <f t="shared" si="23"/>
        <v>0.72222222222222221</v>
      </c>
    </row>
    <row r="22" spans="1:84" x14ac:dyDescent="0.35">
      <c r="A22" s="58" t="s">
        <v>48</v>
      </c>
      <c r="B22" s="148"/>
      <c r="C22" s="35" t="s">
        <v>68</v>
      </c>
      <c r="D22" s="36">
        <v>2</v>
      </c>
      <c r="E22" s="37">
        <v>2</v>
      </c>
      <c r="F22" s="37">
        <f t="shared" si="1"/>
        <v>0</v>
      </c>
      <c r="G22" s="35">
        <v>0</v>
      </c>
      <c r="H22" s="36">
        <v>2</v>
      </c>
      <c r="I22" s="37">
        <v>2</v>
      </c>
      <c r="J22" s="37">
        <f t="shared" si="2"/>
        <v>0</v>
      </c>
      <c r="K22" s="35">
        <v>0</v>
      </c>
      <c r="L22" s="36">
        <v>3</v>
      </c>
      <c r="M22" s="37">
        <v>3</v>
      </c>
      <c r="N22" s="37">
        <f t="shared" si="3"/>
        <v>0</v>
      </c>
      <c r="O22" s="35">
        <v>0</v>
      </c>
      <c r="P22" s="36">
        <v>2</v>
      </c>
      <c r="Q22" s="37">
        <v>2</v>
      </c>
      <c r="R22" s="37">
        <f t="shared" si="4"/>
        <v>0</v>
      </c>
      <c r="S22" s="35">
        <v>1</v>
      </c>
      <c r="T22" s="36">
        <v>2</v>
      </c>
      <c r="U22" s="37">
        <v>2</v>
      </c>
      <c r="V22" s="37">
        <f t="shared" si="5"/>
        <v>0</v>
      </c>
      <c r="W22" s="35">
        <v>1</v>
      </c>
      <c r="X22" s="36">
        <v>2</v>
      </c>
      <c r="Y22" s="37">
        <v>2</v>
      </c>
      <c r="Z22" s="37">
        <f t="shared" si="6"/>
        <v>0</v>
      </c>
      <c r="AA22" s="35">
        <v>0</v>
      </c>
      <c r="AB22" s="36">
        <v>0</v>
      </c>
      <c r="AC22" s="37">
        <v>0</v>
      </c>
      <c r="AD22" s="37">
        <f t="shared" si="7"/>
        <v>0</v>
      </c>
      <c r="AE22" s="35">
        <v>0</v>
      </c>
      <c r="AF22" s="36">
        <v>2</v>
      </c>
      <c r="AG22" s="37">
        <v>2</v>
      </c>
      <c r="AH22" s="37">
        <f t="shared" si="8"/>
        <v>0</v>
      </c>
      <c r="AI22" s="35">
        <v>0</v>
      </c>
      <c r="AJ22" s="36">
        <v>0</v>
      </c>
      <c r="AK22" s="37">
        <v>0</v>
      </c>
      <c r="AL22" s="37">
        <f t="shared" si="9"/>
        <v>0</v>
      </c>
      <c r="AM22" s="35">
        <v>0</v>
      </c>
      <c r="AN22" s="36">
        <v>0</v>
      </c>
      <c r="AO22" s="37">
        <v>0</v>
      </c>
      <c r="AP22" s="37">
        <f t="shared" si="10"/>
        <v>0</v>
      </c>
      <c r="AQ22" s="35">
        <v>0</v>
      </c>
      <c r="AR22" s="36">
        <v>0</v>
      </c>
      <c r="AS22" s="37">
        <v>0</v>
      </c>
      <c r="AT22" s="37">
        <f t="shared" si="11"/>
        <v>0</v>
      </c>
      <c r="AU22" s="35">
        <v>1</v>
      </c>
      <c r="AV22" s="36">
        <v>1</v>
      </c>
      <c r="AW22" s="37">
        <v>0</v>
      </c>
      <c r="AX22" s="37">
        <f t="shared" si="12"/>
        <v>1</v>
      </c>
      <c r="AY22" s="35">
        <v>0</v>
      </c>
      <c r="AZ22" s="36">
        <v>1</v>
      </c>
      <c r="BA22" s="37">
        <v>0</v>
      </c>
      <c r="BB22" s="37">
        <f t="shared" si="13"/>
        <v>1</v>
      </c>
      <c r="BC22" s="35">
        <v>1</v>
      </c>
      <c r="BD22" s="36">
        <v>0</v>
      </c>
      <c r="BE22" s="37">
        <v>0</v>
      </c>
      <c r="BF22" s="37">
        <f t="shared" si="14"/>
        <v>0</v>
      </c>
      <c r="BG22" s="35">
        <v>0</v>
      </c>
      <c r="BH22" s="36">
        <v>0</v>
      </c>
      <c r="BI22" s="37">
        <v>0</v>
      </c>
      <c r="BJ22" s="37">
        <f t="shared" si="15"/>
        <v>0</v>
      </c>
      <c r="BK22" s="35">
        <v>0</v>
      </c>
      <c r="BL22" s="36">
        <v>0</v>
      </c>
      <c r="BM22" s="37">
        <v>0</v>
      </c>
      <c r="BN22" s="37">
        <f t="shared" si="16"/>
        <v>0</v>
      </c>
      <c r="BO22" s="35">
        <v>2</v>
      </c>
      <c r="BP22" s="36">
        <v>0</v>
      </c>
      <c r="BQ22" s="37">
        <v>0</v>
      </c>
      <c r="BR22" s="37">
        <f t="shared" si="17"/>
        <v>0</v>
      </c>
      <c r="BS22" s="35">
        <v>1</v>
      </c>
      <c r="BT22" s="36">
        <f t="shared" si="18"/>
        <v>15</v>
      </c>
      <c r="BU22" s="37">
        <f t="shared" si="19"/>
        <v>2</v>
      </c>
      <c r="BV22" s="37">
        <f t="shared" si="20"/>
        <v>7</v>
      </c>
      <c r="BW22" s="37">
        <f t="shared" si="21"/>
        <v>0.88235294117647056</v>
      </c>
      <c r="BX22" s="37">
        <f t="shared" si="22"/>
        <v>0.68181818181818177</v>
      </c>
      <c r="BY22" s="35">
        <f t="shared" si="23"/>
        <v>0.76923076923076927</v>
      </c>
    </row>
    <row r="23" spans="1:84" x14ac:dyDescent="0.35">
      <c r="A23" s="59" t="s">
        <v>48</v>
      </c>
      <c r="B23" s="148"/>
      <c r="C23" s="38" t="s">
        <v>36</v>
      </c>
      <c r="D23" s="39">
        <v>2</v>
      </c>
      <c r="E23" s="40">
        <v>2</v>
      </c>
      <c r="F23" s="40">
        <f t="shared" si="1"/>
        <v>0</v>
      </c>
      <c r="G23" s="38">
        <v>0</v>
      </c>
      <c r="H23" s="39">
        <v>2</v>
      </c>
      <c r="I23" s="40">
        <v>2</v>
      </c>
      <c r="J23" s="40">
        <f t="shared" si="2"/>
        <v>0</v>
      </c>
      <c r="K23" s="38">
        <v>1</v>
      </c>
      <c r="L23" s="39">
        <v>0</v>
      </c>
      <c r="M23" s="40">
        <v>0</v>
      </c>
      <c r="N23" s="40">
        <f t="shared" si="3"/>
        <v>0</v>
      </c>
      <c r="O23" s="38">
        <v>0</v>
      </c>
      <c r="P23" s="39">
        <v>1</v>
      </c>
      <c r="Q23" s="40">
        <v>1</v>
      </c>
      <c r="R23" s="40">
        <f t="shared" si="4"/>
        <v>0</v>
      </c>
      <c r="S23" s="38">
        <v>1</v>
      </c>
      <c r="T23" s="39">
        <v>1</v>
      </c>
      <c r="U23" s="40">
        <v>1</v>
      </c>
      <c r="V23" s="40">
        <f t="shared" si="5"/>
        <v>0</v>
      </c>
      <c r="W23" s="38">
        <v>1</v>
      </c>
      <c r="X23" s="39">
        <v>1</v>
      </c>
      <c r="Y23" s="40">
        <v>1</v>
      </c>
      <c r="Z23" s="40">
        <f t="shared" si="6"/>
        <v>0</v>
      </c>
      <c r="AA23" s="38">
        <v>0</v>
      </c>
      <c r="AB23" s="39">
        <v>1</v>
      </c>
      <c r="AC23" s="40">
        <v>1</v>
      </c>
      <c r="AD23" s="40">
        <f t="shared" si="7"/>
        <v>0</v>
      </c>
      <c r="AE23" s="38">
        <v>0</v>
      </c>
      <c r="AF23" s="39">
        <v>1</v>
      </c>
      <c r="AG23" s="40">
        <v>1</v>
      </c>
      <c r="AH23" s="40">
        <f t="shared" si="8"/>
        <v>0</v>
      </c>
      <c r="AI23" s="38">
        <v>1</v>
      </c>
      <c r="AJ23" s="39">
        <v>0</v>
      </c>
      <c r="AK23" s="40">
        <v>0</v>
      </c>
      <c r="AL23" s="40">
        <f t="shared" si="9"/>
        <v>0</v>
      </c>
      <c r="AM23" s="38">
        <v>0</v>
      </c>
      <c r="AN23" s="39">
        <v>0</v>
      </c>
      <c r="AO23" s="40">
        <v>0</v>
      </c>
      <c r="AP23" s="40">
        <f t="shared" si="10"/>
        <v>0</v>
      </c>
      <c r="AQ23" s="38">
        <v>0</v>
      </c>
      <c r="AR23" s="39">
        <v>1</v>
      </c>
      <c r="AS23" s="40">
        <v>1</v>
      </c>
      <c r="AT23" s="40">
        <f t="shared" si="11"/>
        <v>0</v>
      </c>
      <c r="AU23" s="38">
        <v>0</v>
      </c>
      <c r="AV23" s="39">
        <v>0</v>
      </c>
      <c r="AW23" s="40">
        <v>0</v>
      </c>
      <c r="AX23" s="40">
        <f t="shared" si="12"/>
        <v>0</v>
      </c>
      <c r="AY23" s="38">
        <v>0</v>
      </c>
      <c r="AZ23" s="39">
        <v>1</v>
      </c>
      <c r="BA23" s="40">
        <v>1</v>
      </c>
      <c r="BB23" s="40">
        <f t="shared" si="13"/>
        <v>0</v>
      </c>
      <c r="BC23" s="38">
        <v>0</v>
      </c>
      <c r="BD23" s="39">
        <v>0</v>
      </c>
      <c r="BE23" s="40">
        <v>0</v>
      </c>
      <c r="BF23" s="40">
        <f t="shared" si="14"/>
        <v>0</v>
      </c>
      <c r="BG23" s="38">
        <v>0</v>
      </c>
      <c r="BH23" s="39">
        <v>0</v>
      </c>
      <c r="BI23" s="40">
        <v>0</v>
      </c>
      <c r="BJ23" s="40">
        <f t="shared" si="15"/>
        <v>0</v>
      </c>
      <c r="BK23" s="38">
        <v>0</v>
      </c>
      <c r="BL23" s="39">
        <v>0</v>
      </c>
      <c r="BM23" s="40">
        <v>0</v>
      </c>
      <c r="BN23" s="40">
        <f t="shared" si="16"/>
        <v>0</v>
      </c>
      <c r="BO23" s="38">
        <v>2</v>
      </c>
      <c r="BP23" s="39">
        <v>0</v>
      </c>
      <c r="BQ23" s="40">
        <v>0</v>
      </c>
      <c r="BR23" s="40">
        <f t="shared" si="17"/>
        <v>0</v>
      </c>
      <c r="BS23" s="38">
        <v>0</v>
      </c>
      <c r="BT23" s="39">
        <f t="shared" si="18"/>
        <v>11</v>
      </c>
      <c r="BU23" s="40">
        <f t="shared" si="19"/>
        <v>0</v>
      </c>
      <c r="BV23" s="40">
        <f t="shared" si="20"/>
        <v>6</v>
      </c>
      <c r="BW23" s="40">
        <f t="shared" si="21"/>
        <v>1</v>
      </c>
      <c r="BX23" s="40">
        <f t="shared" si="22"/>
        <v>0.6470588235294118</v>
      </c>
      <c r="BY23" s="38">
        <f t="shared" si="23"/>
        <v>0.78571428571428581</v>
      </c>
    </row>
    <row r="24" spans="1:84" x14ac:dyDescent="0.35">
      <c r="A24" s="59" t="s">
        <v>48</v>
      </c>
      <c r="B24" s="148"/>
      <c r="C24" s="38" t="s">
        <v>69</v>
      </c>
      <c r="D24" s="39">
        <v>2</v>
      </c>
      <c r="E24" s="40">
        <v>2</v>
      </c>
      <c r="F24" s="40">
        <f t="shared" si="1"/>
        <v>0</v>
      </c>
      <c r="G24" s="38">
        <v>0</v>
      </c>
      <c r="H24" s="39">
        <v>2</v>
      </c>
      <c r="I24" s="40">
        <v>2</v>
      </c>
      <c r="J24" s="40">
        <f t="shared" si="2"/>
        <v>0</v>
      </c>
      <c r="K24" s="38">
        <v>1</v>
      </c>
      <c r="L24" s="39">
        <v>0</v>
      </c>
      <c r="M24" s="40">
        <v>0</v>
      </c>
      <c r="N24" s="40">
        <f t="shared" si="3"/>
        <v>0</v>
      </c>
      <c r="O24" s="38">
        <v>0</v>
      </c>
      <c r="P24" s="39">
        <v>1</v>
      </c>
      <c r="Q24" s="40">
        <v>1</v>
      </c>
      <c r="R24" s="40">
        <f t="shared" si="4"/>
        <v>0</v>
      </c>
      <c r="S24" s="38">
        <v>1</v>
      </c>
      <c r="T24" s="39">
        <v>1</v>
      </c>
      <c r="U24" s="40">
        <v>0</v>
      </c>
      <c r="V24" s="40">
        <f t="shared" si="5"/>
        <v>1</v>
      </c>
      <c r="W24" s="38">
        <v>1</v>
      </c>
      <c r="X24" s="39">
        <v>1</v>
      </c>
      <c r="Y24" s="40">
        <v>1</v>
      </c>
      <c r="Z24" s="40">
        <f t="shared" si="6"/>
        <v>0</v>
      </c>
      <c r="AA24" s="38">
        <v>0</v>
      </c>
      <c r="AB24" s="39">
        <v>1</v>
      </c>
      <c r="AC24" s="40">
        <v>1</v>
      </c>
      <c r="AD24" s="40">
        <f t="shared" si="7"/>
        <v>0</v>
      </c>
      <c r="AE24" s="38">
        <v>0</v>
      </c>
      <c r="AF24" s="39">
        <v>1</v>
      </c>
      <c r="AG24" s="40">
        <v>1</v>
      </c>
      <c r="AH24" s="40">
        <f t="shared" si="8"/>
        <v>0</v>
      </c>
      <c r="AI24" s="38">
        <v>1</v>
      </c>
      <c r="AJ24" s="39">
        <v>0</v>
      </c>
      <c r="AK24" s="40">
        <v>0</v>
      </c>
      <c r="AL24" s="40">
        <f t="shared" si="9"/>
        <v>0</v>
      </c>
      <c r="AM24" s="38">
        <v>0</v>
      </c>
      <c r="AN24" s="39">
        <v>0</v>
      </c>
      <c r="AO24" s="40">
        <v>0</v>
      </c>
      <c r="AP24" s="40">
        <f t="shared" si="10"/>
        <v>0</v>
      </c>
      <c r="AQ24" s="38">
        <v>0</v>
      </c>
      <c r="AR24" s="39">
        <v>1</v>
      </c>
      <c r="AS24" s="40">
        <v>1</v>
      </c>
      <c r="AT24" s="40">
        <f t="shared" si="11"/>
        <v>0</v>
      </c>
      <c r="AU24" s="38">
        <v>0</v>
      </c>
      <c r="AV24" s="39">
        <v>0</v>
      </c>
      <c r="AW24" s="40">
        <v>0</v>
      </c>
      <c r="AX24" s="40">
        <f t="shared" si="12"/>
        <v>0</v>
      </c>
      <c r="AY24" s="38">
        <v>0</v>
      </c>
      <c r="AZ24" s="39">
        <v>1</v>
      </c>
      <c r="BA24" s="40">
        <v>1</v>
      </c>
      <c r="BB24" s="40">
        <f t="shared" si="13"/>
        <v>0</v>
      </c>
      <c r="BC24" s="38">
        <v>0</v>
      </c>
      <c r="BD24" s="39">
        <v>0</v>
      </c>
      <c r="BE24" s="40">
        <v>0</v>
      </c>
      <c r="BF24" s="40">
        <f t="shared" si="14"/>
        <v>0</v>
      </c>
      <c r="BG24" s="38">
        <v>0</v>
      </c>
      <c r="BH24" s="39">
        <v>0</v>
      </c>
      <c r="BI24" s="40">
        <v>0</v>
      </c>
      <c r="BJ24" s="40">
        <f t="shared" si="15"/>
        <v>0</v>
      </c>
      <c r="BK24" s="38">
        <v>0</v>
      </c>
      <c r="BL24" s="39">
        <v>0</v>
      </c>
      <c r="BM24" s="40">
        <v>0</v>
      </c>
      <c r="BN24" s="40">
        <f t="shared" si="16"/>
        <v>0</v>
      </c>
      <c r="BO24" s="38">
        <v>2</v>
      </c>
      <c r="BP24" s="39">
        <v>0</v>
      </c>
      <c r="BQ24" s="40">
        <v>0</v>
      </c>
      <c r="BR24" s="40">
        <f t="shared" si="17"/>
        <v>0</v>
      </c>
      <c r="BS24" s="38">
        <v>0</v>
      </c>
      <c r="BT24" s="39">
        <f t="shared" si="18"/>
        <v>10</v>
      </c>
      <c r="BU24" s="40">
        <f t="shared" si="19"/>
        <v>1</v>
      </c>
      <c r="BV24" s="40">
        <f t="shared" si="20"/>
        <v>6</v>
      </c>
      <c r="BW24" s="40">
        <f t="shared" si="21"/>
        <v>0.90909090909090906</v>
      </c>
      <c r="BX24" s="40">
        <f t="shared" si="22"/>
        <v>0.625</v>
      </c>
      <c r="BY24" s="38">
        <f t="shared" si="23"/>
        <v>0.74074074074074059</v>
      </c>
    </row>
    <row r="25" spans="1:84" x14ac:dyDescent="0.35">
      <c r="A25" s="60" t="s">
        <v>48</v>
      </c>
      <c r="B25" s="148"/>
      <c r="C25" s="41" t="s">
        <v>37</v>
      </c>
      <c r="D25" s="42">
        <v>2</v>
      </c>
      <c r="E25" s="43">
        <v>2</v>
      </c>
      <c r="F25" s="43">
        <f t="shared" si="1"/>
        <v>0</v>
      </c>
      <c r="G25" s="41">
        <v>0</v>
      </c>
      <c r="H25" s="42">
        <v>2</v>
      </c>
      <c r="I25" s="43">
        <v>2</v>
      </c>
      <c r="J25" s="43">
        <f t="shared" si="2"/>
        <v>0</v>
      </c>
      <c r="K25" s="41">
        <v>0</v>
      </c>
      <c r="L25" s="42">
        <v>0</v>
      </c>
      <c r="M25" s="43">
        <v>0</v>
      </c>
      <c r="N25" s="43">
        <f t="shared" si="3"/>
        <v>0</v>
      </c>
      <c r="O25" s="41">
        <v>0</v>
      </c>
      <c r="P25" s="42">
        <v>2</v>
      </c>
      <c r="Q25" s="43">
        <v>0</v>
      </c>
      <c r="R25" s="43">
        <f t="shared" si="4"/>
        <v>2</v>
      </c>
      <c r="S25" s="41">
        <v>2</v>
      </c>
      <c r="T25" s="42">
        <v>2</v>
      </c>
      <c r="U25" s="43">
        <v>0</v>
      </c>
      <c r="V25" s="43">
        <f t="shared" si="5"/>
        <v>2</v>
      </c>
      <c r="W25" s="41">
        <v>2</v>
      </c>
      <c r="X25" s="42">
        <v>2</v>
      </c>
      <c r="Y25" s="43">
        <v>2</v>
      </c>
      <c r="Z25" s="43">
        <f t="shared" si="6"/>
        <v>0</v>
      </c>
      <c r="AA25" s="41">
        <v>0</v>
      </c>
      <c r="AB25" s="42">
        <v>2</v>
      </c>
      <c r="AC25" s="43">
        <v>2</v>
      </c>
      <c r="AD25" s="43">
        <f t="shared" si="7"/>
        <v>0</v>
      </c>
      <c r="AE25" s="41">
        <v>0</v>
      </c>
      <c r="AF25" s="42">
        <v>2</v>
      </c>
      <c r="AG25" s="43">
        <v>2</v>
      </c>
      <c r="AH25" s="43">
        <f t="shared" si="8"/>
        <v>0</v>
      </c>
      <c r="AI25" s="41">
        <v>0</v>
      </c>
      <c r="AJ25" s="42">
        <v>0</v>
      </c>
      <c r="AK25" s="43">
        <v>0</v>
      </c>
      <c r="AL25" s="43">
        <f t="shared" si="9"/>
        <v>0</v>
      </c>
      <c r="AM25" s="41">
        <v>0</v>
      </c>
      <c r="AN25" s="42">
        <v>0</v>
      </c>
      <c r="AO25" s="43">
        <v>0</v>
      </c>
      <c r="AP25" s="43">
        <f t="shared" si="10"/>
        <v>0</v>
      </c>
      <c r="AQ25" s="41">
        <v>0</v>
      </c>
      <c r="AR25" s="42">
        <v>1</v>
      </c>
      <c r="AS25" s="43">
        <v>0</v>
      </c>
      <c r="AT25" s="43">
        <f t="shared" si="11"/>
        <v>1</v>
      </c>
      <c r="AU25" s="41">
        <v>0</v>
      </c>
      <c r="AV25" s="42">
        <v>0</v>
      </c>
      <c r="AW25" s="43">
        <v>0</v>
      </c>
      <c r="AX25" s="43">
        <f t="shared" si="12"/>
        <v>0</v>
      </c>
      <c r="AY25" s="41">
        <v>1</v>
      </c>
      <c r="AZ25" s="42">
        <v>1</v>
      </c>
      <c r="BA25" s="43">
        <v>1</v>
      </c>
      <c r="BB25" s="43">
        <f t="shared" si="13"/>
        <v>0</v>
      </c>
      <c r="BC25" s="41">
        <v>1</v>
      </c>
      <c r="BD25" s="42">
        <v>0</v>
      </c>
      <c r="BE25" s="43">
        <v>0</v>
      </c>
      <c r="BF25" s="43">
        <f t="shared" si="14"/>
        <v>0</v>
      </c>
      <c r="BG25" s="41">
        <v>0</v>
      </c>
      <c r="BH25" s="42">
        <v>0</v>
      </c>
      <c r="BI25" s="43">
        <v>0</v>
      </c>
      <c r="BJ25" s="43">
        <f t="shared" si="15"/>
        <v>0</v>
      </c>
      <c r="BK25" s="41">
        <v>0</v>
      </c>
      <c r="BL25" s="42">
        <v>0</v>
      </c>
      <c r="BM25" s="43">
        <v>0</v>
      </c>
      <c r="BN25" s="43">
        <f t="shared" si="16"/>
        <v>0</v>
      </c>
      <c r="BO25" s="41">
        <v>2</v>
      </c>
      <c r="BP25" s="42">
        <v>0</v>
      </c>
      <c r="BQ25" s="43">
        <v>0</v>
      </c>
      <c r="BR25" s="43">
        <f t="shared" si="17"/>
        <v>0</v>
      </c>
      <c r="BS25" s="41">
        <v>0</v>
      </c>
      <c r="BT25" s="42">
        <f t="shared" si="18"/>
        <v>11</v>
      </c>
      <c r="BU25" s="43">
        <f t="shared" si="19"/>
        <v>5</v>
      </c>
      <c r="BV25" s="43">
        <f t="shared" si="20"/>
        <v>8</v>
      </c>
      <c r="BW25" s="43">
        <f t="shared" si="21"/>
        <v>0.6875</v>
      </c>
      <c r="BX25" s="43">
        <f t="shared" si="22"/>
        <v>0.57894736842105265</v>
      </c>
      <c r="BY25" s="41">
        <f t="shared" si="23"/>
        <v>0.62857142857142856</v>
      </c>
    </row>
    <row r="26" spans="1:84" x14ac:dyDescent="0.35">
      <c r="A26" s="60" t="s">
        <v>48</v>
      </c>
      <c r="B26" s="148"/>
      <c r="C26" s="41" t="s">
        <v>70</v>
      </c>
      <c r="D26" s="42">
        <v>2</v>
      </c>
      <c r="E26" s="43">
        <v>2</v>
      </c>
      <c r="F26" s="43">
        <f t="shared" si="1"/>
        <v>0</v>
      </c>
      <c r="G26" s="41">
        <v>0</v>
      </c>
      <c r="H26" s="42">
        <v>2</v>
      </c>
      <c r="I26" s="43">
        <v>2</v>
      </c>
      <c r="J26" s="43">
        <f t="shared" si="2"/>
        <v>0</v>
      </c>
      <c r="K26" s="41">
        <v>2</v>
      </c>
      <c r="L26" s="42">
        <v>0</v>
      </c>
      <c r="M26" s="43">
        <v>0</v>
      </c>
      <c r="N26" s="43">
        <f t="shared" si="3"/>
        <v>0</v>
      </c>
      <c r="O26" s="41">
        <v>0</v>
      </c>
      <c r="P26" s="42">
        <v>2</v>
      </c>
      <c r="Q26" s="43">
        <v>2</v>
      </c>
      <c r="R26" s="43">
        <f t="shared" si="4"/>
        <v>0</v>
      </c>
      <c r="S26" s="41">
        <v>0</v>
      </c>
      <c r="T26" s="42">
        <v>2</v>
      </c>
      <c r="U26" s="43">
        <v>2</v>
      </c>
      <c r="V26" s="43">
        <f t="shared" si="5"/>
        <v>0</v>
      </c>
      <c r="W26" s="41">
        <v>0</v>
      </c>
      <c r="X26" s="42">
        <v>2</v>
      </c>
      <c r="Y26" s="43">
        <v>2</v>
      </c>
      <c r="Z26" s="43">
        <f t="shared" si="6"/>
        <v>0</v>
      </c>
      <c r="AA26" s="41">
        <v>0</v>
      </c>
      <c r="AB26" s="42">
        <v>2</v>
      </c>
      <c r="AC26" s="43">
        <v>2</v>
      </c>
      <c r="AD26" s="43">
        <f t="shared" si="7"/>
        <v>0</v>
      </c>
      <c r="AE26" s="41">
        <v>0</v>
      </c>
      <c r="AF26" s="42">
        <v>2</v>
      </c>
      <c r="AG26" s="43">
        <v>2</v>
      </c>
      <c r="AH26" s="43">
        <f t="shared" si="8"/>
        <v>0</v>
      </c>
      <c r="AI26" s="41">
        <v>2</v>
      </c>
      <c r="AJ26" s="42">
        <v>0</v>
      </c>
      <c r="AK26" s="43">
        <v>0</v>
      </c>
      <c r="AL26" s="43">
        <f t="shared" si="9"/>
        <v>0</v>
      </c>
      <c r="AM26" s="41">
        <v>0</v>
      </c>
      <c r="AN26" s="42">
        <v>0</v>
      </c>
      <c r="AO26" s="43">
        <v>0</v>
      </c>
      <c r="AP26" s="43">
        <f t="shared" si="10"/>
        <v>0</v>
      </c>
      <c r="AQ26" s="41">
        <v>0</v>
      </c>
      <c r="AR26" s="42">
        <v>1</v>
      </c>
      <c r="AS26" s="43">
        <v>0</v>
      </c>
      <c r="AT26" s="43">
        <f t="shared" si="11"/>
        <v>1</v>
      </c>
      <c r="AU26" s="41">
        <v>0</v>
      </c>
      <c r="AV26" s="42">
        <v>0</v>
      </c>
      <c r="AW26" s="43">
        <v>0</v>
      </c>
      <c r="AX26" s="43">
        <f t="shared" si="12"/>
        <v>0</v>
      </c>
      <c r="AY26" s="41">
        <v>1</v>
      </c>
      <c r="AZ26" s="42">
        <v>1</v>
      </c>
      <c r="BA26" s="43">
        <v>1</v>
      </c>
      <c r="BB26" s="43">
        <f t="shared" si="13"/>
        <v>0</v>
      </c>
      <c r="BC26" s="41">
        <v>1</v>
      </c>
      <c r="BD26" s="42">
        <v>0</v>
      </c>
      <c r="BE26" s="43">
        <v>0</v>
      </c>
      <c r="BF26" s="43">
        <f t="shared" si="14"/>
        <v>0</v>
      </c>
      <c r="BG26" s="41">
        <v>0</v>
      </c>
      <c r="BH26" s="42">
        <v>0</v>
      </c>
      <c r="BI26" s="43">
        <v>0</v>
      </c>
      <c r="BJ26" s="43">
        <f t="shared" si="15"/>
        <v>0</v>
      </c>
      <c r="BK26" s="41">
        <v>0</v>
      </c>
      <c r="BL26" s="42">
        <v>0</v>
      </c>
      <c r="BM26" s="43">
        <v>0</v>
      </c>
      <c r="BN26" s="43">
        <f t="shared" si="16"/>
        <v>0</v>
      </c>
      <c r="BO26" s="41">
        <v>2</v>
      </c>
      <c r="BP26" s="42">
        <v>0</v>
      </c>
      <c r="BQ26" s="43">
        <v>0</v>
      </c>
      <c r="BR26" s="43">
        <f t="shared" si="17"/>
        <v>0</v>
      </c>
      <c r="BS26" s="41">
        <v>0</v>
      </c>
      <c r="BT26" s="42">
        <f t="shared" si="18"/>
        <v>15</v>
      </c>
      <c r="BU26" s="43">
        <f t="shared" si="19"/>
        <v>1</v>
      </c>
      <c r="BV26" s="43">
        <f t="shared" si="20"/>
        <v>8</v>
      </c>
      <c r="BW26" s="43">
        <f t="shared" si="21"/>
        <v>0.9375</v>
      </c>
      <c r="BX26" s="43">
        <f t="shared" si="22"/>
        <v>0.65217391304347827</v>
      </c>
      <c r="BY26" s="41">
        <f t="shared" si="23"/>
        <v>0.76923076923076927</v>
      </c>
    </row>
    <row r="27" spans="1:84" x14ac:dyDescent="0.35">
      <c r="A27" s="47" t="s">
        <v>48</v>
      </c>
      <c r="B27" s="148"/>
      <c r="C27" s="44" t="s">
        <v>38</v>
      </c>
      <c r="D27" s="45">
        <v>2</v>
      </c>
      <c r="E27" s="46">
        <v>2</v>
      </c>
      <c r="F27" s="46">
        <f t="shared" si="1"/>
        <v>0</v>
      </c>
      <c r="G27" s="44">
        <v>0</v>
      </c>
      <c r="H27" s="45">
        <v>2</v>
      </c>
      <c r="I27" s="46">
        <v>2</v>
      </c>
      <c r="J27" s="46">
        <f t="shared" si="2"/>
        <v>0</v>
      </c>
      <c r="K27" s="44">
        <v>1</v>
      </c>
      <c r="L27" s="45">
        <v>2</v>
      </c>
      <c r="M27" s="46">
        <v>2</v>
      </c>
      <c r="N27" s="46">
        <f t="shared" si="3"/>
        <v>0</v>
      </c>
      <c r="O27" s="44">
        <v>0</v>
      </c>
      <c r="P27" s="45">
        <v>2</v>
      </c>
      <c r="Q27" s="46">
        <v>2</v>
      </c>
      <c r="R27" s="46">
        <f t="shared" si="4"/>
        <v>0</v>
      </c>
      <c r="S27" s="44">
        <v>0</v>
      </c>
      <c r="T27" s="45">
        <v>2</v>
      </c>
      <c r="U27" s="46">
        <v>0</v>
      </c>
      <c r="V27" s="46">
        <f t="shared" si="5"/>
        <v>2</v>
      </c>
      <c r="W27" s="44">
        <v>2</v>
      </c>
      <c r="X27" s="45">
        <v>1</v>
      </c>
      <c r="Y27" s="46">
        <v>1</v>
      </c>
      <c r="Z27" s="46">
        <f t="shared" si="6"/>
        <v>0</v>
      </c>
      <c r="AA27" s="44">
        <v>1</v>
      </c>
      <c r="AB27" s="45">
        <v>0</v>
      </c>
      <c r="AC27" s="46">
        <v>0</v>
      </c>
      <c r="AD27" s="46">
        <f t="shared" si="7"/>
        <v>0</v>
      </c>
      <c r="AE27" s="44">
        <v>0</v>
      </c>
      <c r="AF27" s="45">
        <v>1</v>
      </c>
      <c r="AG27" s="46">
        <v>1</v>
      </c>
      <c r="AH27" s="46">
        <f t="shared" si="8"/>
        <v>0</v>
      </c>
      <c r="AI27" s="44">
        <v>1</v>
      </c>
      <c r="AJ27" s="45">
        <v>0</v>
      </c>
      <c r="AK27" s="46">
        <v>0</v>
      </c>
      <c r="AL27" s="46">
        <f t="shared" si="9"/>
        <v>0</v>
      </c>
      <c r="AM27" s="44">
        <v>0</v>
      </c>
      <c r="AN27" s="45">
        <v>0</v>
      </c>
      <c r="AO27" s="46">
        <v>0</v>
      </c>
      <c r="AP27" s="46">
        <f t="shared" si="10"/>
        <v>0</v>
      </c>
      <c r="AQ27" s="44">
        <v>0</v>
      </c>
      <c r="AR27" s="45">
        <v>0</v>
      </c>
      <c r="AS27" s="46">
        <v>0</v>
      </c>
      <c r="AT27" s="46">
        <f t="shared" si="11"/>
        <v>0</v>
      </c>
      <c r="AU27" s="44">
        <v>0</v>
      </c>
      <c r="AV27" s="45">
        <v>0</v>
      </c>
      <c r="AW27" s="46">
        <v>0</v>
      </c>
      <c r="AX27" s="46">
        <f t="shared" si="12"/>
        <v>0</v>
      </c>
      <c r="AY27" s="44">
        <v>0</v>
      </c>
      <c r="AZ27" s="45">
        <v>1</v>
      </c>
      <c r="BA27" s="46">
        <v>1</v>
      </c>
      <c r="BB27" s="46">
        <f t="shared" si="13"/>
        <v>0</v>
      </c>
      <c r="BC27" s="44">
        <v>0</v>
      </c>
      <c r="BD27" s="45">
        <v>0</v>
      </c>
      <c r="BE27" s="46">
        <v>0</v>
      </c>
      <c r="BF27" s="46">
        <f t="shared" si="14"/>
        <v>0</v>
      </c>
      <c r="BG27" s="44">
        <v>0</v>
      </c>
      <c r="BH27" s="45">
        <v>0</v>
      </c>
      <c r="BI27" s="46">
        <v>0</v>
      </c>
      <c r="BJ27" s="46">
        <f t="shared" si="15"/>
        <v>0</v>
      </c>
      <c r="BK27" s="44">
        <v>0</v>
      </c>
      <c r="BL27" s="45">
        <v>0</v>
      </c>
      <c r="BM27" s="46">
        <v>0</v>
      </c>
      <c r="BN27" s="46">
        <f t="shared" si="16"/>
        <v>0</v>
      </c>
      <c r="BO27" s="44">
        <v>2</v>
      </c>
      <c r="BP27" s="45">
        <v>1</v>
      </c>
      <c r="BQ27" s="46">
        <v>1</v>
      </c>
      <c r="BR27" s="46">
        <f t="shared" si="17"/>
        <v>0</v>
      </c>
      <c r="BS27" s="44">
        <v>0</v>
      </c>
      <c r="BT27" s="45">
        <f t="shared" si="18"/>
        <v>12</v>
      </c>
      <c r="BU27" s="46">
        <f t="shared" si="19"/>
        <v>2</v>
      </c>
      <c r="BV27" s="46">
        <f t="shared" si="20"/>
        <v>7</v>
      </c>
      <c r="BW27" s="46">
        <f t="shared" si="21"/>
        <v>0.8571428571428571</v>
      </c>
      <c r="BX27" s="46">
        <f t="shared" si="22"/>
        <v>0.63157894736842102</v>
      </c>
      <c r="BY27" s="44">
        <f t="shared" si="23"/>
        <v>0.72727272727272729</v>
      </c>
    </row>
    <row r="28" spans="1:84" x14ac:dyDescent="0.35">
      <c r="A28" s="47" t="s">
        <v>48</v>
      </c>
      <c r="B28" s="148"/>
      <c r="C28" s="44" t="s">
        <v>71</v>
      </c>
      <c r="D28" s="45">
        <v>2</v>
      </c>
      <c r="E28" s="46">
        <v>2</v>
      </c>
      <c r="F28" s="46">
        <f t="shared" si="1"/>
        <v>0</v>
      </c>
      <c r="G28" s="44">
        <v>0</v>
      </c>
      <c r="H28" s="45">
        <v>2</v>
      </c>
      <c r="I28" s="46">
        <v>2</v>
      </c>
      <c r="J28" s="46">
        <f t="shared" si="2"/>
        <v>0</v>
      </c>
      <c r="K28" s="44">
        <v>1</v>
      </c>
      <c r="L28" s="45">
        <v>2</v>
      </c>
      <c r="M28" s="46">
        <v>2</v>
      </c>
      <c r="N28" s="46">
        <f t="shared" si="3"/>
        <v>0</v>
      </c>
      <c r="O28" s="44">
        <v>1</v>
      </c>
      <c r="P28" s="45">
        <v>2</v>
      </c>
      <c r="Q28" s="46">
        <v>2</v>
      </c>
      <c r="R28" s="46">
        <f t="shared" si="4"/>
        <v>0</v>
      </c>
      <c r="S28" s="44">
        <v>0</v>
      </c>
      <c r="T28" s="45">
        <v>2</v>
      </c>
      <c r="U28" s="46">
        <v>0</v>
      </c>
      <c r="V28" s="46">
        <f t="shared" si="5"/>
        <v>2</v>
      </c>
      <c r="W28" s="44">
        <v>2</v>
      </c>
      <c r="X28" s="45">
        <v>1</v>
      </c>
      <c r="Y28" s="46">
        <v>1</v>
      </c>
      <c r="Z28" s="46">
        <f t="shared" si="6"/>
        <v>0</v>
      </c>
      <c r="AA28" s="44">
        <v>0</v>
      </c>
      <c r="AB28" s="45">
        <v>0</v>
      </c>
      <c r="AC28" s="46">
        <v>0</v>
      </c>
      <c r="AD28" s="46">
        <f t="shared" si="7"/>
        <v>0</v>
      </c>
      <c r="AE28" s="44">
        <v>0</v>
      </c>
      <c r="AF28" s="45">
        <v>1</v>
      </c>
      <c r="AG28" s="46">
        <v>1</v>
      </c>
      <c r="AH28" s="46">
        <f t="shared" si="8"/>
        <v>0</v>
      </c>
      <c r="AI28" s="44">
        <v>1</v>
      </c>
      <c r="AJ28" s="45">
        <v>0</v>
      </c>
      <c r="AK28" s="46">
        <v>0</v>
      </c>
      <c r="AL28" s="46">
        <f t="shared" si="9"/>
        <v>0</v>
      </c>
      <c r="AM28" s="44">
        <v>0</v>
      </c>
      <c r="AN28" s="45">
        <v>0</v>
      </c>
      <c r="AO28" s="46">
        <v>0</v>
      </c>
      <c r="AP28" s="46">
        <f t="shared" si="10"/>
        <v>0</v>
      </c>
      <c r="AQ28" s="44">
        <v>0</v>
      </c>
      <c r="AR28" s="45">
        <v>0</v>
      </c>
      <c r="AS28" s="46">
        <v>0</v>
      </c>
      <c r="AT28" s="46">
        <f t="shared" si="11"/>
        <v>0</v>
      </c>
      <c r="AU28" s="44">
        <v>0</v>
      </c>
      <c r="AV28" s="45">
        <v>0</v>
      </c>
      <c r="AW28" s="46">
        <v>0</v>
      </c>
      <c r="AX28" s="46">
        <f t="shared" si="12"/>
        <v>0</v>
      </c>
      <c r="AY28" s="44">
        <v>1</v>
      </c>
      <c r="AZ28" s="45">
        <v>1</v>
      </c>
      <c r="BA28" s="46">
        <v>1</v>
      </c>
      <c r="BB28" s="46">
        <f t="shared" si="13"/>
        <v>0</v>
      </c>
      <c r="BC28" s="44">
        <v>0</v>
      </c>
      <c r="BD28" s="45">
        <v>0</v>
      </c>
      <c r="BE28" s="46">
        <v>0</v>
      </c>
      <c r="BF28" s="46">
        <f t="shared" si="14"/>
        <v>0</v>
      </c>
      <c r="BG28" s="44">
        <v>0</v>
      </c>
      <c r="BH28" s="45">
        <v>0</v>
      </c>
      <c r="BI28" s="46">
        <v>0</v>
      </c>
      <c r="BJ28" s="46">
        <f t="shared" si="15"/>
        <v>0</v>
      </c>
      <c r="BK28" s="44">
        <v>0</v>
      </c>
      <c r="BL28" s="45">
        <v>0</v>
      </c>
      <c r="BM28" s="46">
        <v>0</v>
      </c>
      <c r="BN28" s="46">
        <f t="shared" si="16"/>
        <v>0</v>
      </c>
      <c r="BO28" s="44">
        <v>2</v>
      </c>
      <c r="BP28" s="45">
        <v>1</v>
      </c>
      <c r="BQ28" s="46">
        <v>0</v>
      </c>
      <c r="BR28" s="46">
        <f t="shared" si="17"/>
        <v>1</v>
      </c>
      <c r="BS28" s="44">
        <v>0</v>
      </c>
      <c r="BT28" s="45">
        <f t="shared" si="18"/>
        <v>11</v>
      </c>
      <c r="BU28" s="46">
        <f t="shared" si="19"/>
        <v>3</v>
      </c>
      <c r="BV28" s="46">
        <f t="shared" si="20"/>
        <v>8</v>
      </c>
      <c r="BW28" s="46">
        <f t="shared" si="21"/>
        <v>0.7857142857142857</v>
      </c>
      <c r="BX28" s="46">
        <f t="shared" si="22"/>
        <v>0.57894736842105265</v>
      </c>
      <c r="BY28" s="44">
        <f t="shared" si="23"/>
        <v>0.66666666666666674</v>
      </c>
    </row>
    <row r="29" spans="1:84" x14ac:dyDescent="0.35">
      <c r="A29" s="61" t="s">
        <v>48</v>
      </c>
      <c r="B29" s="148"/>
      <c r="C29" s="126" t="s">
        <v>39</v>
      </c>
      <c r="D29" s="127">
        <v>2</v>
      </c>
      <c r="E29" s="128">
        <v>2</v>
      </c>
      <c r="F29" s="128">
        <f t="shared" si="1"/>
        <v>0</v>
      </c>
      <c r="G29" s="126">
        <v>0</v>
      </c>
      <c r="H29" s="127">
        <v>2</v>
      </c>
      <c r="I29" s="128">
        <v>2</v>
      </c>
      <c r="J29" s="128">
        <f t="shared" si="2"/>
        <v>0</v>
      </c>
      <c r="K29" s="126">
        <v>0</v>
      </c>
      <c r="L29" s="127">
        <v>2</v>
      </c>
      <c r="M29" s="128">
        <v>2</v>
      </c>
      <c r="N29" s="128">
        <f t="shared" si="3"/>
        <v>0</v>
      </c>
      <c r="O29" s="126">
        <v>0</v>
      </c>
      <c r="P29" s="127">
        <v>2</v>
      </c>
      <c r="Q29" s="128">
        <v>2</v>
      </c>
      <c r="R29" s="128">
        <f t="shared" si="4"/>
        <v>0</v>
      </c>
      <c r="S29" s="126">
        <v>0</v>
      </c>
      <c r="T29" s="127">
        <v>2</v>
      </c>
      <c r="U29" s="128">
        <v>2</v>
      </c>
      <c r="V29" s="128">
        <f t="shared" si="5"/>
        <v>0</v>
      </c>
      <c r="W29" s="126">
        <v>0</v>
      </c>
      <c r="X29" s="127">
        <v>4</v>
      </c>
      <c r="Y29" s="128">
        <v>4</v>
      </c>
      <c r="Z29" s="128">
        <f t="shared" si="6"/>
        <v>0</v>
      </c>
      <c r="AA29" s="126">
        <v>0</v>
      </c>
      <c r="AB29" s="127">
        <v>2</v>
      </c>
      <c r="AC29" s="128">
        <v>2</v>
      </c>
      <c r="AD29" s="128">
        <f t="shared" si="7"/>
        <v>0</v>
      </c>
      <c r="AE29" s="126">
        <v>0</v>
      </c>
      <c r="AF29" s="127">
        <v>4</v>
      </c>
      <c r="AG29" s="128">
        <v>4</v>
      </c>
      <c r="AH29" s="128">
        <f t="shared" si="8"/>
        <v>0</v>
      </c>
      <c r="AI29" s="126">
        <v>0</v>
      </c>
      <c r="AJ29" s="127">
        <v>0</v>
      </c>
      <c r="AK29" s="128">
        <v>0</v>
      </c>
      <c r="AL29" s="128">
        <f t="shared" si="9"/>
        <v>0</v>
      </c>
      <c r="AM29" s="126">
        <v>0</v>
      </c>
      <c r="AN29" s="127">
        <v>0</v>
      </c>
      <c r="AO29" s="128">
        <v>0</v>
      </c>
      <c r="AP29" s="128">
        <f t="shared" si="10"/>
        <v>0</v>
      </c>
      <c r="AQ29" s="126">
        <v>0</v>
      </c>
      <c r="AR29" s="127">
        <v>0</v>
      </c>
      <c r="AS29" s="128">
        <v>0</v>
      </c>
      <c r="AT29" s="128">
        <f t="shared" si="11"/>
        <v>0</v>
      </c>
      <c r="AU29" s="126">
        <v>0</v>
      </c>
      <c r="AV29" s="127">
        <v>0</v>
      </c>
      <c r="AW29" s="128">
        <v>0</v>
      </c>
      <c r="AX29" s="128">
        <f t="shared" si="12"/>
        <v>0</v>
      </c>
      <c r="AY29" s="126">
        <v>0</v>
      </c>
      <c r="AZ29" s="127">
        <v>1</v>
      </c>
      <c r="BA29" s="128">
        <v>1</v>
      </c>
      <c r="BB29" s="128">
        <f t="shared" si="13"/>
        <v>0</v>
      </c>
      <c r="BC29" s="126">
        <v>0</v>
      </c>
      <c r="BD29" s="127">
        <v>0</v>
      </c>
      <c r="BE29" s="128">
        <v>0</v>
      </c>
      <c r="BF29" s="128">
        <f t="shared" si="14"/>
        <v>0</v>
      </c>
      <c r="BG29" s="126">
        <v>0</v>
      </c>
      <c r="BH29" s="127">
        <v>0</v>
      </c>
      <c r="BI29" s="128">
        <v>0</v>
      </c>
      <c r="BJ29" s="128">
        <f t="shared" si="15"/>
        <v>0</v>
      </c>
      <c r="BK29" s="126">
        <v>0</v>
      </c>
      <c r="BL29" s="127">
        <v>0</v>
      </c>
      <c r="BM29" s="128">
        <v>0</v>
      </c>
      <c r="BN29" s="128">
        <f t="shared" si="16"/>
        <v>0</v>
      </c>
      <c r="BO29" s="126">
        <v>2</v>
      </c>
      <c r="BP29" s="127">
        <v>1</v>
      </c>
      <c r="BQ29" s="128">
        <v>1</v>
      </c>
      <c r="BR29" s="128">
        <f t="shared" si="17"/>
        <v>0</v>
      </c>
      <c r="BS29" s="126">
        <v>0</v>
      </c>
      <c r="BT29" s="127">
        <f t="shared" si="18"/>
        <v>22</v>
      </c>
      <c r="BU29" s="128">
        <f t="shared" si="19"/>
        <v>0</v>
      </c>
      <c r="BV29" s="128">
        <f t="shared" si="20"/>
        <v>2</v>
      </c>
      <c r="BW29" s="128">
        <f t="shared" si="21"/>
        <v>1</v>
      </c>
      <c r="BX29" s="128">
        <f t="shared" si="22"/>
        <v>0.91666666666666663</v>
      </c>
      <c r="BY29" s="126">
        <f t="shared" si="23"/>
        <v>0.95652173913043481</v>
      </c>
    </row>
    <row r="30" spans="1:84" x14ac:dyDescent="0.35">
      <c r="A30" s="128" t="s">
        <v>48</v>
      </c>
      <c r="B30" s="148"/>
      <c r="C30" s="104" t="s">
        <v>72</v>
      </c>
      <c r="D30" s="107">
        <v>2</v>
      </c>
      <c r="E30" s="61">
        <v>2</v>
      </c>
      <c r="F30" s="61">
        <f t="shared" si="1"/>
        <v>0</v>
      </c>
      <c r="G30" s="104">
        <v>0</v>
      </c>
      <c r="H30" s="107">
        <v>2</v>
      </c>
      <c r="I30" s="61">
        <v>2</v>
      </c>
      <c r="J30" s="61">
        <f t="shared" si="2"/>
        <v>0</v>
      </c>
      <c r="K30" s="104">
        <v>0</v>
      </c>
      <c r="L30" s="107">
        <v>2</v>
      </c>
      <c r="M30" s="61">
        <v>2</v>
      </c>
      <c r="N30" s="61">
        <f t="shared" si="3"/>
        <v>0</v>
      </c>
      <c r="O30" s="104">
        <v>0</v>
      </c>
      <c r="P30" s="107">
        <v>2</v>
      </c>
      <c r="Q30" s="61">
        <v>2</v>
      </c>
      <c r="R30" s="61">
        <f t="shared" si="4"/>
        <v>0</v>
      </c>
      <c r="S30" s="104">
        <v>0</v>
      </c>
      <c r="T30" s="107">
        <v>2</v>
      </c>
      <c r="U30" s="61">
        <v>2</v>
      </c>
      <c r="V30" s="61">
        <f t="shared" si="5"/>
        <v>0</v>
      </c>
      <c r="W30" s="104">
        <v>0</v>
      </c>
      <c r="X30" s="107">
        <v>4</v>
      </c>
      <c r="Y30" s="61">
        <v>4</v>
      </c>
      <c r="Z30" s="61">
        <f t="shared" si="6"/>
        <v>0</v>
      </c>
      <c r="AA30" s="104">
        <v>0</v>
      </c>
      <c r="AB30" s="107">
        <v>2</v>
      </c>
      <c r="AC30" s="61">
        <v>2</v>
      </c>
      <c r="AD30" s="61">
        <v>0</v>
      </c>
      <c r="AE30" s="104">
        <v>0</v>
      </c>
      <c r="AF30" s="107">
        <v>4</v>
      </c>
      <c r="AG30" s="61">
        <v>4</v>
      </c>
      <c r="AH30" s="61">
        <f t="shared" si="8"/>
        <v>0</v>
      </c>
      <c r="AI30" s="104">
        <v>0</v>
      </c>
      <c r="AJ30" s="107">
        <v>0</v>
      </c>
      <c r="AK30" s="61">
        <v>0</v>
      </c>
      <c r="AL30" s="61">
        <f t="shared" si="9"/>
        <v>0</v>
      </c>
      <c r="AM30" s="104">
        <v>0</v>
      </c>
      <c r="AN30" s="107">
        <v>0</v>
      </c>
      <c r="AO30" s="61">
        <v>0</v>
      </c>
      <c r="AP30" s="61">
        <f t="shared" si="10"/>
        <v>0</v>
      </c>
      <c r="AQ30" s="104">
        <v>0</v>
      </c>
      <c r="AR30" s="107">
        <v>0</v>
      </c>
      <c r="AS30" s="61">
        <v>0</v>
      </c>
      <c r="AT30" s="61">
        <f t="shared" si="11"/>
        <v>0</v>
      </c>
      <c r="AU30" s="104">
        <v>0</v>
      </c>
      <c r="AV30" s="107">
        <v>0</v>
      </c>
      <c r="AW30" s="61">
        <v>0</v>
      </c>
      <c r="AX30" s="61">
        <f t="shared" si="12"/>
        <v>0</v>
      </c>
      <c r="AY30" s="104">
        <v>0</v>
      </c>
      <c r="AZ30" s="107">
        <v>1</v>
      </c>
      <c r="BA30" s="61">
        <v>1</v>
      </c>
      <c r="BB30" s="61">
        <f t="shared" si="13"/>
        <v>0</v>
      </c>
      <c r="BC30" s="104">
        <v>0</v>
      </c>
      <c r="BD30" s="107">
        <v>0</v>
      </c>
      <c r="BE30" s="61">
        <v>0</v>
      </c>
      <c r="BF30" s="61">
        <f t="shared" si="14"/>
        <v>0</v>
      </c>
      <c r="BG30" s="104">
        <v>0</v>
      </c>
      <c r="BH30" s="107">
        <v>0</v>
      </c>
      <c r="BI30" s="61">
        <v>0</v>
      </c>
      <c r="BJ30" s="61">
        <f t="shared" si="15"/>
        <v>0</v>
      </c>
      <c r="BK30" s="104">
        <v>0</v>
      </c>
      <c r="BL30" s="107">
        <v>0</v>
      </c>
      <c r="BM30" s="61">
        <v>0</v>
      </c>
      <c r="BN30" s="61">
        <f t="shared" si="16"/>
        <v>0</v>
      </c>
      <c r="BO30" s="104">
        <v>2</v>
      </c>
      <c r="BP30" s="107">
        <v>1</v>
      </c>
      <c r="BQ30" s="61">
        <v>1</v>
      </c>
      <c r="BR30" s="61">
        <f t="shared" si="17"/>
        <v>0</v>
      </c>
      <c r="BS30" s="104">
        <v>0</v>
      </c>
      <c r="BT30" s="107">
        <f t="shared" si="18"/>
        <v>22</v>
      </c>
      <c r="BU30" s="61">
        <f t="shared" si="19"/>
        <v>0</v>
      </c>
      <c r="BV30" s="61">
        <f t="shared" si="20"/>
        <v>2</v>
      </c>
      <c r="BW30" s="61">
        <f t="shared" si="21"/>
        <v>1</v>
      </c>
      <c r="BX30" s="61">
        <f t="shared" si="22"/>
        <v>0.91666666666666663</v>
      </c>
      <c r="BY30" s="104">
        <f t="shared" si="23"/>
        <v>0.95652173913043481</v>
      </c>
    </row>
    <row r="31" spans="1:84" x14ac:dyDescent="0.35">
      <c r="A31" s="108" t="s">
        <v>48</v>
      </c>
      <c r="B31" s="148"/>
      <c r="C31" s="112" t="s">
        <v>42</v>
      </c>
      <c r="D31" s="114">
        <v>2</v>
      </c>
      <c r="E31" s="108">
        <v>2</v>
      </c>
      <c r="F31" s="108">
        <f t="shared" si="1"/>
        <v>0</v>
      </c>
      <c r="G31" s="112">
        <v>0</v>
      </c>
      <c r="H31" s="114">
        <v>1</v>
      </c>
      <c r="I31" s="108">
        <v>1</v>
      </c>
      <c r="J31" s="108">
        <f t="shared" si="2"/>
        <v>0</v>
      </c>
      <c r="K31" s="112">
        <v>1</v>
      </c>
      <c r="L31" s="114">
        <v>1</v>
      </c>
      <c r="M31" s="108">
        <v>1</v>
      </c>
      <c r="N31" s="108">
        <f t="shared" si="3"/>
        <v>0</v>
      </c>
      <c r="O31" s="112">
        <v>0</v>
      </c>
      <c r="P31" s="114">
        <v>1</v>
      </c>
      <c r="Q31" s="108">
        <v>1</v>
      </c>
      <c r="R31" s="108">
        <f t="shared" si="4"/>
        <v>0</v>
      </c>
      <c r="S31" s="112">
        <v>0</v>
      </c>
      <c r="T31" s="114">
        <v>1</v>
      </c>
      <c r="U31" s="108">
        <v>0</v>
      </c>
      <c r="V31" s="108">
        <f t="shared" si="5"/>
        <v>1</v>
      </c>
      <c r="W31" s="112">
        <v>1</v>
      </c>
      <c r="X31" s="114">
        <v>2</v>
      </c>
      <c r="Y31" s="108">
        <v>2</v>
      </c>
      <c r="Z31" s="108">
        <f t="shared" si="6"/>
        <v>0</v>
      </c>
      <c r="AA31" s="112">
        <v>0</v>
      </c>
      <c r="AB31" s="114">
        <v>0</v>
      </c>
      <c r="AC31" s="108">
        <v>0</v>
      </c>
      <c r="AD31" s="108">
        <v>0</v>
      </c>
      <c r="AE31" s="112">
        <v>0</v>
      </c>
      <c r="AF31" s="114">
        <v>2</v>
      </c>
      <c r="AG31" s="108">
        <v>2</v>
      </c>
      <c r="AH31" s="108">
        <f t="shared" si="8"/>
        <v>0</v>
      </c>
      <c r="AI31" s="112">
        <v>0</v>
      </c>
      <c r="AJ31" s="114">
        <v>0</v>
      </c>
      <c r="AK31" s="108">
        <v>0</v>
      </c>
      <c r="AL31" s="108">
        <f t="shared" si="9"/>
        <v>0</v>
      </c>
      <c r="AM31" s="112">
        <v>0</v>
      </c>
      <c r="AN31" s="114">
        <v>0</v>
      </c>
      <c r="AO31" s="108">
        <v>0</v>
      </c>
      <c r="AP31" s="108">
        <f t="shared" si="10"/>
        <v>0</v>
      </c>
      <c r="AQ31" s="112">
        <v>1</v>
      </c>
      <c r="AR31" s="114">
        <v>0</v>
      </c>
      <c r="AS31" s="108">
        <v>0</v>
      </c>
      <c r="AT31" s="108">
        <f t="shared" si="11"/>
        <v>0</v>
      </c>
      <c r="AU31" s="112">
        <v>0</v>
      </c>
      <c r="AV31" s="114">
        <v>0</v>
      </c>
      <c r="AW31" s="108">
        <v>0</v>
      </c>
      <c r="AX31" s="108">
        <f t="shared" si="12"/>
        <v>0</v>
      </c>
      <c r="AY31" s="112">
        <v>0</v>
      </c>
      <c r="AZ31" s="114">
        <v>1</v>
      </c>
      <c r="BA31" s="108">
        <v>1</v>
      </c>
      <c r="BB31" s="108">
        <f t="shared" si="13"/>
        <v>0</v>
      </c>
      <c r="BC31" s="112">
        <v>0</v>
      </c>
      <c r="BD31" s="114">
        <v>0</v>
      </c>
      <c r="BE31" s="108">
        <v>0</v>
      </c>
      <c r="BF31" s="108">
        <f t="shared" si="14"/>
        <v>0</v>
      </c>
      <c r="BG31" s="112">
        <v>0</v>
      </c>
      <c r="BH31" s="114">
        <v>0</v>
      </c>
      <c r="BI31" s="108">
        <v>0</v>
      </c>
      <c r="BJ31" s="108">
        <f t="shared" si="15"/>
        <v>0</v>
      </c>
      <c r="BK31" s="112">
        <v>0</v>
      </c>
      <c r="BL31" s="114">
        <v>0</v>
      </c>
      <c r="BM31" s="108">
        <v>0</v>
      </c>
      <c r="BN31" s="108">
        <f t="shared" si="16"/>
        <v>0</v>
      </c>
      <c r="BO31" s="112">
        <v>2</v>
      </c>
      <c r="BP31" s="114">
        <v>1</v>
      </c>
      <c r="BQ31" s="108">
        <v>1</v>
      </c>
      <c r="BR31" s="108">
        <f t="shared" si="17"/>
        <v>0</v>
      </c>
      <c r="BS31" s="112">
        <v>0</v>
      </c>
      <c r="BT31" s="114">
        <f t="shared" si="18"/>
        <v>11</v>
      </c>
      <c r="BU31" s="108">
        <f t="shared" si="19"/>
        <v>1</v>
      </c>
      <c r="BV31" s="108">
        <f t="shared" si="20"/>
        <v>5</v>
      </c>
      <c r="BW31" s="108">
        <f t="shared" si="21"/>
        <v>0.91666666666666663</v>
      </c>
      <c r="BX31" s="108">
        <f t="shared" si="22"/>
        <v>0.6875</v>
      </c>
      <c r="BY31" s="112">
        <f t="shared" si="23"/>
        <v>0.7857142857142857</v>
      </c>
    </row>
    <row r="32" spans="1:84" x14ac:dyDescent="0.35">
      <c r="A32" s="108" t="s">
        <v>48</v>
      </c>
      <c r="B32" s="148"/>
      <c r="C32" s="112" t="s">
        <v>73</v>
      </c>
      <c r="D32" s="114">
        <v>2</v>
      </c>
      <c r="E32" s="108">
        <v>2</v>
      </c>
      <c r="F32" s="108">
        <f t="shared" si="1"/>
        <v>0</v>
      </c>
      <c r="G32" s="112">
        <v>0</v>
      </c>
      <c r="H32" s="114">
        <v>1</v>
      </c>
      <c r="I32" s="108">
        <v>1</v>
      </c>
      <c r="J32" s="108">
        <f t="shared" si="2"/>
        <v>0</v>
      </c>
      <c r="K32" s="112">
        <v>1</v>
      </c>
      <c r="L32" s="114">
        <v>1</v>
      </c>
      <c r="M32" s="108">
        <v>1</v>
      </c>
      <c r="N32" s="108">
        <f t="shared" si="3"/>
        <v>0</v>
      </c>
      <c r="O32" s="112">
        <v>0</v>
      </c>
      <c r="P32" s="114">
        <v>1</v>
      </c>
      <c r="Q32" s="108">
        <v>1</v>
      </c>
      <c r="R32" s="108">
        <f t="shared" si="4"/>
        <v>0</v>
      </c>
      <c r="S32" s="112">
        <v>0</v>
      </c>
      <c r="T32" s="114">
        <v>1</v>
      </c>
      <c r="U32" s="108">
        <v>0</v>
      </c>
      <c r="V32" s="108">
        <f t="shared" si="5"/>
        <v>1</v>
      </c>
      <c r="W32" s="112">
        <v>1</v>
      </c>
      <c r="X32" s="114">
        <v>2</v>
      </c>
      <c r="Y32" s="108">
        <v>2</v>
      </c>
      <c r="Z32" s="108">
        <f t="shared" si="6"/>
        <v>0</v>
      </c>
      <c r="AA32" s="112">
        <v>0</v>
      </c>
      <c r="AB32" s="114">
        <v>0</v>
      </c>
      <c r="AC32" s="108">
        <v>0</v>
      </c>
      <c r="AD32" s="108">
        <v>0</v>
      </c>
      <c r="AE32" s="112">
        <v>0</v>
      </c>
      <c r="AF32" s="114">
        <v>2</v>
      </c>
      <c r="AG32" s="108">
        <v>2</v>
      </c>
      <c r="AH32" s="108">
        <f t="shared" si="8"/>
        <v>0</v>
      </c>
      <c r="AI32" s="112">
        <v>1</v>
      </c>
      <c r="AJ32" s="114">
        <v>0</v>
      </c>
      <c r="AK32" s="108">
        <v>0</v>
      </c>
      <c r="AL32" s="108">
        <f t="shared" si="9"/>
        <v>0</v>
      </c>
      <c r="AM32" s="112">
        <v>0</v>
      </c>
      <c r="AN32" s="114">
        <v>0</v>
      </c>
      <c r="AO32" s="108">
        <v>0</v>
      </c>
      <c r="AP32" s="108">
        <f t="shared" si="10"/>
        <v>0</v>
      </c>
      <c r="AQ32" s="112">
        <v>1</v>
      </c>
      <c r="AR32" s="114">
        <v>0</v>
      </c>
      <c r="AS32" s="108">
        <v>0</v>
      </c>
      <c r="AT32" s="108">
        <f t="shared" si="11"/>
        <v>0</v>
      </c>
      <c r="AU32" s="112">
        <v>0</v>
      </c>
      <c r="AV32" s="114">
        <v>0</v>
      </c>
      <c r="AW32" s="108">
        <v>0</v>
      </c>
      <c r="AX32" s="108">
        <f t="shared" si="12"/>
        <v>0</v>
      </c>
      <c r="AY32" s="112">
        <v>0</v>
      </c>
      <c r="AZ32" s="114">
        <v>1</v>
      </c>
      <c r="BA32" s="108">
        <v>1</v>
      </c>
      <c r="BB32" s="108">
        <f t="shared" si="13"/>
        <v>0</v>
      </c>
      <c r="BC32" s="112">
        <v>0</v>
      </c>
      <c r="BD32" s="114">
        <v>0</v>
      </c>
      <c r="BE32" s="108">
        <v>0</v>
      </c>
      <c r="BF32" s="108">
        <f t="shared" si="14"/>
        <v>0</v>
      </c>
      <c r="BG32" s="112">
        <v>0</v>
      </c>
      <c r="BH32" s="114">
        <v>0</v>
      </c>
      <c r="BI32" s="108">
        <v>0</v>
      </c>
      <c r="BJ32" s="108">
        <f t="shared" si="15"/>
        <v>0</v>
      </c>
      <c r="BK32" s="112">
        <v>0</v>
      </c>
      <c r="BL32" s="114">
        <v>0</v>
      </c>
      <c r="BM32" s="108">
        <v>0</v>
      </c>
      <c r="BN32" s="108">
        <f t="shared" si="16"/>
        <v>0</v>
      </c>
      <c r="BO32" s="112">
        <v>2</v>
      </c>
      <c r="BP32" s="114">
        <v>1</v>
      </c>
      <c r="BQ32" s="108">
        <v>0</v>
      </c>
      <c r="BR32" s="108">
        <f t="shared" si="17"/>
        <v>1</v>
      </c>
      <c r="BS32" s="112">
        <v>0</v>
      </c>
      <c r="BT32" s="114">
        <f t="shared" si="18"/>
        <v>10</v>
      </c>
      <c r="BU32" s="108">
        <f t="shared" si="19"/>
        <v>2</v>
      </c>
      <c r="BV32" s="108">
        <f t="shared" si="20"/>
        <v>6</v>
      </c>
      <c r="BW32" s="108">
        <f t="shared" si="21"/>
        <v>0.83333333333333337</v>
      </c>
      <c r="BX32" s="108">
        <f t="shared" si="22"/>
        <v>0.625</v>
      </c>
      <c r="BY32" s="112">
        <f t="shared" si="23"/>
        <v>0.7142857142857143</v>
      </c>
    </row>
    <row r="33" spans="1:77" x14ac:dyDescent="0.35">
      <c r="A33" s="109" t="s">
        <v>48</v>
      </c>
      <c r="B33" s="148"/>
      <c r="C33" s="113" t="s">
        <v>43</v>
      </c>
      <c r="D33" s="115">
        <v>1</v>
      </c>
      <c r="E33" s="109">
        <v>1</v>
      </c>
      <c r="F33" s="109">
        <f t="shared" si="1"/>
        <v>0</v>
      </c>
      <c r="G33" s="113">
        <v>0</v>
      </c>
      <c r="H33" s="115">
        <v>1</v>
      </c>
      <c r="I33" s="109">
        <v>1</v>
      </c>
      <c r="J33" s="109">
        <f t="shared" si="2"/>
        <v>0</v>
      </c>
      <c r="K33" s="113">
        <v>0</v>
      </c>
      <c r="L33" s="115">
        <v>0</v>
      </c>
      <c r="M33" s="109">
        <v>0</v>
      </c>
      <c r="N33" s="109">
        <f t="shared" si="3"/>
        <v>0</v>
      </c>
      <c r="O33" s="113">
        <v>0</v>
      </c>
      <c r="P33" s="115">
        <v>5</v>
      </c>
      <c r="Q33" s="109">
        <v>5</v>
      </c>
      <c r="R33" s="109">
        <f t="shared" si="4"/>
        <v>0</v>
      </c>
      <c r="S33" s="113">
        <v>0</v>
      </c>
      <c r="T33" s="115">
        <v>5</v>
      </c>
      <c r="U33" s="109">
        <v>5</v>
      </c>
      <c r="V33" s="109">
        <f t="shared" si="5"/>
        <v>0</v>
      </c>
      <c r="W33" s="113">
        <v>0</v>
      </c>
      <c r="X33" s="115">
        <v>0</v>
      </c>
      <c r="Y33" s="109">
        <v>0</v>
      </c>
      <c r="Z33" s="109">
        <f t="shared" si="6"/>
        <v>0</v>
      </c>
      <c r="AA33" s="113">
        <v>0</v>
      </c>
      <c r="AB33" s="115">
        <v>0</v>
      </c>
      <c r="AC33" s="109">
        <v>0</v>
      </c>
      <c r="AD33" s="109">
        <v>0</v>
      </c>
      <c r="AE33" s="113">
        <v>0</v>
      </c>
      <c r="AF33" s="115">
        <v>0</v>
      </c>
      <c r="AG33" s="109">
        <v>0</v>
      </c>
      <c r="AH33" s="109">
        <f t="shared" si="8"/>
        <v>0</v>
      </c>
      <c r="AI33" s="113">
        <v>0</v>
      </c>
      <c r="AJ33" s="115">
        <v>0</v>
      </c>
      <c r="AK33" s="109">
        <v>0</v>
      </c>
      <c r="AL33" s="109">
        <f t="shared" si="9"/>
        <v>0</v>
      </c>
      <c r="AM33" s="113">
        <v>0</v>
      </c>
      <c r="AN33" s="115">
        <v>0</v>
      </c>
      <c r="AO33" s="109">
        <v>0</v>
      </c>
      <c r="AP33" s="109">
        <f t="shared" si="10"/>
        <v>0</v>
      </c>
      <c r="AQ33" s="113">
        <v>0</v>
      </c>
      <c r="AR33" s="115">
        <v>0</v>
      </c>
      <c r="AS33" s="109">
        <v>0</v>
      </c>
      <c r="AT33" s="109">
        <f t="shared" si="11"/>
        <v>0</v>
      </c>
      <c r="AU33" s="113">
        <v>0</v>
      </c>
      <c r="AV33" s="115">
        <v>0</v>
      </c>
      <c r="AW33" s="109">
        <v>0</v>
      </c>
      <c r="AX33" s="109">
        <f t="shared" si="12"/>
        <v>0</v>
      </c>
      <c r="AY33" s="113">
        <v>0</v>
      </c>
      <c r="AZ33" s="115">
        <v>0</v>
      </c>
      <c r="BA33" s="109">
        <v>0</v>
      </c>
      <c r="BB33" s="109">
        <f t="shared" si="13"/>
        <v>0</v>
      </c>
      <c r="BC33" s="113">
        <v>0</v>
      </c>
      <c r="BD33" s="115">
        <v>0</v>
      </c>
      <c r="BE33" s="109">
        <v>0</v>
      </c>
      <c r="BF33" s="109">
        <f t="shared" si="14"/>
        <v>0</v>
      </c>
      <c r="BG33" s="113">
        <v>0</v>
      </c>
      <c r="BH33" s="115">
        <v>0</v>
      </c>
      <c r="BI33" s="109">
        <v>0</v>
      </c>
      <c r="BJ33" s="109">
        <f t="shared" si="15"/>
        <v>0</v>
      </c>
      <c r="BK33" s="113">
        <v>0</v>
      </c>
      <c r="BL33" s="115">
        <v>0</v>
      </c>
      <c r="BM33" s="109">
        <v>0</v>
      </c>
      <c r="BN33" s="109">
        <f t="shared" si="16"/>
        <v>0</v>
      </c>
      <c r="BO33" s="113">
        <v>0</v>
      </c>
      <c r="BP33" s="115">
        <v>0</v>
      </c>
      <c r="BQ33" s="109">
        <v>0</v>
      </c>
      <c r="BR33" s="109">
        <f t="shared" si="17"/>
        <v>0</v>
      </c>
      <c r="BS33" s="113">
        <v>0</v>
      </c>
      <c r="BT33" s="115">
        <f t="shared" si="18"/>
        <v>12</v>
      </c>
      <c r="BU33" s="109">
        <f t="shared" si="19"/>
        <v>0</v>
      </c>
      <c r="BV33" s="109">
        <f t="shared" si="20"/>
        <v>0</v>
      </c>
      <c r="BW33" s="109">
        <f t="shared" si="21"/>
        <v>1</v>
      </c>
      <c r="BX33" s="109">
        <f t="shared" si="22"/>
        <v>1</v>
      </c>
      <c r="BY33" s="113">
        <f t="shared" si="23"/>
        <v>1</v>
      </c>
    </row>
    <row r="34" spans="1:77" ht="15" thickBot="1" x14ac:dyDescent="0.4">
      <c r="A34" s="109" t="s">
        <v>48</v>
      </c>
      <c r="B34" s="148"/>
      <c r="C34" s="113" t="s">
        <v>74</v>
      </c>
      <c r="D34" s="130">
        <v>1</v>
      </c>
      <c r="E34" s="131">
        <v>1</v>
      </c>
      <c r="F34" s="131">
        <f t="shared" si="1"/>
        <v>0</v>
      </c>
      <c r="G34" s="129">
        <v>0</v>
      </c>
      <c r="H34" s="130">
        <v>1</v>
      </c>
      <c r="I34" s="131">
        <v>1</v>
      </c>
      <c r="J34" s="131">
        <f t="shared" si="2"/>
        <v>0</v>
      </c>
      <c r="K34" s="129">
        <v>0</v>
      </c>
      <c r="L34" s="130">
        <v>0</v>
      </c>
      <c r="M34" s="131">
        <v>0</v>
      </c>
      <c r="N34" s="131">
        <f t="shared" si="3"/>
        <v>0</v>
      </c>
      <c r="O34" s="129">
        <v>0</v>
      </c>
      <c r="P34" s="130">
        <v>5</v>
      </c>
      <c r="Q34" s="131">
        <v>5</v>
      </c>
      <c r="R34" s="131">
        <f t="shared" si="4"/>
        <v>0</v>
      </c>
      <c r="S34" s="129">
        <v>0</v>
      </c>
      <c r="T34" s="130">
        <v>5</v>
      </c>
      <c r="U34" s="131">
        <v>1</v>
      </c>
      <c r="V34" s="131">
        <f t="shared" si="5"/>
        <v>4</v>
      </c>
      <c r="W34" s="129">
        <v>4</v>
      </c>
      <c r="X34" s="130">
        <v>0</v>
      </c>
      <c r="Y34" s="131">
        <v>0</v>
      </c>
      <c r="Z34" s="131">
        <f t="shared" si="6"/>
        <v>0</v>
      </c>
      <c r="AA34" s="129">
        <v>0</v>
      </c>
      <c r="AB34" s="130">
        <v>0</v>
      </c>
      <c r="AC34" s="131">
        <v>0</v>
      </c>
      <c r="AD34" s="131">
        <v>0</v>
      </c>
      <c r="AE34" s="129">
        <v>0</v>
      </c>
      <c r="AF34" s="130">
        <v>0</v>
      </c>
      <c r="AG34" s="131">
        <v>0</v>
      </c>
      <c r="AH34" s="131">
        <f t="shared" si="8"/>
        <v>0</v>
      </c>
      <c r="AI34" s="129">
        <v>0</v>
      </c>
      <c r="AJ34" s="130">
        <v>0</v>
      </c>
      <c r="AK34" s="131">
        <v>0</v>
      </c>
      <c r="AL34" s="131">
        <f t="shared" si="9"/>
        <v>0</v>
      </c>
      <c r="AM34" s="129">
        <v>0</v>
      </c>
      <c r="AN34" s="130">
        <v>0</v>
      </c>
      <c r="AO34" s="131">
        <v>0</v>
      </c>
      <c r="AP34" s="131">
        <f t="shared" si="10"/>
        <v>0</v>
      </c>
      <c r="AQ34" s="129">
        <v>0</v>
      </c>
      <c r="AR34" s="130">
        <v>0</v>
      </c>
      <c r="AS34" s="131">
        <v>0</v>
      </c>
      <c r="AT34" s="131">
        <f t="shared" si="11"/>
        <v>0</v>
      </c>
      <c r="AU34" s="129">
        <v>0</v>
      </c>
      <c r="AV34" s="130">
        <v>0</v>
      </c>
      <c r="AW34" s="131">
        <v>0</v>
      </c>
      <c r="AX34" s="131">
        <f t="shared" si="12"/>
        <v>0</v>
      </c>
      <c r="AY34" s="129">
        <v>0</v>
      </c>
      <c r="AZ34" s="130">
        <v>0</v>
      </c>
      <c r="BA34" s="131">
        <v>0</v>
      </c>
      <c r="BB34" s="131">
        <f t="shared" si="13"/>
        <v>0</v>
      </c>
      <c r="BC34" s="129">
        <v>0</v>
      </c>
      <c r="BD34" s="130">
        <v>0</v>
      </c>
      <c r="BE34" s="131">
        <v>0</v>
      </c>
      <c r="BF34" s="131">
        <f t="shared" si="14"/>
        <v>0</v>
      </c>
      <c r="BG34" s="129">
        <v>0</v>
      </c>
      <c r="BH34" s="132">
        <v>0</v>
      </c>
      <c r="BI34" s="131">
        <v>0</v>
      </c>
      <c r="BJ34" s="131">
        <f t="shared" si="15"/>
        <v>0</v>
      </c>
      <c r="BK34" s="129">
        <v>0</v>
      </c>
      <c r="BL34" s="130">
        <v>0</v>
      </c>
      <c r="BM34" s="131">
        <v>0</v>
      </c>
      <c r="BN34" s="131">
        <f t="shared" si="16"/>
        <v>0</v>
      </c>
      <c r="BO34" s="129">
        <v>0</v>
      </c>
      <c r="BP34" s="130">
        <v>0</v>
      </c>
      <c r="BQ34" s="131">
        <v>0</v>
      </c>
      <c r="BR34" s="131">
        <f t="shared" si="17"/>
        <v>0</v>
      </c>
      <c r="BS34" s="129">
        <v>0</v>
      </c>
      <c r="BT34" s="130">
        <f t="shared" si="18"/>
        <v>8</v>
      </c>
      <c r="BU34" s="131">
        <f t="shared" si="19"/>
        <v>4</v>
      </c>
      <c r="BV34" s="131">
        <f t="shared" si="20"/>
        <v>4</v>
      </c>
      <c r="BW34" s="131">
        <f t="shared" si="21"/>
        <v>0.66666666666666663</v>
      </c>
      <c r="BX34" s="131">
        <f t="shared" si="22"/>
        <v>0.66666666666666663</v>
      </c>
      <c r="BY34" s="129">
        <f t="shared" si="23"/>
        <v>0.66666666666666663</v>
      </c>
    </row>
    <row r="35" spans="1:77" ht="15" thickTop="1" x14ac:dyDescent="0.35">
      <c r="C35" s="5" t="s">
        <v>111</v>
      </c>
      <c r="D35" s="48">
        <f>SUM(D3:D34)</f>
        <v>68</v>
      </c>
      <c r="E35" s="48">
        <f t="shared" ref="E35:BP35" si="60">SUM(E3:E34)</f>
        <v>68</v>
      </c>
      <c r="F35" s="48">
        <f t="shared" si="60"/>
        <v>0</v>
      </c>
      <c r="G35" s="48">
        <f t="shared" si="60"/>
        <v>0</v>
      </c>
      <c r="H35" s="48">
        <f t="shared" si="60"/>
        <v>46</v>
      </c>
      <c r="I35" s="48">
        <f t="shared" si="60"/>
        <v>46</v>
      </c>
      <c r="J35" s="48">
        <f t="shared" si="60"/>
        <v>0</v>
      </c>
      <c r="K35" s="48">
        <f t="shared" si="60"/>
        <v>31</v>
      </c>
      <c r="L35" s="48">
        <f t="shared" si="60"/>
        <v>38</v>
      </c>
      <c r="M35" s="48">
        <f t="shared" si="60"/>
        <v>38</v>
      </c>
      <c r="N35" s="48">
        <f t="shared" si="60"/>
        <v>0</v>
      </c>
      <c r="O35" s="48">
        <f t="shared" si="60"/>
        <v>9</v>
      </c>
      <c r="P35" s="48">
        <f t="shared" si="60"/>
        <v>48</v>
      </c>
      <c r="Q35" s="48">
        <f t="shared" si="60"/>
        <v>46</v>
      </c>
      <c r="R35" s="48">
        <f t="shared" si="60"/>
        <v>2</v>
      </c>
      <c r="S35" s="48">
        <f t="shared" si="60"/>
        <v>17</v>
      </c>
      <c r="T35" s="48">
        <f t="shared" si="60"/>
        <v>48</v>
      </c>
      <c r="U35" s="48">
        <f t="shared" si="60"/>
        <v>31</v>
      </c>
      <c r="V35" s="48">
        <f t="shared" si="60"/>
        <v>17</v>
      </c>
      <c r="W35" s="48">
        <f t="shared" si="60"/>
        <v>31</v>
      </c>
      <c r="X35" s="48">
        <f t="shared" si="60"/>
        <v>72</v>
      </c>
      <c r="Y35" s="48">
        <f t="shared" si="60"/>
        <v>71</v>
      </c>
      <c r="Z35" s="48">
        <f t="shared" si="60"/>
        <v>1</v>
      </c>
      <c r="AA35" s="48">
        <f t="shared" si="60"/>
        <v>3</v>
      </c>
      <c r="AB35" s="48">
        <f t="shared" si="60"/>
        <v>20</v>
      </c>
      <c r="AC35" s="48">
        <f>SUM(AC3:AC34)</f>
        <v>18</v>
      </c>
      <c r="AD35" s="48">
        <f t="shared" si="60"/>
        <v>2</v>
      </c>
      <c r="AE35" s="48">
        <f t="shared" si="60"/>
        <v>0</v>
      </c>
      <c r="AF35" s="48">
        <f t="shared" si="60"/>
        <v>72</v>
      </c>
      <c r="AG35" s="48">
        <f t="shared" si="60"/>
        <v>70</v>
      </c>
      <c r="AH35" s="48">
        <f t="shared" si="60"/>
        <v>2</v>
      </c>
      <c r="AI35" s="48">
        <f t="shared" si="60"/>
        <v>32</v>
      </c>
      <c r="AJ35" s="48">
        <f t="shared" si="60"/>
        <v>16</v>
      </c>
      <c r="AK35" s="48">
        <f t="shared" si="60"/>
        <v>16</v>
      </c>
      <c r="AL35" s="48">
        <f t="shared" si="60"/>
        <v>0</v>
      </c>
      <c r="AM35" s="48">
        <f t="shared" si="60"/>
        <v>1</v>
      </c>
      <c r="AN35" s="48">
        <f t="shared" si="60"/>
        <v>2</v>
      </c>
      <c r="AO35" s="48">
        <f t="shared" si="60"/>
        <v>1</v>
      </c>
      <c r="AP35" s="48">
        <f t="shared" si="60"/>
        <v>1</v>
      </c>
      <c r="AQ35" s="48">
        <f t="shared" si="60"/>
        <v>4</v>
      </c>
      <c r="AR35" s="48">
        <f t="shared" si="60"/>
        <v>4</v>
      </c>
      <c r="AS35" s="48">
        <f t="shared" si="60"/>
        <v>2</v>
      </c>
      <c r="AT35" s="48">
        <f t="shared" si="60"/>
        <v>2</v>
      </c>
      <c r="AU35" s="48">
        <f t="shared" si="60"/>
        <v>14</v>
      </c>
      <c r="AV35" s="48">
        <f t="shared" si="60"/>
        <v>8</v>
      </c>
      <c r="AW35" s="48">
        <f t="shared" si="60"/>
        <v>2</v>
      </c>
      <c r="AX35" s="48">
        <f t="shared" si="60"/>
        <v>6</v>
      </c>
      <c r="AY35" s="48">
        <f t="shared" si="60"/>
        <v>6</v>
      </c>
      <c r="AZ35" s="48">
        <f t="shared" si="60"/>
        <v>36</v>
      </c>
      <c r="BA35" s="48">
        <f t="shared" si="60"/>
        <v>26</v>
      </c>
      <c r="BB35" s="48">
        <f t="shared" si="60"/>
        <v>10</v>
      </c>
      <c r="BC35" s="48">
        <f t="shared" si="60"/>
        <v>14</v>
      </c>
      <c r="BD35" s="48">
        <f t="shared" si="60"/>
        <v>8</v>
      </c>
      <c r="BE35" s="48">
        <f t="shared" si="60"/>
        <v>7</v>
      </c>
      <c r="BF35" s="48">
        <f t="shared" si="60"/>
        <v>1</v>
      </c>
      <c r="BG35" s="48">
        <f t="shared" si="60"/>
        <v>4</v>
      </c>
      <c r="BH35" s="48">
        <f t="shared" si="60"/>
        <v>2</v>
      </c>
      <c r="BI35" s="48">
        <f t="shared" si="60"/>
        <v>2</v>
      </c>
      <c r="BJ35" s="48">
        <f t="shared" si="60"/>
        <v>0</v>
      </c>
      <c r="BK35" s="48">
        <f t="shared" si="60"/>
        <v>0</v>
      </c>
      <c r="BL35" s="48">
        <f t="shared" si="60"/>
        <v>0</v>
      </c>
      <c r="BM35" s="48">
        <f t="shared" si="60"/>
        <v>0</v>
      </c>
      <c r="BN35" s="48">
        <f t="shared" si="60"/>
        <v>0</v>
      </c>
      <c r="BO35" s="48">
        <f t="shared" si="60"/>
        <v>96</v>
      </c>
      <c r="BP35" s="48">
        <f t="shared" si="60"/>
        <v>6</v>
      </c>
      <c r="BQ35" s="48">
        <f t="shared" ref="BQ35:BS35" si="61">SUM(BQ3:BQ34)</f>
        <v>4</v>
      </c>
      <c r="BR35" s="48">
        <f t="shared" si="61"/>
        <v>2</v>
      </c>
      <c r="BS35" s="48">
        <f t="shared" si="61"/>
        <v>1</v>
      </c>
    </row>
    <row r="37" spans="1:77" x14ac:dyDescent="0.35">
      <c r="C37" s="134" t="s">
        <v>23</v>
      </c>
      <c r="D37" s="143">
        <f>IFERROR(E35/(E35+F35),"")</f>
        <v>1</v>
      </c>
      <c r="E37" s="144"/>
      <c r="F37" s="144"/>
      <c r="G37" s="145"/>
      <c r="H37" s="143">
        <f t="shared" ref="H37" si="62">IFERROR(I35/(I35+J35),"")</f>
        <v>1</v>
      </c>
      <c r="I37" s="144"/>
      <c r="J37" s="144"/>
      <c r="K37" s="145"/>
      <c r="L37" s="143">
        <f t="shared" ref="L37" si="63">IFERROR(M35/(M35+N35),"")</f>
        <v>1</v>
      </c>
      <c r="M37" s="144"/>
      <c r="N37" s="144"/>
      <c r="O37" s="145"/>
      <c r="P37" s="143">
        <f t="shared" ref="P37" si="64">IFERROR(Q35/(Q35+R35),"")</f>
        <v>0.95833333333333337</v>
      </c>
      <c r="Q37" s="144"/>
      <c r="R37" s="144"/>
      <c r="S37" s="145"/>
      <c r="T37" s="143">
        <f t="shared" ref="T37" si="65">IFERROR(U35/(U35+V35),"")</f>
        <v>0.64583333333333337</v>
      </c>
      <c r="U37" s="144"/>
      <c r="V37" s="144"/>
      <c r="W37" s="145"/>
      <c r="X37" s="143">
        <f t="shared" ref="X37" si="66">IFERROR(Y35/(Y35+Z35),"")</f>
        <v>0.98611111111111116</v>
      </c>
      <c r="Y37" s="144"/>
      <c r="Z37" s="144"/>
      <c r="AA37" s="145"/>
      <c r="AB37" s="143">
        <f t="shared" ref="AB37" si="67">IFERROR(AC35/(AC35+AD35),"")</f>
        <v>0.9</v>
      </c>
      <c r="AC37" s="144"/>
      <c r="AD37" s="144"/>
      <c r="AE37" s="145"/>
      <c r="AF37" s="143">
        <f t="shared" ref="AF37" si="68">IFERROR(AG35/(AG35+AH35),"")</f>
        <v>0.97222222222222221</v>
      </c>
      <c r="AG37" s="144"/>
      <c r="AH37" s="144"/>
      <c r="AI37" s="145"/>
      <c r="AJ37" s="143">
        <f t="shared" ref="AJ37" si="69">IFERROR(AK35/(AK35+AL35),"")</f>
        <v>1</v>
      </c>
      <c r="AK37" s="144"/>
      <c r="AL37" s="144"/>
      <c r="AM37" s="145"/>
      <c r="AN37" s="143">
        <f t="shared" ref="AN37" si="70">IFERROR(AO35/(AO35+AP35),"")</f>
        <v>0.5</v>
      </c>
      <c r="AO37" s="144"/>
      <c r="AP37" s="144"/>
      <c r="AQ37" s="145"/>
      <c r="AR37" s="143">
        <f t="shared" ref="AR37" si="71">IFERROR(AS35/(AS35+AT35),"")</f>
        <v>0.5</v>
      </c>
      <c r="AS37" s="144"/>
      <c r="AT37" s="144"/>
      <c r="AU37" s="145"/>
      <c r="AV37" s="143">
        <f t="shared" ref="AV37" si="72">IFERROR(AW35/(AW35+AX35),"")</f>
        <v>0.25</v>
      </c>
      <c r="AW37" s="144"/>
      <c r="AX37" s="144"/>
      <c r="AY37" s="145"/>
      <c r="AZ37" s="143">
        <f t="shared" ref="AZ37" si="73">IFERROR(BA35/(BA35+BB35),"")</f>
        <v>0.72222222222222221</v>
      </c>
      <c r="BA37" s="144"/>
      <c r="BB37" s="144"/>
      <c r="BC37" s="145"/>
      <c r="BD37" s="143">
        <f t="shared" ref="BD37" si="74">IFERROR(BE35/(BE35+BF35),"")</f>
        <v>0.875</v>
      </c>
      <c r="BE37" s="144"/>
      <c r="BF37" s="144"/>
      <c r="BG37" s="145"/>
      <c r="BH37" s="143">
        <f t="shared" ref="BH37" si="75">IFERROR(BI35/(BI35+BJ35),"")</f>
        <v>1</v>
      </c>
      <c r="BI37" s="144"/>
      <c r="BJ37" s="144"/>
      <c r="BK37" s="145"/>
      <c r="BL37" s="143" t="str">
        <f t="shared" ref="BL37" si="76">IFERROR(BM35/(BM35+BN35),"")</f>
        <v/>
      </c>
      <c r="BM37" s="144"/>
      <c r="BN37" s="144"/>
      <c r="BO37" s="145"/>
      <c r="BP37" s="143">
        <f t="shared" ref="BP37" si="77">IFERROR(BQ35/(BQ35+BR35),"")</f>
        <v>0.66666666666666663</v>
      </c>
      <c r="BQ37" s="144"/>
      <c r="BR37" s="144"/>
      <c r="BS37" s="145"/>
    </row>
    <row r="38" spans="1:77" x14ac:dyDescent="0.35">
      <c r="C38" s="134" t="s">
        <v>141</v>
      </c>
      <c r="D38" s="143">
        <f>IFERROR(E35/(E35+G35),"")</f>
        <v>1</v>
      </c>
      <c r="E38" s="144"/>
      <c r="F38" s="144"/>
      <c r="G38" s="145"/>
      <c r="H38" s="143">
        <f t="shared" ref="H38" si="78">IFERROR(I35/(I35+K35),"")</f>
        <v>0.59740259740259738</v>
      </c>
      <c r="I38" s="144"/>
      <c r="J38" s="144"/>
      <c r="K38" s="145"/>
      <c r="L38" s="143">
        <f t="shared" ref="L38" si="79">IFERROR(M35/(M35+O35),"")</f>
        <v>0.80851063829787229</v>
      </c>
      <c r="M38" s="144"/>
      <c r="N38" s="144"/>
      <c r="O38" s="145"/>
      <c r="P38" s="143">
        <f t="shared" ref="P38" si="80">IFERROR(Q35/(Q35+S35),"")</f>
        <v>0.73015873015873012</v>
      </c>
      <c r="Q38" s="144"/>
      <c r="R38" s="144"/>
      <c r="S38" s="145"/>
      <c r="T38" s="143">
        <f t="shared" ref="T38" si="81">IFERROR(U35/(U35+W35),"")</f>
        <v>0.5</v>
      </c>
      <c r="U38" s="144"/>
      <c r="V38" s="144"/>
      <c r="W38" s="145"/>
      <c r="X38" s="143">
        <f t="shared" ref="X38" si="82">IFERROR(Y35/(Y35+AA35),"")</f>
        <v>0.95945945945945943</v>
      </c>
      <c r="Y38" s="144"/>
      <c r="Z38" s="144"/>
      <c r="AA38" s="145"/>
      <c r="AB38" s="143">
        <f t="shared" ref="AB38" si="83">IFERROR(AC35/(AC35+AE35),"")</f>
        <v>1</v>
      </c>
      <c r="AC38" s="144"/>
      <c r="AD38" s="144"/>
      <c r="AE38" s="145"/>
      <c r="AF38" s="143">
        <f t="shared" ref="AF38" si="84">IFERROR(AG35/(AG35+AI35),"")</f>
        <v>0.68627450980392157</v>
      </c>
      <c r="AG38" s="144"/>
      <c r="AH38" s="144"/>
      <c r="AI38" s="145"/>
      <c r="AJ38" s="143">
        <f t="shared" ref="AJ38" si="85">IFERROR(AK35/(AK35+AM35),"")</f>
        <v>0.94117647058823528</v>
      </c>
      <c r="AK38" s="144"/>
      <c r="AL38" s="144"/>
      <c r="AM38" s="145"/>
      <c r="AN38" s="143">
        <f t="shared" ref="AN38" si="86">IFERROR(AO35/(AO35+AQ35),"")</f>
        <v>0.2</v>
      </c>
      <c r="AO38" s="144"/>
      <c r="AP38" s="144"/>
      <c r="AQ38" s="145"/>
      <c r="AR38" s="143">
        <f t="shared" ref="AR38" si="87">IFERROR(AS35/(AS35+AU35),"")</f>
        <v>0.125</v>
      </c>
      <c r="AS38" s="144"/>
      <c r="AT38" s="144"/>
      <c r="AU38" s="145"/>
      <c r="AV38" s="143">
        <f t="shared" ref="AV38" si="88">IFERROR(AW35/(AW35+AY35),"")</f>
        <v>0.25</v>
      </c>
      <c r="AW38" s="144"/>
      <c r="AX38" s="144"/>
      <c r="AY38" s="145"/>
      <c r="AZ38" s="143">
        <f t="shared" ref="AZ38" si="89">IFERROR(BA35/(BA35+BC35),"")</f>
        <v>0.65</v>
      </c>
      <c r="BA38" s="144"/>
      <c r="BB38" s="144"/>
      <c r="BC38" s="145"/>
      <c r="BD38" s="143">
        <f t="shared" ref="BD38" si="90">IFERROR(BE35/(BE35+BG35),"")</f>
        <v>0.63636363636363635</v>
      </c>
      <c r="BE38" s="144"/>
      <c r="BF38" s="144"/>
      <c r="BG38" s="145"/>
      <c r="BH38" s="143">
        <f t="shared" ref="BH38" si="91">IFERROR(BI35/(BI35+BK35),"")</f>
        <v>1</v>
      </c>
      <c r="BI38" s="144"/>
      <c r="BJ38" s="144"/>
      <c r="BK38" s="145"/>
      <c r="BL38" s="143">
        <f t="shared" ref="BL38" si="92">IFERROR(BM35/(BM35+BO35),"")</f>
        <v>0</v>
      </c>
      <c r="BM38" s="144"/>
      <c r="BN38" s="144"/>
      <c r="BO38" s="145"/>
      <c r="BP38" s="143">
        <f t="shared" ref="BP38" si="93">IFERROR(BQ35/(BQ35+BS35),"")</f>
        <v>0.8</v>
      </c>
      <c r="BQ38" s="144"/>
      <c r="BR38" s="144"/>
      <c r="BS38" s="145"/>
    </row>
    <row r="39" spans="1:77" x14ac:dyDescent="0.35">
      <c r="C39" s="134" t="s">
        <v>24</v>
      </c>
      <c r="D39" s="143">
        <f>IFERROR(2*D37*D38/(D37+D38),IF(AND(D37=0,D38=0),0,""))</f>
        <v>1</v>
      </c>
      <c r="E39" s="144"/>
      <c r="F39" s="144"/>
      <c r="G39" s="145"/>
      <c r="H39" s="143">
        <f t="shared" ref="H39" si="94">IFERROR(2*H37*H38/(H37+H38),IF(AND(H37=0,H38=0),0,""))</f>
        <v>0.74796747967479671</v>
      </c>
      <c r="I39" s="144"/>
      <c r="J39" s="144"/>
      <c r="K39" s="145"/>
      <c r="L39" s="143">
        <f t="shared" ref="L39" si="95">IFERROR(2*L37*L38/(L37+L38),IF(AND(L37=0,L38=0),0,""))</f>
        <v>0.89411764705882346</v>
      </c>
      <c r="M39" s="144"/>
      <c r="N39" s="144"/>
      <c r="O39" s="145"/>
      <c r="P39" s="143">
        <f t="shared" ref="P39" si="96">IFERROR(2*P37*P38/(P37+P38),IF(AND(P37=0,P38=0),0,""))</f>
        <v>0.82882882882882891</v>
      </c>
      <c r="Q39" s="144"/>
      <c r="R39" s="144"/>
      <c r="S39" s="145"/>
      <c r="T39" s="143">
        <f t="shared" ref="T39" si="97">IFERROR(2*T37*T38/(T37+T38),IF(AND(T37=0,T38=0),0,""))</f>
        <v>0.5636363636363636</v>
      </c>
      <c r="U39" s="144"/>
      <c r="V39" s="144"/>
      <c r="W39" s="145"/>
      <c r="X39" s="143">
        <f t="shared" ref="X39" si="98">IFERROR(2*X37*X38/(X37+X38),IF(AND(X37=0,X38=0),0,""))</f>
        <v>0.9726027397260274</v>
      </c>
      <c r="Y39" s="144"/>
      <c r="Z39" s="144"/>
      <c r="AA39" s="145"/>
      <c r="AB39" s="143">
        <f t="shared" ref="AB39" si="99">IFERROR(2*AB37*AB38/(AB37+AB38),IF(AND(AB37=0,AB38=0),0,""))</f>
        <v>0.94736842105263164</v>
      </c>
      <c r="AC39" s="144"/>
      <c r="AD39" s="144"/>
      <c r="AE39" s="145"/>
      <c r="AF39" s="143">
        <f t="shared" ref="AF39" si="100">IFERROR(2*AF37*AF38/(AF37+AF38),IF(AND(AF37=0,AF38=0),0,""))</f>
        <v>0.8045977011494253</v>
      </c>
      <c r="AG39" s="144"/>
      <c r="AH39" s="144"/>
      <c r="AI39" s="145"/>
      <c r="AJ39" s="143">
        <f t="shared" ref="AJ39" si="101">IFERROR(2*AJ37*AJ38/(AJ37+AJ38),IF(AND(AJ37=0,AJ38=0),0,""))</f>
        <v>0.96969696969696972</v>
      </c>
      <c r="AK39" s="144"/>
      <c r="AL39" s="144"/>
      <c r="AM39" s="145"/>
      <c r="AN39" s="143">
        <f t="shared" ref="AN39" si="102">IFERROR(2*AN37*AN38/(AN37+AN38),IF(AND(AN37=0,AN38=0),0,""))</f>
        <v>0.28571428571428575</v>
      </c>
      <c r="AO39" s="144"/>
      <c r="AP39" s="144"/>
      <c r="AQ39" s="145"/>
      <c r="AR39" s="143">
        <f t="shared" ref="AR39" si="103">IFERROR(2*AR37*AR38/(AR37+AR38),IF(AND(AR37=0,AR38=0),0,""))</f>
        <v>0.2</v>
      </c>
      <c r="AS39" s="144"/>
      <c r="AT39" s="144"/>
      <c r="AU39" s="145"/>
      <c r="AV39" s="143">
        <f t="shared" ref="AV39" si="104">IFERROR(2*AV37*AV38/(AV37+AV38),IF(AND(AV37=0,AV38=0),0,""))</f>
        <v>0.25</v>
      </c>
      <c r="AW39" s="144"/>
      <c r="AX39" s="144"/>
      <c r="AY39" s="145"/>
      <c r="AZ39" s="143">
        <f t="shared" ref="AZ39" si="105">IFERROR(2*AZ37*AZ38/(AZ37+AZ38),IF(AND(AZ37=0,AZ38=0),0,""))</f>
        <v>0.68421052631578949</v>
      </c>
      <c r="BA39" s="144"/>
      <c r="BB39" s="144"/>
      <c r="BC39" s="145"/>
      <c r="BD39" s="143">
        <f t="shared" ref="BD39" si="106">IFERROR(2*BD37*BD38/(BD37+BD38),IF(AND(BD37=0,BD38=0),0,""))</f>
        <v>0.73684210526315785</v>
      </c>
      <c r="BE39" s="144"/>
      <c r="BF39" s="144"/>
      <c r="BG39" s="145"/>
      <c r="BH39" s="143">
        <f t="shared" ref="BH39" si="107">IFERROR(2*BH37*BH38/(BH37+BH38),IF(AND(BH37=0,BH38=0),0,""))</f>
        <v>1</v>
      </c>
      <c r="BI39" s="144"/>
      <c r="BJ39" s="144"/>
      <c r="BK39" s="145"/>
      <c r="BL39" s="143" t="str">
        <f t="shared" ref="BL39" si="108">IFERROR(2*BL37*BL38/(BL37+BL38),IF(AND(BL37=0,BL38=0),0,""))</f>
        <v/>
      </c>
      <c r="BM39" s="144"/>
      <c r="BN39" s="144"/>
      <c r="BO39" s="145"/>
      <c r="BP39" s="143">
        <f t="shared" ref="BP39" si="109">IFERROR(2*BP37*BP38/(BP37+BP38),IF(AND(BP37=0,BP38=0),0,""))</f>
        <v>0.72727272727272718</v>
      </c>
      <c r="BQ39" s="144"/>
      <c r="BR39" s="144"/>
      <c r="BS39" s="145"/>
    </row>
    <row r="71" spans="1:77" ht="18.5" x14ac:dyDescent="0.45">
      <c r="A71" s="174" t="s">
        <v>41</v>
      </c>
      <c r="B71" s="175"/>
      <c r="C71" s="175"/>
      <c r="D71" s="175"/>
      <c r="E71" s="175"/>
      <c r="F71" s="175"/>
      <c r="G71" s="175"/>
      <c r="H71" s="175"/>
    </row>
    <row r="72" spans="1:77" ht="15" thickBot="1" x14ac:dyDescent="0.4"/>
    <row r="73" spans="1:77" ht="15.5" thickTop="1" thickBot="1" x14ac:dyDescent="0.4">
      <c r="A73" s="153" t="s">
        <v>0</v>
      </c>
      <c r="B73" s="161" t="s">
        <v>1</v>
      </c>
      <c r="C73" s="151" t="s">
        <v>2</v>
      </c>
      <c r="D73" s="164" t="s">
        <v>3</v>
      </c>
      <c r="E73" s="165"/>
      <c r="F73" s="165"/>
      <c r="G73" s="166"/>
      <c r="H73" s="158" t="s">
        <v>4</v>
      </c>
      <c r="I73" s="158"/>
      <c r="J73" s="158"/>
      <c r="K73" s="159"/>
      <c r="L73" s="153" t="s">
        <v>5</v>
      </c>
      <c r="M73" s="149"/>
      <c r="N73" s="149"/>
      <c r="O73" s="151"/>
      <c r="P73" s="153" t="s">
        <v>6</v>
      </c>
      <c r="Q73" s="149"/>
      <c r="R73" s="149"/>
      <c r="S73" s="151"/>
      <c r="T73" s="153" t="s">
        <v>7</v>
      </c>
      <c r="U73" s="149"/>
      <c r="V73" s="149"/>
      <c r="W73" s="151"/>
      <c r="X73" s="153" t="s">
        <v>8</v>
      </c>
      <c r="Y73" s="149"/>
      <c r="Z73" s="149"/>
      <c r="AA73" s="151"/>
      <c r="AB73" s="153" t="s">
        <v>9</v>
      </c>
      <c r="AC73" s="149"/>
      <c r="AD73" s="149"/>
      <c r="AE73" s="151"/>
      <c r="AF73" s="153" t="s">
        <v>10</v>
      </c>
      <c r="AG73" s="149"/>
      <c r="AH73" s="149"/>
      <c r="AI73" s="151"/>
      <c r="AJ73" s="153" t="s">
        <v>11</v>
      </c>
      <c r="AK73" s="149"/>
      <c r="AL73" s="149"/>
      <c r="AM73" s="151"/>
      <c r="AN73" s="153" t="s">
        <v>12</v>
      </c>
      <c r="AO73" s="149"/>
      <c r="AP73" s="149"/>
      <c r="AQ73" s="151"/>
      <c r="AR73" s="153" t="s">
        <v>13</v>
      </c>
      <c r="AS73" s="149"/>
      <c r="AT73" s="149"/>
      <c r="AU73" s="151"/>
      <c r="AV73" s="153" t="s">
        <v>14</v>
      </c>
      <c r="AW73" s="149"/>
      <c r="AX73" s="149"/>
      <c r="AY73" s="151"/>
      <c r="AZ73" s="153" t="s">
        <v>15</v>
      </c>
      <c r="BA73" s="149"/>
      <c r="BB73" s="149"/>
      <c r="BC73" s="151"/>
      <c r="BD73" s="153" t="s">
        <v>16</v>
      </c>
      <c r="BE73" s="149"/>
      <c r="BF73" s="149"/>
      <c r="BG73" s="151"/>
      <c r="BH73" s="153" t="s">
        <v>17</v>
      </c>
      <c r="BI73" s="149"/>
      <c r="BJ73" s="149"/>
      <c r="BK73" s="151"/>
      <c r="BL73" s="153" t="s">
        <v>18</v>
      </c>
      <c r="BM73" s="149"/>
      <c r="BN73" s="149"/>
      <c r="BO73" s="151"/>
      <c r="BP73" s="153" t="s">
        <v>19</v>
      </c>
      <c r="BQ73" s="149"/>
      <c r="BR73" s="149"/>
      <c r="BS73" s="151"/>
      <c r="BT73" s="170" t="s">
        <v>20</v>
      </c>
      <c r="BU73" s="172" t="s">
        <v>21</v>
      </c>
      <c r="BV73" s="172" t="s">
        <v>22</v>
      </c>
      <c r="BW73" s="172" t="s">
        <v>23</v>
      </c>
      <c r="BX73" s="172" t="s">
        <v>141</v>
      </c>
      <c r="BY73" s="167" t="s">
        <v>24</v>
      </c>
    </row>
    <row r="74" spans="1:77" ht="15.5" thickTop="1" thickBot="1" x14ac:dyDescent="0.4">
      <c r="A74" s="160"/>
      <c r="B74" s="162"/>
      <c r="C74" s="163"/>
      <c r="D74" s="6" t="s">
        <v>25</v>
      </c>
      <c r="E74" s="1" t="s">
        <v>20</v>
      </c>
      <c r="F74" s="1" t="s">
        <v>21</v>
      </c>
      <c r="G74" s="2" t="s">
        <v>22</v>
      </c>
      <c r="H74" s="1" t="s">
        <v>25</v>
      </c>
      <c r="I74" s="4" t="s">
        <v>20</v>
      </c>
      <c r="J74" s="4" t="s">
        <v>21</v>
      </c>
      <c r="K74" s="2" t="s">
        <v>22</v>
      </c>
      <c r="L74" s="1" t="s">
        <v>25</v>
      </c>
      <c r="M74" s="4" t="s">
        <v>20</v>
      </c>
      <c r="N74" s="4" t="s">
        <v>21</v>
      </c>
      <c r="O74" s="2" t="s">
        <v>22</v>
      </c>
      <c r="P74" s="1" t="s">
        <v>25</v>
      </c>
      <c r="Q74" s="4" t="s">
        <v>20</v>
      </c>
      <c r="R74" s="4" t="s">
        <v>21</v>
      </c>
      <c r="S74" s="2" t="s">
        <v>22</v>
      </c>
      <c r="T74" s="1" t="s">
        <v>25</v>
      </c>
      <c r="U74" s="4" t="s">
        <v>20</v>
      </c>
      <c r="V74" s="4" t="s">
        <v>21</v>
      </c>
      <c r="W74" s="2" t="s">
        <v>22</v>
      </c>
      <c r="X74" s="1" t="s">
        <v>25</v>
      </c>
      <c r="Y74" s="4" t="s">
        <v>20</v>
      </c>
      <c r="Z74" s="4" t="s">
        <v>21</v>
      </c>
      <c r="AA74" s="2" t="s">
        <v>22</v>
      </c>
      <c r="AB74" s="1" t="s">
        <v>25</v>
      </c>
      <c r="AC74" s="4" t="s">
        <v>20</v>
      </c>
      <c r="AD74" s="4" t="s">
        <v>21</v>
      </c>
      <c r="AE74" s="2" t="s">
        <v>22</v>
      </c>
      <c r="AF74" s="1" t="s">
        <v>25</v>
      </c>
      <c r="AG74" s="4" t="s">
        <v>20</v>
      </c>
      <c r="AH74" s="4" t="s">
        <v>21</v>
      </c>
      <c r="AI74" s="2" t="s">
        <v>22</v>
      </c>
      <c r="AJ74" s="1" t="s">
        <v>25</v>
      </c>
      <c r="AK74" s="4" t="s">
        <v>20</v>
      </c>
      <c r="AL74" s="4" t="s">
        <v>21</v>
      </c>
      <c r="AM74" s="2" t="s">
        <v>22</v>
      </c>
      <c r="AN74" s="1" t="s">
        <v>25</v>
      </c>
      <c r="AO74" s="4" t="s">
        <v>20</v>
      </c>
      <c r="AP74" s="4" t="s">
        <v>21</v>
      </c>
      <c r="AQ74" s="2" t="s">
        <v>22</v>
      </c>
      <c r="AR74" s="1" t="s">
        <v>25</v>
      </c>
      <c r="AS74" s="4" t="s">
        <v>20</v>
      </c>
      <c r="AT74" s="4" t="s">
        <v>21</v>
      </c>
      <c r="AU74" s="2" t="s">
        <v>22</v>
      </c>
      <c r="AV74" s="1" t="s">
        <v>25</v>
      </c>
      <c r="AW74" s="4" t="s">
        <v>20</v>
      </c>
      <c r="AX74" s="4" t="s">
        <v>21</v>
      </c>
      <c r="AY74" s="2" t="s">
        <v>22</v>
      </c>
      <c r="AZ74" s="1" t="s">
        <v>25</v>
      </c>
      <c r="BA74" s="4" t="s">
        <v>20</v>
      </c>
      <c r="BB74" s="4" t="s">
        <v>21</v>
      </c>
      <c r="BC74" s="2" t="s">
        <v>22</v>
      </c>
      <c r="BD74" s="1" t="s">
        <v>25</v>
      </c>
      <c r="BE74" s="4" t="s">
        <v>20</v>
      </c>
      <c r="BF74" s="4" t="s">
        <v>21</v>
      </c>
      <c r="BG74" s="2" t="s">
        <v>22</v>
      </c>
      <c r="BH74" s="1" t="s">
        <v>25</v>
      </c>
      <c r="BI74" s="4" t="s">
        <v>20</v>
      </c>
      <c r="BJ74" s="4" t="s">
        <v>21</v>
      </c>
      <c r="BK74" s="2" t="s">
        <v>22</v>
      </c>
      <c r="BL74" s="1" t="s">
        <v>25</v>
      </c>
      <c r="BM74" s="4" t="s">
        <v>20</v>
      </c>
      <c r="BN74" s="4" t="s">
        <v>21</v>
      </c>
      <c r="BO74" s="2" t="s">
        <v>22</v>
      </c>
      <c r="BP74" s="1" t="s">
        <v>25</v>
      </c>
      <c r="BQ74" s="4" t="s">
        <v>20</v>
      </c>
      <c r="BR74" s="4" t="s">
        <v>21</v>
      </c>
      <c r="BS74" s="2" t="s">
        <v>22</v>
      </c>
      <c r="BT74" s="171"/>
      <c r="BU74" s="173"/>
      <c r="BV74" s="173"/>
      <c r="BW74" s="173"/>
      <c r="BX74" s="173"/>
      <c r="BY74" s="168"/>
    </row>
    <row r="75" spans="1:77" ht="15" thickTop="1" x14ac:dyDescent="0.35">
      <c r="A75" s="49" t="e">
        <f>#REF!</f>
        <v>#REF!</v>
      </c>
      <c r="B75" s="147" t="e">
        <f>#REF!</f>
        <v>#REF!</v>
      </c>
      <c r="C75" s="7" t="s">
        <v>26</v>
      </c>
      <c r="D75" s="8" t="e">
        <f>#REF!</f>
        <v>#REF!</v>
      </c>
      <c r="E75" s="9" t="e">
        <f>#REF!</f>
        <v>#REF!</v>
      </c>
      <c r="F75" s="9" t="e">
        <f>D75-E75</f>
        <v>#REF!</v>
      </c>
      <c r="G75" s="7" t="e">
        <f>#REF!</f>
        <v>#REF!</v>
      </c>
      <c r="H75" s="10" t="e">
        <f>#REF!</f>
        <v>#REF!</v>
      </c>
      <c r="I75" s="9" t="e">
        <f>#REF!</f>
        <v>#REF!</v>
      </c>
      <c r="J75" s="9" t="e">
        <f>H75-I75</f>
        <v>#REF!</v>
      </c>
      <c r="K75" s="7" t="e">
        <f>#REF!</f>
        <v>#REF!</v>
      </c>
      <c r="L75" s="10" t="e">
        <f>#REF!</f>
        <v>#REF!</v>
      </c>
      <c r="M75" s="9" t="e">
        <f>#REF!</f>
        <v>#REF!</v>
      </c>
      <c r="N75" s="9" t="e">
        <f>L75-M75</f>
        <v>#REF!</v>
      </c>
      <c r="O75" s="7" t="e">
        <f>#REF!</f>
        <v>#REF!</v>
      </c>
      <c r="P75" s="10" t="e">
        <f>#REF!</f>
        <v>#REF!</v>
      </c>
      <c r="Q75" s="9" t="e">
        <f>#REF!</f>
        <v>#REF!</v>
      </c>
      <c r="R75" s="9" t="e">
        <f>P75-Q75</f>
        <v>#REF!</v>
      </c>
      <c r="S75" s="7" t="e">
        <f>#REF!</f>
        <v>#REF!</v>
      </c>
      <c r="T75" s="10" t="e">
        <f>#REF!</f>
        <v>#REF!</v>
      </c>
      <c r="U75" s="9" t="e">
        <f>#REF!</f>
        <v>#REF!</v>
      </c>
      <c r="V75" s="9" t="e">
        <f>T75-U75</f>
        <v>#REF!</v>
      </c>
      <c r="W75" s="7" t="e">
        <f>#REF!</f>
        <v>#REF!</v>
      </c>
      <c r="X75" s="10" t="e">
        <f>#REF!</f>
        <v>#REF!</v>
      </c>
      <c r="Y75" s="9" t="e">
        <f>#REF!</f>
        <v>#REF!</v>
      </c>
      <c r="Z75" s="9" t="e">
        <f>X75-Y75</f>
        <v>#REF!</v>
      </c>
      <c r="AA75" s="7" t="e">
        <f>#REF!</f>
        <v>#REF!</v>
      </c>
      <c r="AB75" s="10" t="e">
        <f>#REF!</f>
        <v>#REF!</v>
      </c>
      <c r="AC75" s="9" t="e">
        <f>#REF!</f>
        <v>#REF!</v>
      </c>
      <c r="AD75" s="9" t="e">
        <f>AB75-AC75</f>
        <v>#REF!</v>
      </c>
      <c r="AE75" s="7" t="e">
        <f>#REF!</f>
        <v>#REF!</v>
      </c>
      <c r="AF75" s="10" t="e">
        <f>#REF!</f>
        <v>#REF!</v>
      </c>
      <c r="AG75" s="9" t="e">
        <f>#REF!</f>
        <v>#REF!</v>
      </c>
      <c r="AH75" s="9" t="e">
        <f>AF75-AG75</f>
        <v>#REF!</v>
      </c>
      <c r="AI75" s="7" t="e">
        <f>#REF!</f>
        <v>#REF!</v>
      </c>
      <c r="AJ75" s="10" t="e">
        <f>#REF!</f>
        <v>#REF!</v>
      </c>
      <c r="AK75" s="9" t="e">
        <f>#REF!</f>
        <v>#REF!</v>
      </c>
      <c r="AL75" s="9" t="e">
        <f>AJ75-AK75</f>
        <v>#REF!</v>
      </c>
      <c r="AM75" s="7" t="e">
        <f>#REF!</f>
        <v>#REF!</v>
      </c>
      <c r="AN75" s="10" t="e">
        <f>#REF!</f>
        <v>#REF!</v>
      </c>
      <c r="AO75" s="9" t="e">
        <f>#REF!</f>
        <v>#REF!</v>
      </c>
      <c r="AP75" s="9" t="e">
        <f>AN75-AO75</f>
        <v>#REF!</v>
      </c>
      <c r="AQ75" s="7" t="e">
        <f>#REF!</f>
        <v>#REF!</v>
      </c>
      <c r="AR75" s="10" t="e">
        <f>#REF!</f>
        <v>#REF!</v>
      </c>
      <c r="AS75" s="9" t="e">
        <f>#REF!</f>
        <v>#REF!</v>
      </c>
      <c r="AT75" s="9" t="e">
        <f>AR75-AS75</f>
        <v>#REF!</v>
      </c>
      <c r="AU75" s="7" t="e">
        <f>#REF!</f>
        <v>#REF!</v>
      </c>
      <c r="AV75" s="10" t="e">
        <f>#REF!</f>
        <v>#REF!</v>
      </c>
      <c r="AW75" s="9" t="e">
        <f>#REF!</f>
        <v>#REF!</v>
      </c>
      <c r="AX75" s="9" t="e">
        <f>AV75-AW75</f>
        <v>#REF!</v>
      </c>
      <c r="AY75" s="7" t="e">
        <f>#REF!</f>
        <v>#REF!</v>
      </c>
      <c r="AZ75" s="10" t="e">
        <f>#REF!</f>
        <v>#REF!</v>
      </c>
      <c r="BA75" s="9" t="e">
        <f>#REF!</f>
        <v>#REF!</v>
      </c>
      <c r="BB75" s="9" t="e">
        <f>AZ75-BA75</f>
        <v>#REF!</v>
      </c>
      <c r="BC75" s="7" t="e">
        <f>#REF!</f>
        <v>#REF!</v>
      </c>
      <c r="BD75" s="10" t="e">
        <f>#REF!</f>
        <v>#REF!</v>
      </c>
      <c r="BE75" s="9" t="e">
        <f>#REF!</f>
        <v>#REF!</v>
      </c>
      <c r="BF75" s="9" t="e">
        <f>BD75-BE75</f>
        <v>#REF!</v>
      </c>
      <c r="BG75" s="7" t="e">
        <f>#REF!</f>
        <v>#REF!</v>
      </c>
      <c r="BH75" s="10" t="e">
        <f>#REF!</f>
        <v>#REF!</v>
      </c>
      <c r="BI75" s="9" t="e">
        <f>#REF!</f>
        <v>#REF!</v>
      </c>
      <c r="BJ75" s="9" t="e">
        <f>BH75-BI75</f>
        <v>#REF!</v>
      </c>
      <c r="BK75" s="7" t="e">
        <f>#REF!</f>
        <v>#REF!</v>
      </c>
      <c r="BL75" s="10" t="e">
        <f>#REF!</f>
        <v>#REF!</v>
      </c>
      <c r="BM75" s="9" t="e">
        <f>#REF!</f>
        <v>#REF!</v>
      </c>
      <c r="BN75" s="9" t="e">
        <f>BL75-BM75</f>
        <v>#REF!</v>
      </c>
      <c r="BO75" s="7" t="e">
        <f>#REF!</f>
        <v>#REF!</v>
      </c>
      <c r="BP75" s="10" t="e">
        <f>#REF!</f>
        <v>#REF!</v>
      </c>
      <c r="BQ75" s="9" t="e">
        <f>#REF!</f>
        <v>#REF!</v>
      </c>
      <c r="BR75" s="9" t="e">
        <f>BP75-BQ75</f>
        <v>#REF!</v>
      </c>
      <c r="BS75" s="7" t="e">
        <f>#REF!</f>
        <v>#REF!</v>
      </c>
      <c r="BT75" s="63" t="e">
        <f>SUM(E75,I75,M75,Q75,U75,Y75,AC75,AG75,AK75,AO75,AS75,AW75,BA75,BE75,BI75,BM75,BQ75)</f>
        <v>#REF!</v>
      </c>
      <c r="BU75" s="62" t="e">
        <f>SUM(BR75,BN75,BJ75,BF75,BB75,AX75,AT75,AP75,AL75,AH75,AD75,Z75,V75,R75,N75,J75,F75)</f>
        <v>#REF!</v>
      </c>
      <c r="BV75" s="88" t="e">
        <f>SUM(BS75,BO75,BK75,BG75,BC75,AY75,AU75,AQ75,AM75,AI75,AE75,AA75,W75,S75,O75,K75,G75)</f>
        <v>#REF!</v>
      </c>
      <c r="BW75" s="62" t="e">
        <f>BT75/(BT75+BU75)</f>
        <v>#REF!</v>
      </c>
      <c r="BX75" s="62" t="e">
        <f>BT75/(BT75+BV75)</f>
        <v>#REF!</v>
      </c>
      <c r="BY75" s="89" t="e">
        <f>2*(BX75*BW75)/(BX75+BW75)</f>
        <v>#REF!</v>
      </c>
    </row>
    <row r="76" spans="1:77" x14ac:dyDescent="0.35">
      <c r="A76" s="50" t="e">
        <f>#REF!</f>
        <v>#REF!</v>
      </c>
      <c r="B76" s="148"/>
      <c r="C76" s="11" t="s">
        <v>27</v>
      </c>
      <c r="D76" s="12" t="e">
        <f>#REF!</f>
        <v>#REF!</v>
      </c>
      <c r="E76" s="13" t="e">
        <f>#REF!</f>
        <v>#REF!</v>
      </c>
      <c r="F76" s="13" t="e">
        <f t="shared" ref="F76:F90" si="110">D76-E76</f>
        <v>#REF!</v>
      </c>
      <c r="G76" s="11" t="e">
        <f>#REF!</f>
        <v>#REF!</v>
      </c>
      <c r="H76" s="12" t="e">
        <f>#REF!</f>
        <v>#REF!</v>
      </c>
      <c r="I76" s="13" t="e">
        <f>#REF!</f>
        <v>#REF!</v>
      </c>
      <c r="J76" s="13" t="e">
        <f t="shared" ref="J76:J90" si="111">H76-I76</f>
        <v>#REF!</v>
      </c>
      <c r="K76" s="11" t="e">
        <f>#REF!</f>
        <v>#REF!</v>
      </c>
      <c r="L76" s="12" t="e">
        <f>#REF!</f>
        <v>#REF!</v>
      </c>
      <c r="M76" s="13" t="e">
        <f>#REF!</f>
        <v>#REF!</v>
      </c>
      <c r="N76" s="13" t="e">
        <f t="shared" ref="N76:N90" si="112">L76-M76</f>
        <v>#REF!</v>
      </c>
      <c r="O76" s="11" t="e">
        <f>#REF!</f>
        <v>#REF!</v>
      </c>
      <c r="P76" s="12">
        <v>0</v>
      </c>
      <c r="Q76" s="13">
        <v>0</v>
      </c>
      <c r="R76" s="13">
        <f t="shared" ref="R76:R90" si="113">P76-Q76</f>
        <v>0</v>
      </c>
      <c r="S76" s="11">
        <v>1</v>
      </c>
      <c r="T76" s="12">
        <v>0</v>
      </c>
      <c r="U76" s="13">
        <v>0</v>
      </c>
      <c r="V76" s="13">
        <f t="shared" ref="V76:V90" si="114">T76-U76</f>
        <v>0</v>
      </c>
      <c r="W76" s="11" t="e">
        <f>#REF!</f>
        <v>#REF!</v>
      </c>
      <c r="X76" s="12" t="e">
        <f>#REF!</f>
        <v>#REF!</v>
      </c>
      <c r="Y76" s="13" t="e">
        <f>#REF!</f>
        <v>#REF!</v>
      </c>
      <c r="Z76" s="13" t="e">
        <f t="shared" ref="Z76:Z90" si="115">X76-Y76</f>
        <v>#REF!</v>
      </c>
      <c r="AA76" s="11" t="e">
        <f>#REF!</f>
        <v>#REF!</v>
      </c>
      <c r="AB76" s="12" t="e">
        <f>#REF!</f>
        <v>#REF!</v>
      </c>
      <c r="AC76" s="13" t="e">
        <f>#REF!</f>
        <v>#REF!</v>
      </c>
      <c r="AD76" s="13" t="e">
        <f t="shared" ref="AD76:AD90" si="116">AB76-AC76</f>
        <v>#REF!</v>
      </c>
      <c r="AE76" s="11" t="e">
        <f>#REF!</f>
        <v>#REF!</v>
      </c>
      <c r="AF76" s="12" t="e">
        <f>#REF!</f>
        <v>#REF!</v>
      </c>
      <c r="AG76" s="13" t="e">
        <f>#REF!</f>
        <v>#REF!</v>
      </c>
      <c r="AH76" s="13" t="e">
        <f t="shared" ref="AH76:AH90" si="117">AF76-AG76</f>
        <v>#REF!</v>
      </c>
      <c r="AI76" s="11" t="e">
        <f>#REF!</f>
        <v>#REF!</v>
      </c>
      <c r="AJ76" s="12" t="e">
        <f>#REF!</f>
        <v>#REF!</v>
      </c>
      <c r="AK76" s="13" t="e">
        <f>#REF!</f>
        <v>#REF!</v>
      </c>
      <c r="AL76" s="13" t="e">
        <f t="shared" ref="AL76:AL90" si="118">AJ76-AK76</f>
        <v>#REF!</v>
      </c>
      <c r="AM76" s="11" t="e">
        <f>#REF!</f>
        <v>#REF!</v>
      </c>
      <c r="AN76" s="12" t="e">
        <f>#REF!</f>
        <v>#REF!</v>
      </c>
      <c r="AO76" s="13" t="e">
        <f>#REF!</f>
        <v>#REF!</v>
      </c>
      <c r="AP76" s="13" t="e">
        <f t="shared" ref="AP76:AP90" si="119">AN76-AO76</f>
        <v>#REF!</v>
      </c>
      <c r="AQ76" s="11" t="e">
        <f>#REF!</f>
        <v>#REF!</v>
      </c>
      <c r="AR76" s="12" t="e">
        <f>#REF!</f>
        <v>#REF!</v>
      </c>
      <c r="AS76" s="13" t="e">
        <f>#REF!</f>
        <v>#REF!</v>
      </c>
      <c r="AT76" s="13" t="e">
        <f t="shared" ref="AT76:AT90" si="120">AR76-AS76</f>
        <v>#REF!</v>
      </c>
      <c r="AU76" s="11" t="e">
        <f>#REF!</f>
        <v>#REF!</v>
      </c>
      <c r="AV76" s="12" t="e">
        <f>#REF!</f>
        <v>#REF!</v>
      </c>
      <c r="AW76" s="13" t="e">
        <f>#REF!</f>
        <v>#REF!</v>
      </c>
      <c r="AX76" s="13" t="e">
        <f t="shared" ref="AX76:AX90" si="121">AV76-AW76</f>
        <v>#REF!</v>
      </c>
      <c r="AY76" s="11" t="e">
        <f>#REF!</f>
        <v>#REF!</v>
      </c>
      <c r="AZ76" s="12" t="e">
        <f>#REF!</f>
        <v>#REF!</v>
      </c>
      <c r="BA76" s="13" t="e">
        <f>#REF!</f>
        <v>#REF!</v>
      </c>
      <c r="BB76" s="13" t="e">
        <f t="shared" ref="BB76:BB90" si="122">AZ76-BA76</f>
        <v>#REF!</v>
      </c>
      <c r="BC76" s="11" t="e">
        <f>#REF!</f>
        <v>#REF!</v>
      </c>
      <c r="BD76" s="12" t="e">
        <f>#REF!</f>
        <v>#REF!</v>
      </c>
      <c r="BE76" s="13" t="e">
        <f>#REF!</f>
        <v>#REF!</v>
      </c>
      <c r="BF76" s="13" t="e">
        <f t="shared" ref="BF76:BF90" si="123">BD76-BE76</f>
        <v>#REF!</v>
      </c>
      <c r="BG76" s="11" t="e">
        <f>#REF!</f>
        <v>#REF!</v>
      </c>
      <c r="BH76" s="12" t="e">
        <f>#REF!</f>
        <v>#REF!</v>
      </c>
      <c r="BI76" s="13" t="e">
        <f>#REF!</f>
        <v>#REF!</v>
      </c>
      <c r="BJ76" s="13" t="e">
        <f t="shared" ref="BJ76:BJ90" si="124">BH76-BI76</f>
        <v>#REF!</v>
      </c>
      <c r="BK76" s="11" t="e">
        <f>#REF!</f>
        <v>#REF!</v>
      </c>
      <c r="BL76" s="12" t="e">
        <f>#REF!</f>
        <v>#REF!</v>
      </c>
      <c r="BM76" s="13" t="e">
        <f>#REF!</f>
        <v>#REF!</v>
      </c>
      <c r="BN76" s="13" t="e">
        <f t="shared" ref="BN76:BN90" si="125">BL76-BM76</f>
        <v>#REF!</v>
      </c>
      <c r="BO76" s="11" t="e">
        <f>#REF!</f>
        <v>#REF!</v>
      </c>
      <c r="BP76" s="12" t="e">
        <f>#REF!</f>
        <v>#REF!</v>
      </c>
      <c r="BQ76" s="13" t="e">
        <f>#REF!</f>
        <v>#REF!</v>
      </c>
      <c r="BR76" s="13" t="e">
        <f t="shared" ref="BR76:BR90" si="126">BP76-BQ76</f>
        <v>#REF!</v>
      </c>
      <c r="BS76" s="11" t="e">
        <f>#REF!</f>
        <v>#REF!</v>
      </c>
      <c r="BT76" s="65" t="e">
        <f t="shared" ref="BT76:BT80" si="127">SUM(E76,I76,M76,Q76,U76,Y76,AC76,AG76,AK76,AO76,AS76,AW76,BA76,BE76,BI76,BM76,BQ76)</f>
        <v>#REF!</v>
      </c>
      <c r="BU76" s="64" t="e">
        <f t="shared" ref="BU76:BV90" si="128">SUM(BR76,BN76,BJ76,BF76,BB76,AX76,AT76,AP76,AL76,AH76,AD76,Z76,V76,R76,N76,J76,F76)</f>
        <v>#REF!</v>
      </c>
      <c r="BV76" s="64" t="e">
        <f t="shared" si="128"/>
        <v>#REF!</v>
      </c>
      <c r="BW76" s="64" t="e">
        <f t="shared" ref="BW76:BW90" si="129">BT76/(BT76+BU76)</f>
        <v>#REF!</v>
      </c>
      <c r="BX76" s="64" t="e">
        <f t="shared" ref="BX76:BX90" si="130">BT76/(BT76+BV76)</f>
        <v>#REF!</v>
      </c>
      <c r="BY76" s="90" t="e">
        <f t="shared" ref="BY76:BY90" si="131">2*(BX76*BW76)/(BX76+BW76)</f>
        <v>#REF!</v>
      </c>
    </row>
    <row r="77" spans="1:77" x14ac:dyDescent="0.35">
      <c r="A77" s="51" t="e">
        <f>#REF!</f>
        <v>#REF!</v>
      </c>
      <c r="B77" s="148"/>
      <c r="C77" s="14" t="s">
        <v>28</v>
      </c>
      <c r="D77" s="15" t="e">
        <f>#REF!</f>
        <v>#REF!</v>
      </c>
      <c r="E77" s="16" t="e">
        <f>#REF!</f>
        <v>#REF!</v>
      </c>
      <c r="F77" s="16" t="e">
        <f t="shared" si="110"/>
        <v>#REF!</v>
      </c>
      <c r="G77" s="14" t="e">
        <f>#REF!</f>
        <v>#REF!</v>
      </c>
      <c r="H77" s="15" t="e">
        <f>#REF!</f>
        <v>#REF!</v>
      </c>
      <c r="I77" s="16" t="e">
        <f>#REF!</f>
        <v>#REF!</v>
      </c>
      <c r="J77" s="16" t="e">
        <f t="shared" si="111"/>
        <v>#REF!</v>
      </c>
      <c r="K77" s="14" t="e">
        <f>#REF!</f>
        <v>#REF!</v>
      </c>
      <c r="L77" s="15" t="e">
        <f>#REF!</f>
        <v>#REF!</v>
      </c>
      <c r="M77" s="16" t="e">
        <f>#REF!</f>
        <v>#REF!</v>
      </c>
      <c r="N77" s="16" t="e">
        <f t="shared" si="112"/>
        <v>#REF!</v>
      </c>
      <c r="O77" s="14" t="e">
        <f>#REF!</f>
        <v>#REF!</v>
      </c>
      <c r="P77" s="15" t="e">
        <f>#REF!</f>
        <v>#REF!</v>
      </c>
      <c r="Q77" s="16" t="e">
        <f>#REF!</f>
        <v>#REF!</v>
      </c>
      <c r="R77" s="16" t="e">
        <f t="shared" si="113"/>
        <v>#REF!</v>
      </c>
      <c r="S77" s="14" t="e">
        <f>#REF!</f>
        <v>#REF!</v>
      </c>
      <c r="T77" s="15" t="e">
        <f>#REF!</f>
        <v>#REF!</v>
      </c>
      <c r="U77" s="16" t="e">
        <f>#REF!</f>
        <v>#REF!</v>
      </c>
      <c r="V77" s="16" t="e">
        <f t="shared" si="114"/>
        <v>#REF!</v>
      </c>
      <c r="W77" s="14" t="e">
        <f>#REF!</f>
        <v>#REF!</v>
      </c>
      <c r="X77" s="15" t="e">
        <f>#REF!</f>
        <v>#REF!</v>
      </c>
      <c r="Y77" s="16" t="e">
        <f>#REF!</f>
        <v>#REF!</v>
      </c>
      <c r="Z77" s="16" t="e">
        <f t="shared" si="115"/>
        <v>#REF!</v>
      </c>
      <c r="AA77" s="14" t="e">
        <f>#REF!</f>
        <v>#REF!</v>
      </c>
      <c r="AB77" s="15" t="e">
        <f>#REF!</f>
        <v>#REF!</v>
      </c>
      <c r="AC77" s="16" t="e">
        <f>#REF!</f>
        <v>#REF!</v>
      </c>
      <c r="AD77" s="16" t="e">
        <f t="shared" si="116"/>
        <v>#REF!</v>
      </c>
      <c r="AE77" s="14" t="e">
        <f>#REF!</f>
        <v>#REF!</v>
      </c>
      <c r="AF77" s="15" t="e">
        <f>#REF!</f>
        <v>#REF!</v>
      </c>
      <c r="AG77" s="16" t="e">
        <f>#REF!</f>
        <v>#REF!</v>
      </c>
      <c r="AH77" s="16" t="e">
        <f t="shared" si="117"/>
        <v>#REF!</v>
      </c>
      <c r="AI77" s="14" t="e">
        <f>#REF!</f>
        <v>#REF!</v>
      </c>
      <c r="AJ77" s="15" t="e">
        <f>#REF!</f>
        <v>#REF!</v>
      </c>
      <c r="AK77" s="16" t="e">
        <f>#REF!</f>
        <v>#REF!</v>
      </c>
      <c r="AL77" s="16" t="e">
        <f t="shared" si="118"/>
        <v>#REF!</v>
      </c>
      <c r="AM77" s="14" t="e">
        <f>#REF!</f>
        <v>#REF!</v>
      </c>
      <c r="AN77" s="15" t="e">
        <f>#REF!</f>
        <v>#REF!</v>
      </c>
      <c r="AO77" s="16" t="e">
        <f>#REF!</f>
        <v>#REF!</v>
      </c>
      <c r="AP77" s="16" t="e">
        <f t="shared" si="119"/>
        <v>#REF!</v>
      </c>
      <c r="AQ77" s="14" t="e">
        <f>#REF!</f>
        <v>#REF!</v>
      </c>
      <c r="AR77" s="15" t="e">
        <f>#REF!</f>
        <v>#REF!</v>
      </c>
      <c r="AS77" s="16" t="e">
        <f>#REF!</f>
        <v>#REF!</v>
      </c>
      <c r="AT77" s="16" t="e">
        <f t="shared" si="120"/>
        <v>#REF!</v>
      </c>
      <c r="AU77" s="14" t="e">
        <f>#REF!</f>
        <v>#REF!</v>
      </c>
      <c r="AV77" s="15" t="e">
        <f>#REF!</f>
        <v>#REF!</v>
      </c>
      <c r="AW77" s="16" t="e">
        <f>#REF!</f>
        <v>#REF!</v>
      </c>
      <c r="AX77" s="16" t="e">
        <f t="shared" si="121"/>
        <v>#REF!</v>
      </c>
      <c r="AY77" s="14" t="e">
        <f>#REF!</f>
        <v>#REF!</v>
      </c>
      <c r="AZ77" s="15" t="e">
        <f>#REF!</f>
        <v>#REF!</v>
      </c>
      <c r="BA77" s="16" t="e">
        <f>#REF!</f>
        <v>#REF!</v>
      </c>
      <c r="BB77" s="16" t="e">
        <f t="shared" si="122"/>
        <v>#REF!</v>
      </c>
      <c r="BC77" s="14" t="e">
        <f>#REF!</f>
        <v>#REF!</v>
      </c>
      <c r="BD77" s="15" t="e">
        <f>#REF!</f>
        <v>#REF!</v>
      </c>
      <c r="BE77" s="16" t="e">
        <f>#REF!</f>
        <v>#REF!</v>
      </c>
      <c r="BF77" s="16" t="e">
        <f t="shared" si="123"/>
        <v>#REF!</v>
      </c>
      <c r="BG77" s="14" t="e">
        <f>#REF!</f>
        <v>#REF!</v>
      </c>
      <c r="BH77" s="15" t="e">
        <f>#REF!</f>
        <v>#REF!</v>
      </c>
      <c r="BI77" s="16" t="e">
        <f>#REF!</f>
        <v>#REF!</v>
      </c>
      <c r="BJ77" s="16" t="e">
        <f t="shared" si="124"/>
        <v>#REF!</v>
      </c>
      <c r="BK77" s="14" t="e">
        <f>#REF!</f>
        <v>#REF!</v>
      </c>
      <c r="BL77" s="15" t="e">
        <f>#REF!</f>
        <v>#REF!</v>
      </c>
      <c r="BM77" s="16" t="e">
        <f>#REF!</f>
        <v>#REF!</v>
      </c>
      <c r="BN77" s="16" t="e">
        <f t="shared" si="125"/>
        <v>#REF!</v>
      </c>
      <c r="BO77" s="14" t="e">
        <f>#REF!</f>
        <v>#REF!</v>
      </c>
      <c r="BP77" s="15" t="e">
        <f>#REF!</f>
        <v>#REF!</v>
      </c>
      <c r="BQ77" s="16" t="e">
        <f>#REF!</f>
        <v>#REF!</v>
      </c>
      <c r="BR77" s="16" t="e">
        <f t="shared" si="126"/>
        <v>#REF!</v>
      </c>
      <c r="BS77" s="14" t="e">
        <f>#REF!</f>
        <v>#REF!</v>
      </c>
      <c r="BT77" s="67" t="e">
        <f t="shared" si="127"/>
        <v>#REF!</v>
      </c>
      <c r="BU77" s="66" t="e">
        <f t="shared" si="128"/>
        <v>#REF!</v>
      </c>
      <c r="BV77" s="66" t="e">
        <f t="shared" si="128"/>
        <v>#REF!</v>
      </c>
      <c r="BW77" s="66" t="e">
        <f t="shared" si="129"/>
        <v>#REF!</v>
      </c>
      <c r="BX77" s="66" t="e">
        <f t="shared" si="130"/>
        <v>#REF!</v>
      </c>
      <c r="BY77" s="91" t="e">
        <f t="shared" si="131"/>
        <v>#REF!</v>
      </c>
    </row>
    <row r="78" spans="1:77" x14ac:dyDescent="0.35">
      <c r="A78" s="52" t="e">
        <f>#REF!</f>
        <v>#REF!</v>
      </c>
      <c r="B78" s="148"/>
      <c r="C78" s="17" t="s">
        <v>29</v>
      </c>
      <c r="D78" s="18" t="e">
        <f>#REF!</f>
        <v>#REF!</v>
      </c>
      <c r="E78" s="19" t="e">
        <f>#REF!</f>
        <v>#REF!</v>
      </c>
      <c r="F78" s="19" t="e">
        <f t="shared" si="110"/>
        <v>#REF!</v>
      </c>
      <c r="G78" s="17" t="e">
        <f>#REF!</f>
        <v>#REF!</v>
      </c>
      <c r="H78" s="18" t="e">
        <f>#REF!</f>
        <v>#REF!</v>
      </c>
      <c r="I78" s="19" t="e">
        <f>#REF!</f>
        <v>#REF!</v>
      </c>
      <c r="J78" s="19" t="e">
        <f t="shared" si="111"/>
        <v>#REF!</v>
      </c>
      <c r="K78" s="17" t="e">
        <f>#REF!</f>
        <v>#REF!</v>
      </c>
      <c r="L78" s="18" t="e">
        <f>#REF!</f>
        <v>#REF!</v>
      </c>
      <c r="M78" s="19" t="e">
        <f>#REF!</f>
        <v>#REF!</v>
      </c>
      <c r="N78" s="19" t="e">
        <f t="shared" si="112"/>
        <v>#REF!</v>
      </c>
      <c r="O78" s="17" t="e">
        <f>#REF!</f>
        <v>#REF!</v>
      </c>
      <c r="P78" s="18" t="e">
        <f>#REF!</f>
        <v>#REF!</v>
      </c>
      <c r="Q78" s="19" t="e">
        <f>#REF!</f>
        <v>#REF!</v>
      </c>
      <c r="R78" s="19" t="e">
        <f t="shared" si="113"/>
        <v>#REF!</v>
      </c>
      <c r="S78" s="17" t="e">
        <f>#REF!</f>
        <v>#REF!</v>
      </c>
      <c r="T78" s="18" t="e">
        <f>#REF!</f>
        <v>#REF!</v>
      </c>
      <c r="U78" s="19" t="e">
        <f>#REF!</f>
        <v>#REF!</v>
      </c>
      <c r="V78" s="19" t="e">
        <f t="shared" si="114"/>
        <v>#REF!</v>
      </c>
      <c r="W78" s="17" t="e">
        <f>#REF!</f>
        <v>#REF!</v>
      </c>
      <c r="X78" s="18" t="e">
        <f>#REF!</f>
        <v>#REF!</v>
      </c>
      <c r="Y78" s="19" t="e">
        <f>#REF!</f>
        <v>#REF!</v>
      </c>
      <c r="Z78" s="19" t="e">
        <f t="shared" si="115"/>
        <v>#REF!</v>
      </c>
      <c r="AA78" s="17" t="e">
        <f>#REF!</f>
        <v>#REF!</v>
      </c>
      <c r="AB78" s="18" t="e">
        <f>#REF!</f>
        <v>#REF!</v>
      </c>
      <c r="AC78" s="19" t="e">
        <f>#REF!</f>
        <v>#REF!</v>
      </c>
      <c r="AD78" s="19" t="e">
        <f t="shared" si="116"/>
        <v>#REF!</v>
      </c>
      <c r="AE78" s="17" t="e">
        <f>#REF!</f>
        <v>#REF!</v>
      </c>
      <c r="AF78" s="18" t="e">
        <f>#REF!</f>
        <v>#REF!</v>
      </c>
      <c r="AG78" s="19" t="e">
        <f>#REF!</f>
        <v>#REF!</v>
      </c>
      <c r="AH78" s="19" t="e">
        <f t="shared" si="117"/>
        <v>#REF!</v>
      </c>
      <c r="AI78" s="17" t="e">
        <f>#REF!</f>
        <v>#REF!</v>
      </c>
      <c r="AJ78" s="18" t="e">
        <f>#REF!</f>
        <v>#REF!</v>
      </c>
      <c r="AK78" s="19" t="e">
        <f>#REF!</f>
        <v>#REF!</v>
      </c>
      <c r="AL78" s="19" t="e">
        <f t="shared" si="118"/>
        <v>#REF!</v>
      </c>
      <c r="AM78" s="17" t="e">
        <f>#REF!</f>
        <v>#REF!</v>
      </c>
      <c r="AN78" s="18" t="e">
        <f>#REF!</f>
        <v>#REF!</v>
      </c>
      <c r="AO78" s="19" t="e">
        <f>#REF!</f>
        <v>#REF!</v>
      </c>
      <c r="AP78" s="19" t="e">
        <f t="shared" si="119"/>
        <v>#REF!</v>
      </c>
      <c r="AQ78" s="17" t="e">
        <f>#REF!</f>
        <v>#REF!</v>
      </c>
      <c r="AR78" s="18" t="e">
        <f>#REF!</f>
        <v>#REF!</v>
      </c>
      <c r="AS78" s="19" t="e">
        <f>#REF!</f>
        <v>#REF!</v>
      </c>
      <c r="AT78" s="19" t="e">
        <f t="shared" si="120"/>
        <v>#REF!</v>
      </c>
      <c r="AU78" s="17" t="e">
        <f>#REF!</f>
        <v>#REF!</v>
      </c>
      <c r="AV78" s="18" t="e">
        <f>#REF!</f>
        <v>#REF!</v>
      </c>
      <c r="AW78" s="19" t="e">
        <f>#REF!</f>
        <v>#REF!</v>
      </c>
      <c r="AX78" s="19" t="e">
        <f t="shared" si="121"/>
        <v>#REF!</v>
      </c>
      <c r="AY78" s="17" t="e">
        <f>#REF!</f>
        <v>#REF!</v>
      </c>
      <c r="AZ78" s="18" t="e">
        <f>#REF!</f>
        <v>#REF!</v>
      </c>
      <c r="BA78" s="19" t="e">
        <f>#REF!</f>
        <v>#REF!</v>
      </c>
      <c r="BB78" s="19" t="e">
        <f t="shared" si="122"/>
        <v>#REF!</v>
      </c>
      <c r="BC78" s="17" t="e">
        <f>#REF!</f>
        <v>#REF!</v>
      </c>
      <c r="BD78" s="18" t="e">
        <f>#REF!</f>
        <v>#REF!</v>
      </c>
      <c r="BE78" s="19" t="e">
        <f>#REF!</f>
        <v>#REF!</v>
      </c>
      <c r="BF78" s="19" t="e">
        <f t="shared" si="123"/>
        <v>#REF!</v>
      </c>
      <c r="BG78" s="17" t="e">
        <f>#REF!</f>
        <v>#REF!</v>
      </c>
      <c r="BH78" s="18" t="e">
        <f>#REF!</f>
        <v>#REF!</v>
      </c>
      <c r="BI78" s="19" t="e">
        <f>#REF!</f>
        <v>#REF!</v>
      </c>
      <c r="BJ78" s="19" t="e">
        <f t="shared" si="124"/>
        <v>#REF!</v>
      </c>
      <c r="BK78" s="17" t="e">
        <f>#REF!</f>
        <v>#REF!</v>
      </c>
      <c r="BL78" s="18" t="e">
        <f>#REF!</f>
        <v>#REF!</v>
      </c>
      <c r="BM78" s="19" t="e">
        <f>#REF!</f>
        <v>#REF!</v>
      </c>
      <c r="BN78" s="19" t="e">
        <f t="shared" si="125"/>
        <v>#REF!</v>
      </c>
      <c r="BO78" s="17" t="e">
        <f>#REF!</f>
        <v>#REF!</v>
      </c>
      <c r="BP78" s="18" t="e">
        <f>#REF!</f>
        <v>#REF!</v>
      </c>
      <c r="BQ78" s="19" t="e">
        <f>#REF!</f>
        <v>#REF!</v>
      </c>
      <c r="BR78" s="19" t="e">
        <f t="shared" si="126"/>
        <v>#REF!</v>
      </c>
      <c r="BS78" s="17" t="e">
        <f>#REF!</f>
        <v>#REF!</v>
      </c>
      <c r="BT78" s="69" t="e">
        <f t="shared" si="127"/>
        <v>#REF!</v>
      </c>
      <c r="BU78" s="68" t="e">
        <f t="shared" si="128"/>
        <v>#REF!</v>
      </c>
      <c r="BV78" s="68" t="e">
        <f t="shared" si="128"/>
        <v>#REF!</v>
      </c>
      <c r="BW78" s="68" t="e">
        <f t="shared" si="129"/>
        <v>#REF!</v>
      </c>
      <c r="BX78" s="68" t="e">
        <f t="shared" si="130"/>
        <v>#REF!</v>
      </c>
      <c r="BY78" s="92" t="e">
        <f t="shared" si="131"/>
        <v>#REF!</v>
      </c>
    </row>
    <row r="79" spans="1:77" x14ac:dyDescent="0.35">
      <c r="A79" s="53" t="e">
        <f>#REF!</f>
        <v>#REF!</v>
      </c>
      <c r="B79" s="148"/>
      <c r="C79" s="20" t="s">
        <v>30</v>
      </c>
      <c r="D79" s="21" t="e">
        <f>#REF!</f>
        <v>#REF!</v>
      </c>
      <c r="E79" s="22" t="e">
        <f>#REF!</f>
        <v>#REF!</v>
      </c>
      <c r="F79" s="22" t="e">
        <f t="shared" si="110"/>
        <v>#REF!</v>
      </c>
      <c r="G79" s="20" t="e">
        <f>#REF!</f>
        <v>#REF!</v>
      </c>
      <c r="H79" s="21" t="e">
        <f>#REF!</f>
        <v>#REF!</v>
      </c>
      <c r="I79" s="22" t="e">
        <f>#REF!</f>
        <v>#REF!</v>
      </c>
      <c r="J79" s="22" t="e">
        <f t="shared" si="111"/>
        <v>#REF!</v>
      </c>
      <c r="K79" s="20" t="e">
        <f>#REF!</f>
        <v>#REF!</v>
      </c>
      <c r="L79" s="21" t="e">
        <f>#REF!</f>
        <v>#REF!</v>
      </c>
      <c r="M79" s="22" t="e">
        <f>#REF!</f>
        <v>#REF!</v>
      </c>
      <c r="N79" s="22" t="e">
        <f t="shared" si="112"/>
        <v>#REF!</v>
      </c>
      <c r="O79" s="20" t="e">
        <f>#REF!</f>
        <v>#REF!</v>
      </c>
      <c r="P79" s="21" t="e">
        <f>#REF!</f>
        <v>#REF!</v>
      </c>
      <c r="Q79" s="22" t="e">
        <f>#REF!</f>
        <v>#REF!</v>
      </c>
      <c r="R79" s="22" t="e">
        <f t="shared" si="113"/>
        <v>#REF!</v>
      </c>
      <c r="S79" s="20" t="e">
        <f>#REF!</f>
        <v>#REF!</v>
      </c>
      <c r="T79" s="21" t="e">
        <f>#REF!</f>
        <v>#REF!</v>
      </c>
      <c r="U79" s="22" t="e">
        <f>#REF!</f>
        <v>#REF!</v>
      </c>
      <c r="V79" s="22" t="e">
        <f t="shared" si="114"/>
        <v>#REF!</v>
      </c>
      <c r="W79" s="20" t="e">
        <f>#REF!</f>
        <v>#REF!</v>
      </c>
      <c r="X79" s="21" t="e">
        <f>#REF!</f>
        <v>#REF!</v>
      </c>
      <c r="Y79" s="22" t="e">
        <f>#REF!</f>
        <v>#REF!</v>
      </c>
      <c r="Z79" s="22" t="e">
        <f t="shared" si="115"/>
        <v>#REF!</v>
      </c>
      <c r="AA79" s="20" t="e">
        <f>#REF!</f>
        <v>#REF!</v>
      </c>
      <c r="AB79" s="21" t="e">
        <f>#REF!</f>
        <v>#REF!</v>
      </c>
      <c r="AC79" s="22" t="e">
        <f>#REF!</f>
        <v>#REF!</v>
      </c>
      <c r="AD79" s="22" t="e">
        <f t="shared" si="116"/>
        <v>#REF!</v>
      </c>
      <c r="AE79" s="20" t="e">
        <f>#REF!</f>
        <v>#REF!</v>
      </c>
      <c r="AF79" s="21" t="e">
        <f>#REF!</f>
        <v>#REF!</v>
      </c>
      <c r="AG79" s="22" t="e">
        <f>#REF!</f>
        <v>#REF!</v>
      </c>
      <c r="AH79" s="22" t="e">
        <f t="shared" si="117"/>
        <v>#REF!</v>
      </c>
      <c r="AI79" s="20" t="e">
        <f>#REF!</f>
        <v>#REF!</v>
      </c>
      <c r="AJ79" s="21" t="e">
        <f>#REF!</f>
        <v>#REF!</v>
      </c>
      <c r="AK79" s="22" t="e">
        <f>#REF!</f>
        <v>#REF!</v>
      </c>
      <c r="AL79" s="22" t="e">
        <f t="shared" si="118"/>
        <v>#REF!</v>
      </c>
      <c r="AM79" s="20" t="e">
        <f>#REF!</f>
        <v>#REF!</v>
      </c>
      <c r="AN79" s="21" t="e">
        <f>#REF!</f>
        <v>#REF!</v>
      </c>
      <c r="AO79" s="22" t="e">
        <f>#REF!</f>
        <v>#REF!</v>
      </c>
      <c r="AP79" s="22" t="e">
        <f t="shared" si="119"/>
        <v>#REF!</v>
      </c>
      <c r="AQ79" s="20" t="e">
        <f>#REF!</f>
        <v>#REF!</v>
      </c>
      <c r="AR79" s="21" t="e">
        <f>#REF!</f>
        <v>#REF!</v>
      </c>
      <c r="AS79" s="22" t="e">
        <f>#REF!</f>
        <v>#REF!</v>
      </c>
      <c r="AT79" s="22" t="e">
        <f t="shared" si="120"/>
        <v>#REF!</v>
      </c>
      <c r="AU79" s="20" t="e">
        <f>#REF!</f>
        <v>#REF!</v>
      </c>
      <c r="AV79" s="21" t="e">
        <f>#REF!</f>
        <v>#REF!</v>
      </c>
      <c r="AW79" s="22" t="e">
        <f>#REF!</f>
        <v>#REF!</v>
      </c>
      <c r="AX79" s="22" t="e">
        <f t="shared" si="121"/>
        <v>#REF!</v>
      </c>
      <c r="AY79" s="20" t="e">
        <f>#REF!</f>
        <v>#REF!</v>
      </c>
      <c r="AZ79" s="21" t="e">
        <f>#REF!</f>
        <v>#REF!</v>
      </c>
      <c r="BA79" s="22" t="e">
        <f>#REF!</f>
        <v>#REF!</v>
      </c>
      <c r="BB79" s="22" t="e">
        <f t="shared" si="122"/>
        <v>#REF!</v>
      </c>
      <c r="BC79" s="20" t="e">
        <f>#REF!</f>
        <v>#REF!</v>
      </c>
      <c r="BD79" s="21" t="e">
        <f>#REF!</f>
        <v>#REF!</v>
      </c>
      <c r="BE79" s="22" t="e">
        <f>#REF!</f>
        <v>#REF!</v>
      </c>
      <c r="BF79" s="22" t="e">
        <f t="shared" si="123"/>
        <v>#REF!</v>
      </c>
      <c r="BG79" s="20" t="e">
        <f>#REF!</f>
        <v>#REF!</v>
      </c>
      <c r="BH79" s="21" t="e">
        <f>#REF!</f>
        <v>#REF!</v>
      </c>
      <c r="BI79" s="22" t="e">
        <f>#REF!</f>
        <v>#REF!</v>
      </c>
      <c r="BJ79" s="22" t="e">
        <f t="shared" si="124"/>
        <v>#REF!</v>
      </c>
      <c r="BK79" s="20" t="e">
        <f>#REF!</f>
        <v>#REF!</v>
      </c>
      <c r="BL79" s="21" t="e">
        <f>#REF!</f>
        <v>#REF!</v>
      </c>
      <c r="BM79" s="22" t="e">
        <f>#REF!</f>
        <v>#REF!</v>
      </c>
      <c r="BN79" s="22" t="e">
        <f t="shared" si="125"/>
        <v>#REF!</v>
      </c>
      <c r="BO79" s="20" t="e">
        <f>#REF!</f>
        <v>#REF!</v>
      </c>
      <c r="BP79" s="21" t="e">
        <f>#REF!</f>
        <v>#REF!</v>
      </c>
      <c r="BQ79" s="22" t="e">
        <f>#REF!</f>
        <v>#REF!</v>
      </c>
      <c r="BR79" s="22" t="e">
        <f t="shared" si="126"/>
        <v>#REF!</v>
      </c>
      <c r="BS79" s="20" t="e">
        <f>#REF!</f>
        <v>#REF!</v>
      </c>
      <c r="BT79" s="71" t="e">
        <f t="shared" si="127"/>
        <v>#REF!</v>
      </c>
      <c r="BU79" s="70" t="e">
        <f t="shared" si="128"/>
        <v>#REF!</v>
      </c>
      <c r="BV79" s="70" t="e">
        <f t="shared" si="128"/>
        <v>#REF!</v>
      </c>
      <c r="BW79" s="70" t="e">
        <f t="shared" si="129"/>
        <v>#REF!</v>
      </c>
      <c r="BX79" s="70" t="e">
        <f t="shared" si="130"/>
        <v>#REF!</v>
      </c>
      <c r="BY79" s="93" t="e">
        <f t="shared" si="131"/>
        <v>#REF!</v>
      </c>
    </row>
    <row r="80" spans="1:77" x14ac:dyDescent="0.35">
      <c r="A80" s="54" t="e">
        <f>#REF!</f>
        <v>#REF!</v>
      </c>
      <c r="B80" s="148"/>
      <c r="C80" s="23" t="s">
        <v>31</v>
      </c>
      <c r="D80" s="24" t="e">
        <f>#REF!</f>
        <v>#REF!</v>
      </c>
      <c r="E80" s="25" t="e">
        <f>#REF!</f>
        <v>#REF!</v>
      </c>
      <c r="F80" s="25" t="e">
        <f t="shared" si="110"/>
        <v>#REF!</v>
      </c>
      <c r="G80" s="23" t="e">
        <f>#REF!</f>
        <v>#REF!</v>
      </c>
      <c r="H80" s="24" t="e">
        <f>#REF!</f>
        <v>#REF!</v>
      </c>
      <c r="I80" s="25" t="e">
        <f>#REF!</f>
        <v>#REF!</v>
      </c>
      <c r="J80" s="25" t="e">
        <f t="shared" si="111"/>
        <v>#REF!</v>
      </c>
      <c r="K80" s="23" t="e">
        <f>#REF!</f>
        <v>#REF!</v>
      </c>
      <c r="L80" s="24" t="e">
        <f>#REF!</f>
        <v>#REF!</v>
      </c>
      <c r="M80" s="25" t="e">
        <f>#REF!</f>
        <v>#REF!</v>
      </c>
      <c r="N80" s="25" t="e">
        <f t="shared" si="112"/>
        <v>#REF!</v>
      </c>
      <c r="O80" s="23" t="e">
        <f>#REF!</f>
        <v>#REF!</v>
      </c>
      <c r="P80" s="24" t="e">
        <f>#REF!</f>
        <v>#REF!</v>
      </c>
      <c r="Q80" s="25" t="e">
        <f>#REF!</f>
        <v>#REF!</v>
      </c>
      <c r="R80" s="25" t="e">
        <f t="shared" si="113"/>
        <v>#REF!</v>
      </c>
      <c r="S80" s="23" t="e">
        <f>#REF!</f>
        <v>#REF!</v>
      </c>
      <c r="T80" s="24" t="e">
        <f>#REF!</f>
        <v>#REF!</v>
      </c>
      <c r="U80" s="25" t="e">
        <f>#REF!</f>
        <v>#REF!</v>
      </c>
      <c r="V80" s="25" t="e">
        <f t="shared" si="114"/>
        <v>#REF!</v>
      </c>
      <c r="W80" s="23" t="e">
        <f>#REF!</f>
        <v>#REF!</v>
      </c>
      <c r="X80" s="24" t="e">
        <f>#REF!</f>
        <v>#REF!</v>
      </c>
      <c r="Y80" s="25" t="e">
        <f>#REF!</f>
        <v>#REF!</v>
      </c>
      <c r="Z80" s="25" t="e">
        <f t="shared" si="115"/>
        <v>#REF!</v>
      </c>
      <c r="AA80" s="23" t="e">
        <f>#REF!</f>
        <v>#REF!</v>
      </c>
      <c r="AB80" s="24" t="e">
        <f>#REF!</f>
        <v>#REF!</v>
      </c>
      <c r="AC80" s="25" t="e">
        <f>#REF!</f>
        <v>#REF!</v>
      </c>
      <c r="AD80" s="25" t="e">
        <f t="shared" si="116"/>
        <v>#REF!</v>
      </c>
      <c r="AE80" s="23" t="e">
        <f>#REF!</f>
        <v>#REF!</v>
      </c>
      <c r="AF80" s="24" t="e">
        <f>#REF!</f>
        <v>#REF!</v>
      </c>
      <c r="AG80" s="25" t="e">
        <f>#REF!</f>
        <v>#REF!</v>
      </c>
      <c r="AH80" s="25" t="e">
        <f t="shared" si="117"/>
        <v>#REF!</v>
      </c>
      <c r="AI80" s="23" t="e">
        <f>#REF!</f>
        <v>#REF!</v>
      </c>
      <c r="AJ80" s="24" t="e">
        <f>#REF!</f>
        <v>#REF!</v>
      </c>
      <c r="AK80" s="25" t="e">
        <f>#REF!</f>
        <v>#REF!</v>
      </c>
      <c r="AL80" s="25" t="e">
        <f t="shared" si="118"/>
        <v>#REF!</v>
      </c>
      <c r="AM80" s="23" t="e">
        <f>#REF!</f>
        <v>#REF!</v>
      </c>
      <c r="AN80" s="24" t="e">
        <f>#REF!</f>
        <v>#REF!</v>
      </c>
      <c r="AO80" s="25" t="e">
        <f>#REF!</f>
        <v>#REF!</v>
      </c>
      <c r="AP80" s="25" t="e">
        <f t="shared" si="119"/>
        <v>#REF!</v>
      </c>
      <c r="AQ80" s="23" t="e">
        <f>#REF!</f>
        <v>#REF!</v>
      </c>
      <c r="AR80" s="24" t="e">
        <f>#REF!</f>
        <v>#REF!</v>
      </c>
      <c r="AS80" s="25" t="e">
        <f>#REF!</f>
        <v>#REF!</v>
      </c>
      <c r="AT80" s="25" t="e">
        <f t="shared" si="120"/>
        <v>#REF!</v>
      </c>
      <c r="AU80" s="23" t="e">
        <f>#REF!</f>
        <v>#REF!</v>
      </c>
      <c r="AV80" s="24" t="e">
        <f>#REF!</f>
        <v>#REF!</v>
      </c>
      <c r="AW80" s="25" t="e">
        <f>#REF!</f>
        <v>#REF!</v>
      </c>
      <c r="AX80" s="25" t="e">
        <f t="shared" si="121"/>
        <v>#REF!</v>
      </c>
      <c r="AY80" s="23" t="e">
        <f>#REF!</f>
        <v>#REF!</v>
      </c>
      <c r="AZ80" s="24" t="e">
        <f>#REF!</f>
        <v>#REF!</v>
      </c>
      <c r="BA80" s="25" t="e">
        <f>#REF!</f>
        <v>#REF!</v>
      </c>
      <c r="BB80" s="25" t="e">
        <f t="shared" si="122"/>
        <v>#REF!</v>
      </c>
      <c r="BC80" s="23" t="e">
        <f>#REF!</f>
        <v>#REF!</v>
      </c>
      <c r="BD80" s="24" t="e">
        <f>#REF!</f>
        <v>#REF!</v>
      </c>
      <c r="BE80" s="25" t="e">
        <f>#REF!</f>
        <v>#REF!</v>
      </c>
      <c r="BF80" s="25" t="e">
        <f t="shared" si="123"/>
        <v>#REF!</v>
      </c>
      <c r="BG80" s="23" t="e">
        <f>#REF!</f>
        <v>#REF!</v>
      </c>
      <c r="BH80" s="24" t="e">
        <f>#REF!</f>
        <v>#REF!</v>
      </c>
      <c r="BI80" s="25" t="e">
        <f>#REF!</f>
        <v>#REF!</v>
      </c>
      <c r="BJ80" s="25" t="e">
        <f t="shared" si="124"/>
        <v>#REF!</v>
      </c>
      <c r="BK80" s="23" t="e">
        <f>#REF!</f>
        <v>#REF!</v>
      </c>
      <c r="BL80" s="24" t="e">
        <f>#REF!</f>
        <v>#REF!</v>
      </c>
      <c r="BM80" s="25" t="e">
        <f>#REF!</f>
        <v>#REF!</v>
      </c>
      <c r="BN80" s="25" t="e">
        <f t="shared" si="125"/>
        <v>#REF!</v>
      </c>
      <c r="BO80" s="23" t="e">
        <f>#REF!</f>
        <v>#REF!</v>
      </c>
      <c r="BP80" s="24" t="e">
        <f>#REF!</f>
        <v>#REF!</v>
      </c>
      <c r="BQ80" s="25" t="e">
        <f>#REF!</f>
        <v>#REF!</v>
      </c>
      <c r="BR80" s="25" t="e">
        <f t="shared" si="126"/>
        <v>#REF!</v>
      </c>
      <c r="BS80" s="23" t="e">
        <f>#REF!</f>
        <v>#REF!</v>
      </c>
      <c r="BT80" s="73" t="e">
        <f t="shared" si="127"/>
        <v>#REF!</v>
      </c>
      <c r="BU80" s="72" t="e">
        <f t="shared" si="128"/>
        <v>#REF!</v>
      </c>
      <c r="BV80" s="72" t="e">
        <f t="shared" si="128"/>
        <v>#REF!</v>
      </c>
      <c r="BW80" s="72" t="e">
        <f t="shared" si="129"/>
        <v>#REF!</v>
      </c>
      <c r="BX80" s="72" t="e">
        <f t="shared" si="130"/>
        <v>#REF!</v>
      </c>
      <c r="BY80" s="94" t="e">
        <f t="shared" si="131"/>
        <v>#REF!</v>
      </c>
    </row>
    <row r="81" spans="1:77" x14ac:dyDescent="0.35">
      <c r="A81" s="55" t="e">
        <f>#REF!</f>
        <v>#REF!</v>
      </c>
      <c r="B81" s="148"/>
      <c r="C81" s="26" t="s">
        <v>32</v>
      </c>
      <c r="D81" s="27" t="e">
        <f>#REF!</f>
        <v>#REF!</v>
      </c>
      <c r="E81" s="28" t="e">
        <f>#REF!</f>
        <v>#REF!</v>
      </c>
      <c r="F81" s="28" t="e">
        <f t="shared" si="110"/>
        <v>#REF!</v>
      </c>
      <c r="G81" s="26" t="e">
        <f>#REF!</f>
        <v>#REF!</v>
      </c>
      <c r="H81" s="27" t="e">
        <f>#REF!</f>
        <v>#REF!</v>
      </c>
      <c r="I81" s="27" t="e">
        <f>#REF!</f>
        <v>#REF!</v>
      </c>
      <c r="J81" s="27" t="e">
        <f t="shared" si="111"/>
        <v>#REF!</v>
      </c>
      <c r="K81" s="26" t="e">
        <f>#REF!</f>
        <v>#REF!</v>
      </c>
      <c r="L81" s="27" t="e">
        <f>#REF!</f>
        <v>#REF!</v>
      </c>
      <c r="M81" s="27" t="e">
        <f>#REF!</f>
        <v>#REF!</v>
      </c>
      <c r="N81" s="27" t="e">
        <f t="shared" si="112"/>
        <v>#REF!</v>
      </c>
      <c r="O81" s="26" t="e">
        <f>#REF!</f>
        <v>#REF!</v>
      </c>
      <c r="P81" s="27" t="e">
        <f>#REF!</f>
        <v>#REF!</v>
      </c>
      <c r="Q81" s="28" t="e">
        <f>#REF!</f>
        <v>#REF!</v>
      </c>
      <c r="R81" s="28" t="e">
        <f t="shared" si="113"/>
        <v>#REF!</v>
      </c>
      <c r="S81" s="26" t="e">
        <f>#REF!</f>
        <v>#REF!</v>
      </c>
      <c r="T81" s="27" t="e">
        <f>#REF!</f>
        <v>#REF!</v>
      </c>
      <c r="U81" s="28" t="e">
        <f>#REF!</f>
        <v>#REF!</v>
      </c>
      <c r="V81" s="28" t="e">
        <f t="shared" si="114"/>
        <v>#REF!</v>
      </c>
      <c r="W81" s="26" t="e">
        <f>#REF!</f>
        <v>#REF!</v>
      </c>
      <c r="X81" s="27" t="e">
        <f>#REF!</f>
        <v>#REF!</v>
      </c>
      <c r="Y81" s="27" t="e">
        <f>#REF!</f>
        <v>#REF!</v>
      </c>
      <c r="Z81" s="27" t="e">
        <f t="shared" si="115"/>
        <v>#REF!</v>
      </c>
      <c r="AA81" s="26" t="e">
        <f>#REF!</f>
        <v>#REF!</v>
      </c>
      <c r="AB81" s="27" t="e">
        <f>#REF!</f>
        <v>#REF!</v>
      </c>
      <c r="AC81" s="27" t="e">
        <f>#REF!</f>
        <v>#REF!</v>
      </c>
      <c r="AD81" s="27" t="e">
        <f t="shared" si="116"/>
        <v>#REF!</v>
      </c>
      <c r="AE81" s="26" t="e">
        <f>#REF!</f>
        <v>#REF!</v>
      </c>
      <c r="AF81" s="27" t="e">
        <f>#REF!</f>
        <v>#REF!</v>
      </c>
      <c r="AG81" s="27" t="e">
        <f>#REF!</f>
        <v>#REF!</v>
      </c>
      <c r="AH81" s="27" t="e">
        <f t="shared" si="117"/>
        <v>#REF!</v>
      </c>
      <c r="AI81" s="26" t="e">
        <f>#REF!</f>
        <v>#REF!</v>
      </c>
      <c r="AJ81" s="27" t="e">
        <f>#REF!</f>
        <v>#REF!</v>
      </c>
      <c r="AK81" s="27" t="e">
        <f>#REF!</f>
        <v>#REF!</v>
      </c>
      <c r="AL81" s="27" t="e">
        <f t="shared" si="118"/>
        <v>#REF!</v>
      </c>
      <c r="AM81" s="26" t="e">
        <f>#REF!</f>
        <v>#REF!</v>
      </c>
      <c r="AN81" s="27" t="e">
        <f>#REF!</f>
        <v>#REF!</v>
      </c>
      <c r="AO81" s="27" t="e">
        <f>#REF!</f>
        <v>#REF!</v>
      </c>
      <c r="AP81" s="27" t="e">
        <f t="shared" si="119"/>
        <v>#REF!</v>
      </c>
      <c r="AQ81" s="26" t="e">
        <f>#REF!</f>
        <v>#REF!</v>
      </c>
      <c r="AR81" s="27" t="e">
        <f>#REF!</f>
        <v>#REF!</v>
      </c>
      <c r="AS81" s="28" t="e">
        <f>#REF!</f>
        <v>#REF!</v>
      </c>
      <c r="AT81" s="28" t="e">
        <f t="shared" si="120"/>
        <v>#REF!</v>
      </c>
      <c r="AU81" s="26" t="e">
        <f>#REF!</f>
        <v>#REF!</v>
      </c>
      <c r="AV81" s="27" t="e">
        <f>#REF!</f>
        <v>#REF!</v>
      </c>
      <c r="AW81" s="28" t="e">
        <f>#REF!</f>
        <v>#REF!</v>
      </c>
      <c r="AX81" s="28" t="e">
        <f t="shared" si="121"/>
        <v>#REF!</v>
      </c>
      <c r="AY81" s="26" t="e">
        <f>#REF!</f>
        <v>#REF!</v>
      </c>
      <c r="AZ81" s="27" t="e">
        <f>#REF!</f>
        <v>#REF!</v>
      </c>
      <c r="BA81" s="28" t="e">
        <f>#REF!</f>
        <v>#REF!</v>
      </c>
      <c r="BB81" s="28" t="e">
        <f t="shared" si="122"/>
        <v>#REF!</v>
      </c>
      <c r="BC81" s="26" t="e">
        <f>#REF!</f>
        <v>#REF!</v>
      </c>
      <c r="BD81" s="27" t="e">
        <f>#REF!</f>
        <v>#REF!</v>
      </c>
      <c r="BE81" s="28" t="e">
        <f>#REF!</f>
        <v>#REF!</v>
      </c>
      <c r="BF81" s="28" t="e">
        <f t="shared" si="123"/>
        <v>#REF!</v>
      </c>
      <c r="BG81" s="26" t="e">
        <f>#REF!</f>
        <v>#REF!</v>
      </c>
      <c r="BH81" s="27" t="e">
        <f>#REF!</f>
        <v>#REF!</v>
      </c>
      <c r="BI81" s="28" t="e">
        <f>#REF!</f>
        <v>#REF!</v>
      </c>
      <c r="BJ81" s="28" t="e">
        <f t="shared" si="124"/>
        <v>#REF!</v>
      </c>
      <c r="BK81" s="26" t="e">
        <f>#REF!</f>
        <v>#REF!</v>
      </c>
      <c r="BL81" s="27" t="e">
        <f>#REF!</f>
        <v>#REF!</v>
      </c>
      <c r="BM81" s="28" t="e">
        <f>#REF!</f>
        <v>#REF!</v>
      </c>
      <c r="BN81" s="28" t="e">
        <f t="shared" si="125"/>
        <v>#REF!</v>
      </c>
      <c r="BO81" s="26" t="e">
        <f>#REF!</f>
        <v>#REF!</v>
      </c>
      <c r="BP81" s="27" t="e">
        <f>#REF!</f>
        <v>#REF!</v>
      </c>
      <c r="BQ81" s="28" t="e">
        <f>#REF!</f>
        <v>#REF!</v>
      </c>
      <c r="BR81" s="28" t="e">
        <f t="shared" si="126"/>
        <v>#REF!</v>
      </c>
      <c r="BS81" s="26" t="e">
        <f>#REF!</f>
        <v>#REF!</v>
      </c>
      <c r="BT81" s="75" t="e">
        <f>SUM(E81,I81,M81,Q81,U81,Y81,AC81,AG81,AK81,AO81,AS81,AW81,BA81,BE81,BI81,BM81,BQ81)</f>
        <v>#REF!</v>
      </c>
      <c r="BU81" s="74" t="e">
        <f t="shared" si="128"/>
        <v>#REF!</v>
      </c>
      <c r="BV81" s="74" t="e">
        <f t="shared" si="128"/>
        <v>#REF!</v>
      </c>
      <c r="BW81" s="74" t="e">
        <f t="shared" si="129"/>
        <v>#REF!</v>
      </c>
      <c r="BX81" s="74" t="e">
        <f t="shared" si="130"/>
        <v>#REF!</v>
      </c>
      <c r="BY81" s="95" t="e">
        <f t="shared" si="131"/>
        <v>#REF!</v>
      </c>
    </row>
    <row r="82" spans="1:77" x14ac:dyDescent="0.35">
      <c r="A82" s="56" t="e">
        <f>#REF!</f>
        <v>#REF!</v>
      </c>
      <c r="B82" s="148"/>
      <c r="C82" s="29" t="s">
        <v>33</v>
      </c>
      <c r="D82" s="30" t="e">
        <f>#REF!</f>
        <v>#REF!</v>
      </c>
      <c r="E82" s="31" t="e">
        <f>#REF!</f>
        <v>#REF!</v>
      </c>
      <c r="F82" s="31" t="e">
        <f t="shared" si="110"/>
        <v>#REF!</v>
      </c>
      <c r="G82" s="29" t="e">
        <f>#REF!</f>
        <v>#REF!</v>
      </c>
      <c r="H82" s="30" t="e">
        <f>#REF!</f>
        <v>#REF!</v>
      </c>
      <c r="I82" s="31" t="e">
        <f>#REF!</f>
        <v>#REF!</v>
      </c>
      <c r="J82" s="31" t="e">
        <f t="shared" si="111"/>
        <v>#REF!</v>
      </c>
      <c r="K82" s="29" t="e">
        <f>#REF!</f>
        <v>#REF!</v>
      </c>
      <c r="L82" s="30" t="e">
        <f>#REF!</f>
        <v>#REF!</v>
      </c>
      <c r="M82" s="31" t="e">
        <f>#REF!</f>
        <v>#REF!</v>
      </c>
      <c r="N82" s="31" t="e">
        <f t="shared" si="112"/>
        <v>#REF!</v>
      </c>
      <c r="O82" s="29" t="e">
        <f>#REF!</f>
        <v>#REF!</v>
      </c>
      <c r="P82" s="30" t="e">
        <f>#REF!</f>
        <v>#REF!</v>
      </c>
      <c r="Q82" s="31" t="e">
        <f>#REF!</f>
        <v>#REF!</v>
      </c>
      <c r="R82" s="31" t="e">
        <f t="shared" si="113"/>
        <v>#REF!</v>
      </c>
      <c r="S82" s="29" t="e">
        <f>#REF!</f>
        <v>#REF!</v>
      </c>
      <c r="T82" s="30" t="e">
        <f>#REF!</f>
        <v>#REF!</v>
      </c>
      <c r="U82" s="31" t="e">
        <f>#REF!</f>
        <v>#REF!</v>
      </c>
      <c r="V82" s="31" t="e">
        <f t="shared" si="114"/>
        <v>#REF!</v>
      </c>
      <c r="W82" s="29" t="e">
        <f>#REF!</f>
        <v>#REF!</v>
      </c>
      <c r="X82" s="30" t="e">
        <f>#REF!</f>
        <v>#REF!</v>
      </c>
      <c r="Y82" s="31" t="e">
        <f>#REF!</f>
        <v>#REF!</v>
      </c>
      <c r="Z82" s="31" t="e">
        <f t="shared" si="115"/>
        <v>#REF!</v>
      </c>
      <c r="AA82" s="29" t="e">
        <f>#REF!</f>
        <v>#REF!</v>
      </c>
      <c r="AB82" s="30" t="e">
        <f>#REF!</f>
        <v>#REF!</v>
      </c>
      <c r="AC82" s="31" t="e">
        <f>#REF!</f>
        <v>#REF!</v>
      </c>
      <c r="AD82" s="31" t="e">
        <f t="shared" si="116"/>
        <v>#REF!</v>
      </c>
      <c r="AE82" s="29" t="e">
        <f>#REF!</f>
        <v>#REF!</v>
      </c>
      <c r="AF82" s="30" t="e">
        <f>#REF!</f>
        <v>#REF!</v>
      </c>
      <c r="AG82" s="31" t="e">
        <f>#REF!</f>
        <v>#REF!</v>
      </c>
      <c r="AH82" s="31" t="e">
        <f t="shared" si="117"/>
        <v>#REF!</v>
      </c>
      <c r="AI82" s="29" t="e">
        <f>#REF!</f>
        <v>#REF!</v>
      </c>
      <c r="AJ82" s="30" t="e">
        <f>#REF!</f>
        <v>#REF!</v>
      </c>
      <c r="AK82" s="31" t="e">
        <f>#REF!</f>
        <v>#REF!</v>
      </c>
      <c r="AL82" s="31" t="e">
        <f t="shared" si="118"/>
        <v>#REF!</v>
      </c>
      <c r="AM82" s="29" t="e">
        <f>#REF!</f>
        <v>#REF!</v>
      </c>
      <c r="AN82" s="30" t="e">
        <f>#REF!</f>
        <v>#REF!</v>
      </c>
      <c r="AO82" s="31" t="e">
        <f>#REF!</f>
        <v>#REF!</v>
      </c>
      <c r="AP82" s="31" t="e">
        <f t="shared" si="119"/>
        <v>#REF!</v>
      </c>
      <c r="AQ82" s="29" t="e">
        <f>#REF!</f>
        <v>#REF!</v>
      </c>
      <c r="AR82" s="30" t="e">
        <f>#REF!</f>
        <v>#REF!</v>
      </c>
      <c r="AS82" s="31" t="e">
        <f>#REF!</f>
        <v>#REF!</v>
      </c>
      <c r="AT82" s="31" t="e">
        <f t="shared" si="120"/>
        <v>#REF!</v>
      </c>
      <c r="AU82" s="29" t="e">
        <f>#REF!</f>
        <v>#REF!</v>
      </c>
      <c r="AV82" s="30" t="e">
        <f>#REF!</f>
        <v>#REF!</v>
      </c>
      <c r="AW82" s="31" t="e">
        <f>#REF!</f>
        <v>#REF!</v>
      </c>
      <c r="AX82" s="31" t="e">
        <f t="shared" si="121"/>
        <v>#REF!</v>
      </c>
      <c r="AY82" s="29" t="e">
        <f>#REF!</f>
        <v>#REF!</v>
      </c>
      <c r="AZ82" s="30" t="e">
        <f>#REF!</f>
        <v>#REF!</v>
      </c>
      <c r="BA82" s="31" t="e">
        <f>#REF!</f>
        <v>#REF!</v>
      </c>
      <c r="BB82" s="31" t="e">
        <f t="shared" si="122"/>
        <v>#REF!</v>
      </c>
      <c r="BC82" s="29" t="e">
        <f>#REF!</f>
        <v>#REF!</v>
      </c>
      <c r="BD82" s="30" t="e">
        <f>#REF!</f>
        <v>#REF!</v>
      </c>
      <c r="BE82" s="31" t="e">
        <f>#REF!</f>
        <v>#REF!</v>
      </c>
      <c r="BF82" s="31" t="e">
        <f t="shared" si="123"/>
        <v>#REF!</v>
      </c>
      <c r="BG82" s="29" t="e">
        <f>#REF!</f>
        <v>#REF!</v>
      </c>
      <c r="BH82" s="30" t="e">
        <f>#REF!</f>
        <v>#REF!</v>
      </c>
      <c r="BI82" s="31" t="e">
        <f>#REF!</f>
        <v>#REF!</v>
      </c>
      <c r="BJ82" s="31" t="e">
        <f t="shared" si="124"/>
        <v>#REF!</v>
      </c>
      <c r="BK82" s="29" t="e">
        <f>#REF!</f>
        <v>#REF!</v>
      </c>
      <c r="BL82" s="30" t="e">
        <f>#REF!</f>
        <v>#REF!</v>
      </c>
      <c r="BM82" s="31" t="e">
        <f>#REF!</f>
        <v>#REF!</v>
      </c>
      <c r="BN82" s="31" t="e">
        <f t="shared" si="125"/>
        <v>#REF!</v>
      </c>
      <c r="BO82" s="29" t="e">
        <f>#REF!</f>
        <v>#REF!</v>
      </c>
      <c r="BP82" s="30" t="e">
        <f>#REF!</f>
        <v>#REF!</v>
      </c>
      <c r="BQ82" s="31" t="e">
        <f>#REF!</f>
        <v>#REF!</v>
      </c>
      <c r="BR82" s="31" t="e">
        <f t="shared" si="126"/>
        <v>#REF!</v>
      </c>
      <c r="BS82" s="29" t="e">
        <f>#REF!</f>
        <v>#REF!</v>
      </c>
      <c r="BT82" s="77" t="e">
        <f t="shared" ref="BT82:BT85" si="132">SUM(E82,I82,M82,Q82,U82,Y82,AC82,AG82,AK82,AO82,AS82,AW82,BA82,BE82,BI82,BM82,BQ82)</f>
        <v>#REF!</v>
      </c>
      <c r="BU82" s="76" t="e">
        <f t="shared" si="128"/>
        <v>#REF!</v>
      </c>
      <c r="BV82" s="76" t="e">
        <f t="shared" si="128"/>
        <v>#REF!</v>
      </c>
      <c r="BW82" s="76" t="e">
        <f t="shared" si="129"/>
        <v>#REF!</v>
      </c>
      <c r="BX82" s="76" t="e">
        <f t="shared" si="130"/>
        <v>#REF!</v>
      </c>
      <c r="BY82" s="96" t="e">
        <f t="shared" si="131"/>
        <v>#REF!</v>
      </c>
    </row>
    <row r="83" spans="1:77" x14ac:dyDescent="0.35">
      <c r="A83" s="57" t="e">
        <f>#REF!</f>
        <v>#REF!</v>
      </c>
      <c r="B83" s="148"/>
      <c r="C83" s="32" t="s">
        <v>34</v>
      </c>
      <c r="D83" s="33" t="e">
        <f>#REF!</f>
        <v>#REF!</v>
      </c>
      <c r="E83" s="34" t="e">
        <f>#REF!</f>
        <v>#REF!</v>
      </c>
      <c r="F83" s="34" t="e">
        <f t="shared" si="110"/>
        <v>#REF!</v>
      </c>
      <c r="G83" s="32" t="e">
        <f>#REF!</f>
        <v>#REF!</v>
      </c>
      <c r="H83" s="33" t="e">
        <f>#REF!</f>
        <v>#REF!</v>
      </c>
      <c r="I83" s="34" t="e">
        <f>#REF!</f>
        <v>#REF!</v>
      </c>
      <c r="J83" s="34" t="e">
        <f t="shared" si="111"/>
        <v>#REF!</v>
      </c>
      <c r="K83" s="32" t="e">
        <f>#REF!</f>
        <v>#REF!</v>
      </c>
      <c r="L83" s="33" t="e">
        <f>#REF!</f>
        <v>#REF!</v>
      </c>
      <c r="M83" s="34" t="e">
        <f>#REF!</f>
        <v>#REF!</v>
      </c>
      <c r="N83" s="34" t="e">
        <f t="shared" si="112"/>
        <v>#REF!</v>
      </c>
      <c r="O83" s="32" t="e">
        <f>#REF!</f>
        <v>#REF!</v>
      </c>
      <c r="P83" s="33" t="e">
        <f>#REF!</f>
        <v>#REF!</v>
      </c>
      <c r="Q83" s="34" t="e">
        <f>#REF!</f>
        <v>#REF!</v>
      </c>
      <c r="R83" s="34" t="e">
        <f t="shared" si="113"/>
        <v>#REF!</v>
      </c>
      <c r="S83" s="32" t="e">
        <f>#REF!</f>
        <v>#REF!</v>
      </c>
      <c r="T83" s="33" t="e">
        <f>#REF!</f>
        <v>#REF!</v>
      </c>
      <c r="U83" s="34" t="e">
        <f>#REF!</f>
        <v>#REF!</v>
      </c>
      <c r="V83" s="34" t="e">
        <f t="shared" si="114"/>
        <v>#REF!</v>
      </c>
      <c r="W83" s="32" t="e">
        <f>#REF!</f>
        <v>#REF!</v>
      </c>
      <c r="X83" s="33" t="e">
        <f>#REF!</f>
        <v>#REF!</v>
      </c>
      <c r="Y83" s="34" t="e">
        <f>#REF!</f>
        <v>#REF!</v>
      </c>
      <c r="Z83" s="34" t="e">
        <f t="shared" si="115"/>
        <v>#REF!</v>
      </c>
      <c r="AA83" s="32" t="e">
        <f>#REF!</f>
        <v>#REF!</v>
      </c>
      <c r="AB83" s="33" t="e">
        <f>#REF!</f>
        <v>#REF!</v>
      </c>
      <c r="AC83" s="34" t="e">
        <f>#REF!</f>
        <v>#REF!</v>
      </c>
      <c r="AD83" s="34" t="e">
        <f t="shared" si="116"/>
        <v>#REF!</v>
      </c>
      <c r="AE83" s="32" t="e">
        <f>#REF!</f>
        <v>#REF!</v>
      </c>
      <c r="AF83" s="33" t="e">
        <f>#REF!</f>
        <v>#REF!</v>
      </c>
      <c r="AG83" s="34" t="e">
        <f>#REF!</f>
        <v>#REF!</v>
      </c>
      <c r="AH83" s="34" t="e">
        <f t="shared" si="117"/>
        <v>#REF!</v>
      </c>
      <c r="AI83" s="32" t="e">
        <f>#REF!</f>
        <v>#REF!</v>
      </c>
      <c r="AJ83" s="33" t="e">
        <f>#REF!</f>
        <v>#REF!</v>
      </c>
      <c r="AK83" s="34" t="e">
        <f>#REF!</f>
        <v>#REF!</v>
      </c>
      <c r="AL83" s="34" t="e">
        <f t="shared" si="118"/>
        <v>#REF!</v>
      </c>
      <c r="AM83" s="32" t="e">
        <f>#REF!</f>
        <v>#REF!</v>
      </c>
      <c r="AN83" s="33" t="e">
        <f>#REF!</f>
        <v>#REF!</v>
      </c>
      <c r="AO83" s="34" t="e">
        <f>#REF!</f>
        <v>#REF!</v>
      </c>
      <c r="AP83" s="34" t="e">
        <f t="shared" si="119"/>
        <v>#REF!</v>
      </c>
      <c r="AQ83" s="32" t="e">
        <f>#REF!</f>
        <v>#REF!</v>
      </c>
      <c r="AR83" s="33" t="e">
        <f>#REF!</f>
        <v>#REF!</v>
      </c>
      <c r="AS83" s="34" t="e">
        <f>#REF!</f>
        <v>#REF!</v>
      </c>
      <c r="AT83" s="34" t="e">
        <f t="shared" si="120"/>
        <v>#REF!</v>
      </c>
      <c r="AU83" s="32" t="e">
        <f>#REF!</f>
        <v>#REF!</v>
      </c>
      <c r="AV83" s="33" t="e">
        <f>#REF!</f>
        <v>#REF!</v>
      </c>
      <c r="AW83" s="34" t="e">
        <f>#REF!</f>
        <v>#REF!</v>
      </c>
      <c r="AX83" s="34" t="e">
        <f t="shared" si="121"/>
        <v>#REF!</v>
      </c>
      <c r="AY83" s="32" t="e">
        <f>#REF!</f>
        <v>#REF!</v>
      </c>
      <c r="AZ83" s="33" t="e">
        <f>#REF!</f>
        <v>#REF!</v>
      </c>
      <c r="BA83" s="34" t="e">
        <f>#REF!</f>
        <v>#REF!</v>
      </c>
      <c r="BB83" s="34" t="e">
        <f t="shared" si="122"/>
        <v>#REF!</v>
      </c>
      <c r="BC83" s="32" t="e">
        <f>#REF!</f>
        <v>#REF!</v>
      </c>
      <c r="BD83" s="33" t="e">
        <f>#REF!</f>
        <v>#REF!</v>
      </c>
      <c r="BE83" s="34" t="e">
        <f>#REF!</f>
        <v>#REF!</v>
      </c>
      <c r="BF83" s="34" t="e">
        <f t="shared" si="123"/>
        <v>#REF!</v>
      </c>
      <c r="BG83" s="32" t="e">
        <f>#REF!</f>
        <v>#REF!</v>
      </c>
      <c r="BH83" s="33" t="e">
        <f>#REF!</f>
        <v>#REF!</v>
      </c>
      <c r="BI83" s="34" t="e">
        <f>#REF!</f>
        <v>#REF!</v>
      </c>
      <c r="BJ83" s="34" t="e">
        <f t="shared" si="124"/>
        <v>#REF!</v>
      </c>
      <c r="BK83" s="32" t="e">
        <f>#REF!</f>
        <v>#REF!</v>
      </c>
      <c r="BL83" s="33" t="e">
        <f>#REF!</f>
        <v>#REF!</v>
      </c>
      <c r="BM83" s="34" t="e">
        <f>#REF!</f>
        <v>#REF!</v>
      </c>
      <c r="BN83" s="34" t="e">
        <f t="shared" si="125"/>
        <v>#REF!</v>
      </c>
      <c r="BO83" s="32" t="e">
        <f>#REF!</f>
        <v>#REF!</v>
      </c>
      <c r="BP83" s="33" t="e">
        <f>#REF!</f>
        <v>#REF!</v>
      </c>
      <c r="BQ83" s="34" t="e">
        <f>#REF!</f>
        <v>#REF!</v>
      </c>
      <c r="BR83" s="34" t="e">
        <f t="shared" si="126"/>
        <v>#REF!</v>
      </c>
      <c r="BS83" s="32" t="e">
        <f>#REF!</f>
        <v>#REF!</v>
      </c>
      <c r="BT83" s="79" t="e">
        <f t="shared" si="132"/>
        <v>#REF!</v>
      </c>
      <c r="BU83" s="78" t="e">
        <f t="shared" si="128"/>
        <v>#REF!</v>
      </c>
      <c r="BV83" s="78" t="e">
        <f t="shared" si="128"/>
        <v>#REF!</v>
      </c>
      <c r="BW83" s="78" t="e">
        <f t="shared" si="129"/>
        <v>#REF!</v>
      </c>
      <c r="BX83" s="78" t="e">
        <f t="shared" si="130"/>
        <v>#REF!</v>
      </c>
      <c r="BY83" s="97" t="e">
        <f t="shared" si="131"/>
        <v>#REF!</v>
      </c>
    </row>
    <row r="84" spans="1:77" x14ac:dyDescent="0.35">
      <c r="A84" s="58" t="e">
        <f>#REF!</f>
        <v>#REF!</v>
      </c>
      <c r="B84" s="148"/>
      <c r="C84" s="35" t="s">
        <v>35</v>
      </c>
      <c r="D84" s="36" t="e">
        <f>#REF!</f>
        <v>#REF!</v>
      </c>
      <c r="E84" s="37" t="e">
        <f>#REF!</f>
        <v>#REF!</v>
      </c>
      <c r="F84" s="37" t="e">
        <f t="shared" si="110"/>
        <v>#REF!</v>
      </c>
      <c r="G84" s="35" t="e">
        <f>#REF!</f>
        <v>#REF!</v>
      </c>
      <c r="H84" s="36" t="e">
        <f>#REF!</f>
        <v>#REF!</v>
      </c>
      <c r="I84" s="37" t="e">
        <f>#REF!</f>
        <v>#REF!</v>
      </c>
      <c r="J84" s="37" t="e">
        <f t="shared" si="111"/>
        <v>#REF!</v>
      </c>
      <c r="K84" s="35" t="e">
        <f>#REF!</f>
        <v>#REF!</v>
      </c>
      <c r="L84" s="36" t="e">
        <f>#REF!</f>
        <v>#REF!</v>
      </c>
      <c r="M84" s="37" t="e">
        <f>#REF!</f>
        <v>#REF!</v>
      </c>
      <c r="N84" s="37" t="e">
        <f t="shared" si="112"/>
        <v>#REF!</v>
      </c>
      <c r="O84" s="35" t="e">
        <f>#REF!</f>
        <v>#REF!</v>
      </c>
      <c r="P84" s="36" t="e">
        <f>#REF!</f>
        <v>#REF!</v>
      </c>
      <c r="Q84" s="37" t="e">
        <f>#REF!</f>
        <v>#REF!</v>
      </c>
      <c r="R84" s="37" t="e">
        <f t="shared" si="113"/>
        <v>#REF!</v>
      </c>
      <c r="S84" s="35" t="e">
        <f>#REF!</f>
        <v>#REF!</v>
      </c>
      <c r="T84" s="36" t="e">
        <f>#REF!</f>
        <v>#REF!</v>
      </c>
      <c r="U84" s="37" t="e">
        <f>#REF!</f>
        <v>#REF!</v>
      </c>
      <c r="V84" s="37" t="e">
        <f t="shared" si="114"/>
        <v>#REF!</v>
      </c>
      <c r="W84" s="35" t="e">
        <f>#REF!</f>
        <v>#REF!</v>
      </c>
      <c r="X84" s="36" t="e">
        <f>#REF!</f>
        <v>#REF!</v>
      </c>
      <c r="Y84" s="37" t="e">
        <f>#REF!</f>
        <v>#REF!</v>
      </c>
      <c r="Z84" s="37" t="e">
        <f t="shared" si="115"/>
        <v>#REF!</v>
      </c>
      <c r="AA84" s="35" t="e">
        <f>#REF!</f>
        <v>#REF!</v>
      </c>
      <c r="AB84" s="36" t="e">
        <f>#REF!</f>
        <v>#REF!</v>
      </c>
      <c r="AC84" s="37" t="e">
        <f>#REF!</f>
        <v>#REF!</v>
      </c>
      <c r="AD84" s="37" t="e">
        <f t="shared" si="116"/>
        <v>#REF!</v>
      </c>
      <c r="AE84" s="35" t="e">
        <f>#REF!</f>
        <v>#REF!</v>
      </c>
      <c r="AF84" s="36" t="e">
        <f>#REF!</f>
        <v>#REF!</v>
      </c>
      <c r="AG84" s="37" t="e">
        <f>#REF!</f>
        <v>#REF!</v>
      </c>
      <c r="AH84" s="37" t="e">
        <f t="shared" si="117"/>
        <v>#REF!</v>
      </c>
      <c r="AI84" s="35" t="e">
        <f>#REF!</f>
        <v>#REF!</v>
      </c>
      <c r="AJ84" s="36" t="e">
        <f>#REF!</f>
        <v>#REF!</v>
      </c>
      <c r="AK84" s="37" t="e">
        <f>#REF!</f>
        <v>#REF!</v>
      </c>
      <c r="AL84" s="37" t="e">
        <f t="shared" si="118"/>
        <v>#REF!</v>
      </c>
      <c r="AM84" s="35" t="e">
        <f>#REF!</f>
        <v>#REF!</v>
      </c>
      <c r="AN84" s="36" t="e">
        <f>#REF!</f>
        <v>#REF!</v>
      </c>
      <c r="AO84" s="37" t="e">
        <f>#REF!</f>
        <v>#REF!</v>
      </c>
      <c r="AP84" s="37" t="e">
        <f t="shared" si="119"/>
        <v>#REF!</v>
      </c>
      <c r="AQ84" s="35" t="e">
        <f>#REF!</f>
        <v>#REF!</v>
      </c>
      <c r="AR84" s="36" t="e">
        <f>#REF!</f>
        <v>#REF!</v>
      </c>
      <c r="AS84" s="37" t="e">
        <f>#REF!</f>
        <v>#REF!</v>
      </c>
      <c r="AT84" s="37" t="e">
        <f t="shared" si="120"/>
        <v>#REF!</v>
      </c>
      <c r="AU84" s="35" t="e">
        <f>#REF!</f>
        <v>#REF!</v>
      </c>
      <c r="AV84" s="36" t="e">
        <f>#REF!</f>
        <v>#REF!</v>
      </c>
      <c r="AW84" s="37" t="e">
        <f>#REF!</f>
        <v>#REF!</v>
      </c>
      <c r="AX84" s="37" t="e">
        <f t="shared" si="121"/>
        <v>#REF!</v>
      </c>
      <c r="AY84" s="35" t="e">
        <f>#REF!</f>
        <v>#REF!</v>
      </c>
      <c r="AZ84" s="36" t="e">
        <f>#REF!</f>
        <v>#REF!</v>
      </c>
      <c r="BA84" s="37" t="e">
        <f>#REF!</f>
        <v>#REF!</v>
      </c>
      <c r="BB84" s="37" t="e">
        <f t="shared" si="122"/>
        <v>#REF!</v>
      </c>
      <c r="BC84" s="35" t="e">
        <f>#REF!</f>
        <v>#REF!</v>
      </c>
      <c r="BD84" s="36" t="e">
        <f>#REF!</f>
        <v>#REF!</v>
      </c>
      <c r="BE84" s="37" t="e">
        <f>#REF!</f>
        <v>#REF!</v>
      </c>
      <c r="BF84" s="37" t="e">
        <f t="shared" si="123"/>
        <v>#REF!</v>
      </c>
      <c r="BG84" s="35" t="e">
        <f>#REF!</f>
        <v>#REF!</v>
      </c>
      <c r="BH84" s="36" t="e">
        <f>#REF!</f>
        <v>#REF!</v>
      </c>
      <c r="BI84" s="37" t="e">
        <f>#REF!</f>
        <v>#REF!</v>
      </c>
      <c r="BJ84" s="37" t="e">
        <f t="shared" si="124"/>
        <v>#REF!</v>
      </c>
      <c r="BK84" s="35" t="e">
        <f>#REF!</f>
        <v>#REF!</v>
      </c>
      <c r="BL84" s="36" t="e">
        <f>#REF!</f>
        <v>#REF!</v>
      </c>
      <c r="BM84" s="37" t="e">
        <f>#REF!</f>
        <v>#REF!</v>
      </c>
      <c r="BN84" s="37" t="e">
        <f t="shared" si="125"/>
        <v>#REF!</v>
      </c>
      <c r="BO84" s="35" t="e">
        <f>#REF!</f>
        <v>#REF!</v>
      </c>
      <c r="BP84" s="36" t="e">
        <f>#REF!</f>
        <v>#REF!</v>
      </c>
      <c r="BQ84" s="37" t="e">
        <f>#REF!</f>
        <v>#REF!</v>
      </c>
      <c r="BR84" s="37" t="e">
        <f t="shared" si="126"/>
        <v>#REF!</v>
      </c>
      <c r="BS84" s="35" t="e">
        <f>#REF!</f>
        <v>#REF!</v>
      </c>
      <c r="BT84" s="81" t="e">
        <f t="shared" si="132"/>
        <v>#REF!</v>
      </c>
      <c r="BU84" s="80" t="e">
        <f t="shared" si="128"/>
        <v>#REF!</v>
      </c>
      <c r="BV84" s="80" t="e">
        <f t="shared" si="128"/>
        <v>#REF!</v>
      </c>
      <c r="BW84" s="80" t="e">
        <f t="shared" si="129"/>
        <v>#REF!</v>
      </c>
      <c r="BX84" s="80" t="e">
        <f t="shared" si="130"/>
        <v>#REF!</v>
      </c>
      <c r="BY84" s="98" t="e">
        <f t="shared" si="131"/>
        <v>#REF!</v>
      </c>
    </row>
    <row r="85" spans="1:77" x14ac:dyDescent="0.35">
      <c r="A85" s="59" t="e">
        <f>#REF!</f>
        <v>#REF!</v>
      </c>
      <c r="B85" s="148"/>
      <c r="C85" s="38" t="s">
        <v>36</v>
      </c>
      <c r="D85" s="39" t="e">
        <f>#REF!</f>
        <v>#REF!</v>
      </c>
      <c r="E85" s="40" t="e">
        <f>#REF!</f>
        <v>#REF!</v>
      </c>
      <c r="F85" s="40" t="e">
        <f t="shared" si="110"/>
        <v>#REF!</v>
      </c>
      <c r="G85" s="38" t="e">
        <f>#REF!</f>
        <v>#REF!</v>
      </c>
      <c r="H85" s="39" t="e">
        <f>#REF!</f>
        <v>#REF!</v>
      </c>
      <c r="I85" s="40" t="e">
        <f>#REF!</f>
        <v>#REF!</v>
      </c>
      <c r="J85" s="40" t="e">
        <f t="shared" si="111"/>
        <v>#REF!</v>
      </c>
      <c r="K85" s="38" t="e">
        <f>#REF!</f>
        <v>#REF!</v>
      </c>
      <c r="L85" s="39" t="e">
        <f>#REF!</f>
        <v>#REF!</v>
      </c>
      <c r="M85" s="40" t="e">
        <f>#REF!</f>
        <v>#REF!</v>
      </c>
      <c r="N85" s="40" t="e">
        <f t="shared" si="112"/>
        <v>#REF!</v>
      </c>
      <c r="O85" s="38" t="e">
        <f>#REF!</f>
        <v>#REF!</v>
      </c>
      <c r="P85" s="39" t="e">
        <f>#REF!</f>
        <v>#REF!</v>
      </c>
      <c r="Q85" s="40" t="e">
        <f>#REF!</f>
        <v>#REF!</v>
      </c>
      <c r="R85" s="40" t="e">
        <f t="shared" si="113"/>
        <v>#REF!</v>
      </c>
      <c r="S85" s="38" t="e">
        <f>#REF!</f>
        <v>#REF!</v>
      </c>
      <c r="T85" s="39" t="e">
        <f>#REF!</f>
        <v>#REF!</v>
      </c>
      <c r="U85" s="40" t="e">
        <f>#REF!</f>
        <v>#REF!</v>
      </c>
      <c r="V85" s="40" t="e">
        <f t="shared" si="114"/>
        <v>#REF!</v>
      </c>
      <c r="W85" s="38" t="e">
        <f>#REF!</f>
        <v>#REF!</v>
      </c>
      <c r="X85" s="39" t="e">
        <f>#REF!</f>
        <v>#REF!</v>
      </c>
      <c r="Y85" s="40" t="e">
        <f>#REF!</f>
        <v>#REF!</v>
      </c>
      <c r="Z85" s="40" t="e">
        <f t="shared" si="115"/>
        <v>#REF!</v>
      </c>
      <c r="AA85" s="38" t="e">
        <f>#REF!</f>
        <v>#REF!</v>
      </c>
      <c r="AB85" s="39" t="e">
        <f>#REF!</f>
        <v>#REF!</v>
      </c>
      <c r="AC85" s="40" t="e">
        <f>#REF!</f>
        <v>#REF!</v>
      </c>
      <c r="AD85" s="40" t="e">
        <f t="shared" si="116"/>
        <v>#REF!</v>
      </c>
      <c r="AE85" s="38" t="e">
        <f>#REF!</f>
        <v>#REF!</v>
      </c>
      <c r="AF85" s="39" t="e">
        <f>#REF!</f>
        <v>#REF!</v>
      </c>
      <c r="AG85" s="40" t="e">
        <f>#REF!</f>
        <v>#REF!</v>
      </c>
      <c r="AH85" s="40" t="e">
        <f t="shared" si="117"/>
        <v>#REF!</v>
      </c>
      <c r="AI85" s="38" t="e">
        <f>#REF!</f>
        <v>#REF!</v>
      </c>
      <c r="AJ85" s="39" t="e">
        <f>#REF!</f>
        <v>#REF!</v>
      </c>
      <c r="AK85" s="40" t="e">
        <f>#REF!</f>
        <v>#REF!</v>
      </c>
      <c r="AL85" s="40" t="e">
        <f t="shared" si="118"/>
        <v>#REF!</v>
      </c>
      <c r="AM85" s="38" t="e">
        <f>#REF!</f>
        <v>#REF!</v>
      </c>
      <c r="AN85" s="39" t="e">
        <f>#REF!</f>
        <v>#REF!</v>
      </c>
      <c r="AO85" s="40" t="e">
        <f>#REF!</f>
        <v>#REF!</v>
      </c>
      <c r="AP85" s="40" t="e">
        <f t="shared" si="119"/>
        <v>#REF!</v>
      </c>
      <c r="AQ85" s="38" t="e">
        <f>#REF!</f>
        <v>#REF!</v>
      </c>
      <c r="AR85" s="39" t="e">
        <f>#REF!</f>
        <v>#REF!</v>
      </c>
      <c r="AS85" s="40" t="e">
        <f>#REF!</f>
        <v>#REF!</v>
      </c>
      <c r="AT85" s="40" t="e">
        <f t="shared" si="120"/>
        <v>#REF!</v>
      </c>
      <c r="AU85" s="38" t="e">
        <f>#REF!</f>
        <v>#REF!</v>
      </c>
      <c r="AV85" s="39" t="e">
        <f>#REF!</f>
        <v>#REF!</v>
      </c>
      <c r="AW85" s="40" t="e">
        <f>#REF!</f>
        <v>#REF!</v>
      </c>
      <c r="AX85" s="40" t="e">
        <f t="shared" si="121"/>
        <v>#REF!</v>
      </c>
      <c r="AY85" s="38" t="e">
        <f>#REF!</f>
        <v>#REF!</v>
      </c>
      <c r="AZ85" s="39" t="e">
        <f>#REF!</f>
        <v>#REF!</v>
      </c>
      <c r="BA85" s="40" t="e">
        <f>#REF!</f>
        <v>#REF!</v>
      </c>
      <c r="BB85" s="40" t="e">
        <f t="shared" si="122"/>
        <v>#REF!</v>
      </c>
      <c r="BC85" s="38" t="e">
        <f>#REF!</f>
        <v>#REF!</v>
      </c>
      <c r="BD85" s="39" t="e">
        <f>#REF!</f>
        <v>#REF!</v>
      </c>
      <c r="BE85" s="40" t="e">
        <f>#REF!</f>
        <v>#REF!</v>
      </c>
      <c r="BF85" s="40" t="e">
        <f t="shared" si="123"/>
        <v>#REF!</v>
      </c>
      <c r="BG85" s="38" t="e">
        <f>#REF!</f>
        <v>#REF!</v>
      </c>
      <c r="BH85" s="39" t="e">
        <f>#REF!</f>
        <v>#REF!</v>
      </c>
      <c r="BI85" s="40" t="e">
        <f>#REF!</f>
        <v>#REF!</v>
      </c>
      <c r="BJ85" s="40" t="e">
        <f t="shared" si="124"/>
        <v>#REF!</v>
      </c>
      <c r="BK85" s="38" t="e">
        <f>#REF!</f>
        <v>#REF!</v>
      </c>
      <c r="BL85" s="39" t="e">
        <f>#REF!</f>
        <v>#REF!</v>
      </c>
      <c r="BM85" s="40" t="e">
        <f>#REF!</f>
        <v>#REF!</v>
      </c>
      <c r="BN85" s="40" t="e">
        <f t="shared" si="125"/>
        <v>#REF!</v>
      </c>
      <c r="BO85" s="38" t="e">
        <f>#REF!</f>
        <v>#REF!</v>
      </c>
      <c r="BP85" s="39" t="e">
        <f>#REF!</f>
        <v>#REF!</v>
      </c>
      <c r="BQ85" s="40" t="e">
        <f>#REF!</f>
        <v>#REF!</v>
      </c>
      <c r="BR85" s="40" t="e">
        <f t="shared" si="126"/>
        <v>#REF!</v>
      </c>
      <c r="BS85" s="38" t="e">
        <f>#REF!</f>
        <v>#REF!</v>
      </c>
      <c r="BT85" s="83" t="e">
        <f t="shared" si="132"/>
        <v>#REF!</v>
      </c>
      <c r="BU85" s="82" t="e">
        <f t="shared" si="128"/>
        <v>#REF!</v>
      </c>
      <c r="BV85" s="82" t="e">
        <f t="shared" si="128"/>
        <v>#REF!</v>
      </c>
      <c r="BW85" s="82" t="e">
        <f t="shared" si="129"/>
        <v>#REF!</v>
      </c>
      <c r="BX85" s="82" t="e">
        <f t="shared" si="130"/>
        <v>#REF!</v>
      </c>
      <c r="BY85" s="99" t="e">
        <f t="shared" si="131"/>
        <v>#REF!</v>
      </c>
    </row>
    <row r="86" spans="1:77" x14ac:dyDescent="0.35">
      <c r="A86" s="60" t="e">
        <f>#REF!</f>
        <v>#REF!</v>
      </c>
      <c r="B86" s="148"/>
      <c r="C86" s="41" t="s">
        <v>37</v>
      </c>
      <c r="D86" s="42" t="e">
        <f>#REF!</f>
        <v>#REF!</v>
      </c>
      <c r="E86" s="43" t="e">
        <f>#REF!</f>
        <v>#REF!</v>
      </c>
      <c r="F86" s="43" t="e">
        <f t="shared" si="110"/>
        <v>#REF!</v>
      </c>
      <c r="G86" s="41" t="e">
        <f>#REF!</f>
        <v>#REF!</v>
      </c>
      <c r="H86" s="42" t="e">
        <f>#REF!</f>
        <v>#REF!</v>
      </c>
      <c r="I86" s="43" t="e">
        <f>#REF!</f>
        <v>#REF!</v>
      </c>
      <c r="J86" s="43" t="e">
        <f t="shared" si="111"/>
        <v>#REF!</v>
      </c>
      <c r="K86" s="41" t="e">
        <f>#REF!</f>
        <v>#REF!</v>
      </c>
      <c r="L86" s="42" t="e">
        <f>#REF!</f>
        <v>#REF!</v>
      </c>
      <c r="M86" s="43" t="e">
        <f>#REF!</f>
        <v>#REF!</v>
      </c>
      <c r="N86" s="43" t="e">
        <f t="shared" si="112"/>
        <v>#REF!</v>
      </c>
      <c r="O86" s="41" t="e">
        <f>#REF!</f>
        <v>#REF!</v>
      </c>
      <c r="P86" s="42" t="e">
        <f>#REF!</f>
        <v>#REF!</v>
      </c>
      <c r="Q86" s="43" t="e">
        <f>#REF!</f>
        <v>#REF!</v>
      </c>
      <c r="R86" s="43" t="e">
        <f t="shared" si="113"/>
        <v>#REF!</v>
      </c>
      <c r="S86" s="41" t="e">
        <f>#REF!</f>
        <v>#REF!</v>
      </c>
      <c r="T86" s="42" t="e">
        <f>#REF!</f>
        <v>#REF!</v>
      </c>
      <c r="U86" s="43" t="e">
        <f>#REF!</f>
        <v>#REF!</v>
      </c>
      <c r="V86" s="43" t="e">
        <f t="shared" si="114"/>
        <v>#REF!</v>
      </c>
      <c r="W86" s="41" t="e">
        <f>#REF!</f>
        <v>#REF!</v>
      </c>
      <c r="X86" s="42" t="e">
        <f>#REF!</f>
        <v>#REF!</v>
      </c>
      <c r="Y86" s="43" t="e">
        <f>#REF!</f>
        <v>#REF!</v>
      </c>
      <c r="Z86" s="43" t="e">
        <f t="shared" si="115"/>
        <v>#REF!</v>
      </c>
      <c r="AA86" s="41" t="e">
        <f>#REF!</f>
        <v>#REF!</v>
      </c>
      <c r="AB86" s="42" t="e">
        <f>#REF!</f>
        <v>#REF!</v>
      </c>
      <c r="AC86" s="43" t="e">
        <f>#REF!</f>
        <v>#REF!</v>
      </c>
      <c r="AD86" s="43" t="e">
        <f t="shared" si="116"/>
        <v>#REF!</v>
      </c>
      <c r="AE86" s="41" t="e">
        <f>#REF!</f>
        <v>#REF!</v>
      </c>
      <c r="AF86" s="42" t="e">
        <f>#REF!</f>
        <v>#REF!</v>
      </c>
      <c r="AG86" s="43" t="e">
        <f>#REF!</f>
        <v>#REF!</v>
      </c>
      <c r="AH86" s="43" t="e">
        <f t="shared" si="117"/>
        <v>#REF!</v>
      </c>
      <c r="AI86" s="41" t="e">
        <f>#REF!</f>
        <v>#REF!</v>
      </c>
      <c r="AJ86" s="42" t="e">
        <f>#REF!</f>
        <v>#REF!</v>
      </c>
      <c r="AK86" s="43" t="e">
        <f>#REF!</f>
        <v>#REF!</v>
      </c>
      <c r="AL86" s="43" t="e">
        <f t="shared" si="118"/>
        <v>#REF!</v>
      </c>
      <c r="AM86" s="41" t="e">
        <f>#REF!</f>
        <v>#REF!</v>
      </c>
      <c r="AN86" s="42" t="e">
        <f>#REF!</f>
        <v>#REF!</v>
      </c>
      <c r="AO86" s="43" t="e">
        <f>#REF!</f>
        <v>#REF!</v>
      </c>
      <c r="AP86" s="43" t="e">
        <f t="shared" si="119"/>
        <v>#REF!</v>
      </c>
      <c r="AQ86" s="41" t="e">
        <f>#REF!</f>
        <v>#REF!</v>
      </c>
      <c r="AR86" s="42" t="e">
        <f>#REF!</f>
        <v>#REF!</v>
      </c>
      <c r="AS86" s="43" t="e">
        <f>#REF!</f>
        <v>#REF!</v>
      </c>
      <c r="AT86" s="43" t="e">
        <f t="shared" si="120"/>
        <v>#REF!</v>
      </c>
      <c r="AU86" s="41" t="e">
        <f>#REF!</f>
        <v>#REF!</v>
      </c>
      <c r="AV86" s="42" t="e">
        <f>#REF!</f>
        <v>#REF!</v>
      </c>
      <c r="AW86" s="43" t="e">
        <f>#REF!</f>
        <v>#REF!</v>
      </c>
      <c r="AX86" s="43" t="e">
        <f t="shared" si="121"/>
        <v>#REF!</v>
      </c>
      <c r="AY86" s="41" t="e">
        <f>#REF!</f>
        <v>#REF!</v>
      </c>
      <c r="AZ86" s="42" t="e">
        <f>#REF!</f>
        <v>#REF!</v>
      </c>
      <c r="BA86" s="43" t="e">
        <f>#REF!</f>
        <v>#REF!</v>
      </c>
      <c r="BB86" s="43" t="e">
        <f t="shared" si="122"/>
        <v>#REF!</v>
      </c>
      <c r="BC86" s="41" t="e">
        <f>#REF!</f>
        <v>#REF!</v>
      </c>
      <c r="BD86" s="42" t="e">
        <f>#REF!</f>
        <v>#REF!</v>
      </c>
      <c r="BE86" s="43" t="e">
        <f>#REF!</f>
        <v>#REF!</v>
      </c>
      <c r="BF86" s="43" t="e">
        <f t="shared" si="123"/>
        <v>#REF!</v>
      </c>
      <c r="BG86" s="41" t="e">
        <f>#REF!</f>
        <v>#REF!</v>
      </c>
      <c r="BH86" s="42" t="e">
        <f>#REF!</f>
        <v>#REF!</v>
      </c>
      <c r="BI86" s="43" t="e">
        <f>#REF!</f>
        <v>#REF!</v>
      </c>
      <c r="BJ86" s="43" t="e">
        <f t="shared" si="124"/>
        <v>#REF!</v>
      </c>
      <c r="BK86" s="41" t="e">
        <f>#REF!</f>
        <v>#REF!</v>
      </c>
      <c r="BL86" s="42" t="e">
        <f>#REF!</f>
        <v>#REF!</v>
      </c>
      <c r="BM86" s="43" t="e">
        <f>#REF!</f>
        <v>#REF!</v>
      </c>
      <c r="BN86" s="43" t="e">
        <f t="shared" si="125"/>
        <v>#REF!</v>
      </c>
      <c r="BO86" s="41" t="e">
        <f>#REF!</f>
        <v>#REF!</v>
      </c>
      <c r="BP86" s="42" t="e">
        <f>#REF!</f>
        <v>#REF!</v>
      </c>
      <c r="BQ86" s="43" t="e">
        <f>#REF!</f>
        <v>#REF!</v>
      </c>
      <c r="BR86" s="43" t="e">
        <f t="shared" si="126"/>
        <v>#REF!</v>
      </c>
      <c r="BS86" s="41" t="e">
        <f>#REF!</f>
        <v>#REF!</v>
      </c>
      <c r="BT86" s="85" t="e">
        <f>SUM(E86,I86,M86,Q86,U86,Y86,AC86,AG86,AK86,AO86,AS86,AW86,BA86,BE86,BI86,BM86,BQ86)</f>
        <v>#REF!</v>
      </c>
      <c r="BU86" s="84" t="e">
        <f t="shared" si="128"/>
        <v>#REF!</v>
      </c>
      <c r="BV86" s="84" t="e">
        <f t="shared" si="128"/>
        <v>#REF!</v>
      </c>
      <c r="BW86" s="84" t="e">
        <f t="shared" si="129"/>
        <v>#REF!</v>
      </c>
      <c r="BX86" s="84" t="e">
        <f t="shared" si="130"/>
        <v>#REF!</v>
      </c>
      <c r="BY86" s="100" t="e">
        <f t="shared" si="131"/>
        <v>#REF!</v>
      </c>
    </row>
    <row r="87" spans="1:77" x14ac:dyDescent="0.35">
      <c r="A87" s="47" t="e">
        <f>#REF!</f>
        <v>#REF!</v>
      </c>
      <c r="B87" s="148"/>
      <c r="C87" s="44" t="s">
        <v>38</v>
      </c>
      <c r="D87" s="45" t="e">
        <f>#REF!</f>
        <v>#REF!</v>
      </c>
      <c r="E87" s="46" t="e">
        <f>#REF!</f>
        <v>#REF!</v>
      </c>
      <c r="F87" s="46" t="e">
        <f t="shared" si="110"/>
        <v>#REF!</v>
      </c>
      <c r="G87" s="44" t="e">
        <f>#REF!</f>
        <v>#REF!</v>
      </c>
      <c r="H87" s="45" t="e">
        <f>#REF!</f>
        <v>#REF!</v>
      </c>
      <c r="I87" s="46" t="e">
        <f>#REF!</f>
        <v>#REF!</v>
      </c>
      <c r="J87" s="46" t="e">
        <f t="shared" si="111"/>
        <v>#REF!</v>
      </c>
      <c r="K87" s="44" t="e">
        <f>#REF!</f>
        <v>#REF!</v>
      </c>
      <c r="L87" s="45" t="e">
        <f>#REF!</f>
        <v>#REF!</v>
      </c>
      <c r="M87" s="46" t="e">
        <f>#REF!</f>
        <v>#REF!</v>
      </c>
      <c r="N87" s="46" t="e">
        <f t="shared" si="112"/>
        <v>#REF!</v>
      </c>
      <c r="O87" s="44" t="e">
        <f>#REF!</f>
        <v>#REF!</v>
      </c>
      <c r="P87" s="45" t="e">
        <f>#REF!</f>
        <v>#REF!</v>
      </c>
      <c r="Q87" s="46" t="e">
        <f>#REF!</f>
        <v>#REF!</v>
      </c>
      <c r="R87" s="46" t="e">
        <f t="shared" si="113"/>
        <v>#REF!</v>
      </c>
      <c r="S87" s="44" t="e">
        <f>#REF!</f>
        <v>#REF!</v>
      </c>
      <c r="T87" s="45" t="e">
        <f>#REF!</f>
        <v>#REF!</v>
      </c>
      <c r="U87" s="46" t="e">
        <f>#REF!</f>
        <v>#REF!</v>
      </c>
      <c r="V87" s="46" t="e">
        <f t="shared" si="114"/>
        <v>#REF!</v>
      </c>
      <c r="W87" s="44" t="e">
        <f>#REF!</f>
        <v>#REF!</v>
      </c>
      <c r="X87" s="45" t="e">
        <f>#REF!</f>
        <v>#REF!</v>
      </c>
      <c r="Y87" s="46" t="e">
        <f>#REF!</f>
        <v>#REF!</v>
      </c>
      <c r="Z87" s="46" t="e">
        <f t="shared" si="115"/>
        <v>#REF!</v>
      </c>
      <c r="AA87" s="44" t="e">
        <f>#REF!</f>
        <v>#REF!</v>
      </c>
      <c r="AB87" s="45" t="e">
        <f>#REF!</f>
        <v>#REF!</v>
      </c>
      <c r="AC87" s="46" t="e">
        <f>#REF!</f>
        <v>#REF!</v>
      </c>
      <c r="AD87" s="46" t="e">
        <f t="shared" si="116"/>
        <v>#REF!</v>
      </c>
      <c r="AE87" s="44" t="e">
        <f>#REF!</f>
        <v>#REF!</v>
      </c>
      <c r="AF87" s="45" t="e">
        <f>#REF!</f>
        <v>#REF!</v>
      </c>
      <c r="AG87" s="46" t="e">
        <f>#REF!</f>
        <v>#REF!</v>
      </c>
      <c r="AH87" s="46" t="e">
        <f t="shared" si="117"/>
        <v>#REF!</v>
      </c>
      <c r="AI87" s="44" t="e">
        <f>#REF!</f>
        <v>#REF!</v>
      </c>
      <c r="AJ87" s="45" t="e">
        <f>#REF!</f>
        <v>#REF!</v>
      </c>
      <c r="AK87" s="46" t="e">
        <f>#REF!</f>
        <v>#REF!</v>
      </c>
      <c r="AL87" s="46" t="e">
        <f t="shared" si="118"/>
        <v>#REF!</v>
      </c>
      <c r="AM87" s="44" t="e">
        <f>#REF!</f>
        <v>#REF!</v>
      </c>
      <c r="AN87" s="45" t="e">
        <f>#REF!</f>
        <v>#REF!</v>
      </c>
      <c r="AO87" s="46" t="e">
        <f>#REF!</f>
        <v>#REF!</v>
      </c>
      <c r="AP87" s="46" t="e">
        <f t="shared" si="119"/>
        <v>#REF!</v>
      </c>
      <c r="AQ87" s="44" t="e">
        <f>#REF!</f>
        <v>#REF!</v>
      </c>
      <c r="AR87" s="45" t="e">
        <f>#REF!</f>
        <v>#REF!</v>
      </c>
      <c r="AS87" s="46" t="e">
        <f>#REF!</f>
        <v>#REF!</v>
      </c>
      <c r="AT87" s="46" t="e">
        <f t="shared" si="120"/>
        <v>#REF!</v>
      </c>
      <c r="AU87" s="44" t="e">
        <f>#REF!</f>
        <v>#REF!</v>
      </c>
      <c r="AV87" s="45" t="e">
        <f>#REF!</f>
        <v>#REF!</v>
      </c>
      <c r="AW87" s="46" t="e">
        <f>#REF!</f>
        <v>#REF!</v>
      </c>
      <c r="AX87" s="46" t="e">
        <f t="shared" si="121"/>
        <v>#REF!</v>
      </c>
      <c r="AY87" s="44" t="e">
        <f>#REF!</f>
        <v>#REF!</v>
      </c>
      <c r="AZ87" s="45" t="e">
        <f>#REF!</f>
        <v>#REF!</v>
      </c>
      <c r="BA87" s="46" t="e">
        <f>#REF!</f>
        <v>#REF!</v>
      </c>
      <c r="BB87" s="46" t="e">
        <f t="shared" si="122"/>
        <v>#REF!</v>
      </c>
      <c r="BC87" s="44" t="e">
        <f>#REF!</f>
        <v>#REF!</v>
      </c>
      <c r="BD87" s="45" t="e">
        <f>#REF!</f>
        <v>#REF!</v>
      </c>
      <c r="BE87" s="46" t="e">
        <f>#REF!</f>
        <v>#REF!</v>
      </c>
      <c r="BF87" s="46" t="e">
        <f t="shared" si="123"/>
        <v>#REF!</v>
      </c>
      <c r="BG87" s="44" t="e">
        <f>#REF!</f>
        <v>#REF!</v>
      </c>
      <c r="BH87" s="45" t="e">
        <f>#REF!</f>
        <v>#REF!</v>
      </c>
      <c r="BI87" s="46" t="e">
        <f>#REF!</f>
        <v>#REF!</v>
      </c>
      <c r="BJ87" s="46" t="e">
        <f t="shared" si="124"/>
        <v>#REF!</v>
      </c>
      <c r="BK87" s="44" t="e">
        <f>#REF!</f>
        <v>#REF!</v>
      </c>
      <c r="BL87" s="45" t="e">
        <f>#REF!</f>
        <v>#REF!</v>
      </c>
      <c r="BM87" s="46" t="e">
        <f>#REF!</f>
        <v>#REF!</v>
      </c>
      <c r="BN87" s="46" t="e">
        <f t="shared" si="125"/>
        <v>#REF!</v>
      </c>
      <c r="BO87" s="44" t="e">
        <f>#REF!</f>
        <v>#REF!</v>
      </c>
      <c r="BP87" s="45" t="e">
        <f>#REF!</f>
        <v>#REF!</v>
      </c>
      <c r="BQ87" s="46" t="e">
        <f>#REF!</f>
        <v>#REF!</v>
      </c>
      <c r="BR87" s="46" t="e">
        <f t="shared" si="126"/>
        <v>#REF!</v>
      </c>
      <c r="BS87" s="44" t="e">
        <f>#REF!</f>
        <v>#REF!</v>
      </c>
      <c r="BT87" s="87" t="e">
        <f t="shared" ref="BT87:BT90" si="133">SUM(E87,I87,M87,Q87,U87,Y87,AC87,AG87,AK87,AO87,AS87,AW87,BA87,BE87,BI87,BM87,BQ87)</f>
        <v>#REF!</v>
      </c>
      <c r="BU87" s="86" t="e">
        <f t="shared" si="128"/>
        <v>#REF!</v>
      </c>
      <c r="BV87" s="86" t="e">
        <f t="shared" si="128"/>
        <v>#REF!</v>
      </c>
      <c r="BW87" s="86" t="e">
        <f t="shared" si="129"/>
        <v>#REF!</v>
      </c>
      <c r="BX87" s="86" t="e">
        <f t="shared" si="130"/>
        <v>#REF!</v>
      </c>
      <c r="BY87" s="101" t="e">
        <f t="shared" si="131"/>
        <v>#REF!</v>
      </c>
    </row>
    <row r="88" spans="1:77" x14ac:dyDescent="0.35">
      <c r="A88" s="61" t="e">
        <f>#REF!</f>
        <v>#REF!</v>
      </c>
      <c r="B88" s="148"/>
      <c r="C88" s="104" t="s">
        <v>39</v>
      </c>
      <c r="D88" s="107" t="e">
        <f>#REF!</f>
        <v>#REF!</v>
      </c>
      <c r="E88" s="61" t="e">
        <f>#REF!</f>
        <v>#REF!</v>
      </c>
      <c r="F88" s="61" t="e">
        <f t="shared" si="110"/>
        <v>#REF!</v>
      </c>
      <c r="G88" s="104" t="e">
        <f>#REF!</f>
        <v>#REF!</v>
      </c>
      <c r="H88" s="107" t="e">
        <f>#REF!</f>
        <v>#REF!</v>
      </c>
      <c r="I88" s="61" t="e">
        <f>#REF!</f>
        <v>#REF!</v>
      </c>
      <c r="J88" s="61" t="e">
        <f t="shared" si="111"/>
        <v>#REF!</v>
      </c>
      <c r="K88" s="104" t="e">
        <f>#REF!</f>
        <v>#REF!</v>
      </c>
      <c r="L88" s="107" t="e">
        <f>#REF!</f>
        <v>#REF!</v>
      </c>
      <c r="M88" s="61" t="e">
        <f>#REF!</f>
        <v>#REF!</v>
      </c>
      <c r="N88" s="61" t="e">
        <f t="shared" si="112"/>
        <v>#REF!</v>
      </c>
      <c r="O88" s="104" t="e">
        <f>#REF!</f>
        <v>#REF!</v>
      </c>
      <c r="P88" s="107" t="e">
        <f>#REF!</f>
        <v>#REF!</v>
      </c>
      <c r="Q88" s="61" t="e">
        <f>#REF!</f>
        <v>#REF!</v>
      </c>
      <c r="R88" s="61" t="e">
        <f t="shared" si="113"/>
        <v>#REF!</v>
      </c>
      <c r="S88" s="104" t="e">
        <f>#REF!</f>
        <v>#REF!</v>
      </c>
      <c r="T88" s="107" t="e">
        <f>#REF!</f>
        <v>#REF!</v>
      </c>
      <c r="U88" s="61" t="e">
        <f>#REF!</f>
        <v>#REF!</v>
      </c>
      <c r="V88" s="61" t="e">
        <f t="shared" si="114"/>
        <v>#REF!</v>
      </c>
      <c r="W88" s="104" t="e">
        <f>#REF!</f>
        <v>#REF!</v>
      </c>
      <c r="X88" s="107" t="e">
        <f>#REF!</f>
        <v>#REF!</v>
      </c>
      <c r="Y88" s="61" t="e">
        <f>#REF!</f>
        <v>#REF!</v>
      </c>
      <c r="Z88" s="61" t="e">
        <f t="shared" si="115"/>
        <v>#REF!</v>
      </c>
      <c r="AA88" s="104" t="e">
        <f>#REF!</f>
        <v>#REF!</v>
      </c>
      <c r="AB88" s="107" t="e">
        <f>#REF!</f>
        <v>#REF!</v>
      </c>
      <c r="AC88" s="61" t="e">
        <f>#REF!</f>
        <v>#REF!</v>
      </c>
      <c r="AD88" s="61" t="e">
        <f t="shared" si="116"/>
        <v>#REF!</v>
      </c>
      <c r="AE88" s="104" t="e">
        <f>#REF!</f>
        <v>#REF!</v>
      </c>
      <c r="AF88" s="107" t="e">
        <f>#REF!</f>
        <v>#REF!</v>
      </c>
      <c r="AG88" s="61" t="e">
        <f>#REF!</f>
        <v>#REF!</v>
      </c>
      <c r="AH88" s="61" t="e">
        <f t="shared" si="117"/>
        <v>#REF!</v>
      </c>
      <c r="AI88" s="104" t="e">
        <f>#REF!</f>
        <v>#REF!</v>
      </c>
      <c r="AJ88" s="107" t="e">
        <f>#REF!</f>
        <v>#REF!</v>
      </c>
      <c r="AK88" s="61" t="e">
        <f>#REF!</f>
        <v>#REF!</v>
      </c>
      <c r="AL88" s="61" t="e">
        <f t="shared" si="118"/>
        <v>#REF!</v>
      </c>
      <c r="AM88" s="104" t="e">
        <f>#REF!</f>
        <v>#REF!</v>
      </c>
      <c r="AN88" s="107" t="e">
        <f>#REF!</f>
        <v>#REF!</v>
      </c>
      <c r="AO88" s="61" t="e">
        <f>#REF!</f>
        <v>#REF!</v>
      </c>
      <c r="AP88" s="61" t="e">
        <f t="shared" si="119"/>
        <v>#REF!</v>
      </c>
      <c r="AQ88" s="104" t="e">
        <f>#REF!</f>
        <v>#REF!</v>
      </c>
      <c r="AR88" s="107" t="e">
        <f>#REF!</f>
        <v>#REF!</v>
      </c>
      <c r="AS88" s="61" t="e">
        <f>#REF!</f>
        <v>#REF!</v>
      </c>
      <c r="AT88" s="61" t="e">
        <f t="shared" si="120"/>
        <v>#REF!</v>
      </c>
      <c r="AU88" s="104" t="e">
        <f>#REF!</f>
        <v>#REF!</v>
      </c>
      <c r="AV88" s="107" t="e">
        <f>#REF!</f>
        <v>#REF!</v>
      </c>
      <c r="AW88" s="61" t="e">
        <f>#REF!</f>
        <v>#REF!</v>
      </c>
      <c r="AX88" s="61" t="e">
        <f t="shared" si="121"/>
        <v>#REF!</v>
      </c>
      <c r="AY88" s="104" t="e">
        <f>#REF!</f>
        <v>#REF!</v>
      </c>
      <c r="AZ88" s="107" t="e">
        <f>#REF!</f>
        <v>#REF!</v>
      </c>
      <c r="BA88" s="61" t="e">
        <f>#REF!</f>
        <v>#REF!</v>
      </c>
      <c r="BB88" s="61" t="e">
        <f t="shared" si="122"/>
        <v>#REF!</v>
      </c>
      <c r="BC88" s="104" t="e">
        <f>#REF!</f>
        <v>#REF!</v>
      </c>
      <c r="BD88" s="107" t="e">
        <f>#REF!</f>
        <v>#REF!</v>
      </c>
      <c r="BE88" s="61" t="e">
        <f>#REF!</f>
        <v>#REF!</v>
      </c>
      <c r="BF88" s="61" t="e">
        <f t="shared" si="123"/>
        <v>#REF!</v>
      </c>
      <c r="BG88" s="104" t="e">
        <f>#REF!</f>
        <v>#REF!</v>
      </c>
      <c r="BH88" s="107" t="e">
        <f>#REF!</f>
        <v>#REF!</v>
      </c>
      <c r="BI88" s="61" t="e">
        <f>#REF!</f>
        <v>#REF!</v>
      </c>
      <c r="BJ88" s="61" t="e">
        <f t="shared" si="124"/>
        <v>#REF!</v>
      </c>
      <c r="BK88" s="104" t="e">
        <f>#REF!</f>
        <v>#REF!</v>
      </c>
      <c r="BL88" s="107" t="e">
        <f>#REF!</f>
        <v>#REF!</v>
      </c>
      <c r="BM88" s="61" t="e">
        <f>#REF!</f>
        <v>#REF!</v>
      </c>
      <c r="BN88" s="61" t="e">
        <f t="shared" si="125"/>
        <v>#REF!</v>
      </c>
      <c r="BO88" s="104" t="e">
        <f>#REF!</f>
        <v>#REF!</v>
      </c>
      <c r="BP88" s="107" t="e">
        <f>#REF!</f>
        <v>#REF!</v>
      </c>
      <c r="BQ88" s="61" t="e">
        <f>#REF!</f>
        <v>#REF!</v>
      </c>
      <c r="BR88" s="61" t="e">
        <f t="shared" si="126"/>
        <v>#REF!</v>
      </c>
      <c r="BS88" s="104" t="e">
        <f>#REF!</f>
        <v>#REF!</v>
      </c>
      <c r="BT88" s="106" t="e">
        <f t="shared" si="133"/>
        <v>#REF!</v>
      </c>
      <c r="BU88" s="105" t="e">
        <f t="shared" si="128"/>
        <v>#REF!</v>
      </c>
      <c r="BV88" s="105" t="e">
        <f>SUM(BS88,BO88,BK88,BG88,BC88,AY88,AU88,AQ88,AM88,AI88,AE88,AA88,W88,S88,O88,K88,G88)</f>
        <v>#REF!</v>
      </c>
      <c r="BW88" s="105" t="e">
        <f t="shared" si="129"/>
        <v>#REF!</v>
      </c>
      <c r="BX88" s="105" t="e">
        <f t="shared" si="130"/>
        <v>#REF!</v>
      </c>
      <c r="BY88" s="110" t="e">
        <f t="shared" si="131"/>
        <v>#REF!</v>
      </c>
    </row>
    <row r="89" spans="1:77" x14ac:dyDescent="0.35">
      <c r="A89" s="108" t="e">
        <f>#REF!</f>
        <v>#REF!</v>
      </c>
      <c r="B89" s="148"/>
      <c r="C89" s="112" t="s">
        <v>42</v>
      </c>
      <c r="D89" s="114" t="e">
        <f>#REF!</f>
        <v>#REF!</v>
      </c>
      <c r="E89" s="108" t="e">
        <f>#REF!</f>
        <v>#REF!</v>
      </c>
      <c r="F89" s="108" t="e">
        <f t="shared" si="110"/>
        <v>#REF!</v>
      </c>
      <c r="G89" s="112" t="e">
        <f>#REF!</f>
        <v>#REF!</v>
      </c>
      <c r="H89" s="114" t="e">
        <f>#REF!</f>
        <v>#REF!</v>
      </c>
      <c r="I89" s="108" t="e">
        <f>#REF!</f>
        <v>#REF!</v>
      </c>
      <c r="J89" s="108" t="e">
        <f t="shared" si="111"/>
        <v>#REF!</v>
      </c>
      <c r="K89" s="112" t="e">
        <f>#REF!</f>
        <v>#REF!</v>
      </c>
      <c r="L89" s="114" t="e">
        <f>#REF!</f>
        <v>#REF!</v>
      </c>
      <c r="M89" s="108" t="e">
        <f>#REF!</f>
        <v>#REF!</v>
      </c>
      <c r="N89" s="108" t="e">
        <f t="shared" si="112"/>
        <v>#REF!</v>
      </c>
      <c r="O89" s="112" t="e">
        <f>#REF!</f>
        <v>#REF!</v>
      </c>
      <c r="P89" s="114" t="e">
        <f>#REF!</f>
        <v>#REF!</v>
      </c>
      <c r="Q89" s="108" t="e">
        <f>#REF!</f>
        <v>#REF!</v>
      </c>
      <c r="R89" s="108" t="e">
        <f t="shared" si="113"/>
        <v>#REF!</v>
      </c>
      <c r="S89" s="112" t="e">
        <f>#REF!</f>
        <v>#REF!</v>
      </c>
      <c r="T89" s="114" t="e">
        <f>#REF!</f>
        <v>#REF!</v>
      </c>
      <c r="U89" s="108" t="e">
        <f>#REF!</f>
        <v>#REF!</v>
      </c>
      <c r="V89" s="108" t="e">
        <f t="shared" si="114"/>
        <v>#REF!</v>
      </c>
      <c r="W89" s="112" t="e">
        <f>#REF!</f>
        <v>#REF!</v>
      </c>
      <c r="X89" s="114" t="e">
        <f>#REF!</f>
        <v>#REF!</v>
      </c>
      <c r="Y89" s="108" t="e">
        <f>#REF!</f>
        <v>#REF!</v>
      </c>
      <c r="Z89" s="108" t="e">
        <f t="shared" si="115"/>
        <v>#REF!</v>
      </c>
      <c r="AA89" s="112" t="e">
        <f>#REF!</f>
        <v>#REF!</v>
      </c>
      <c r="AB89" s="114" t="e">
        <f>#REF!</f>
        <v>#REF!</v>
      </c>
      <c r="AC89" s="108" t="e">
        <f>#REF!</f>
        <v>#REF!</v>
      </c>
      <c r="AD89" s="108" t="e">
        <f t="shared" si="116"/>
        <v>#REF!</v>
      </c>
      <c r="AE89" s="112" t="e">
        <f>#REF!</f>
        <v>#REF!</v>
      </c>
      <c r="AF89" s="114" t="e">
        <f>#REF!</f>
        <v>#REF!</v>
      </c>
      <c r="AG89" s="108" t="e">
        <f>#REF!</f>
        <v>#REF!</v>
      </c>
      <c r="AH89" s="108" t="e">
        <f t="shared" si="117"/>
        <v>#REF!</v>
      </c>
      <c r="AI89" s="112" t="e">
        <f>#REF!</f>
        <v>#REF!</v>
      </c>
      <c r="AJ89" s="114" t="e">
        <f>#REF!</f>
        <v>#REF!</v>
      </c>
      <c r="AK89" s="108" t="e">
        <f>#REF!</f>
        <v>#REF!</v>
      </c>
      <c r="AL89" s="108" t="e">
        <f t="shared" si="118"/>
        <v>#REF!</v>
      </c>
      <c r="AM89" s="112" t="e">
        <f>#REF!</f>
        <v>#REF!</v>
      </c>
      <c r="AN89" s="114" t="e">
        <f>#REF!</f>
        <v>#REF!</v>
      </c>
      <c r="AO89" s="108" t="e">
        <f>#REF!</f>
        <v>#REF!</v>
      </c>
      <c r="AP89" s="108" t="e">
        <f t="shared" si="119"/>
        <v>#REF!</v>
      </c>
      <c r="AQ89" s="112" t="e">
        <f>#REF!</f>
        <v>#REF!</v>
      </c>
      <c r="AR89" s="114" t="e">
        <f>#REF!</f>
        <v>#REF!</v>
      </c>
      <c r="AS89" s="108" t="e">
        <f>#REF!</f>
        <v>#REF!</v>
      </c>
      <c r="AT89" s="108" t="e">
        <f t="shared" si="120"/>
        <v>#REF!</v>
      </c>
      <c r="AU89" s="112" t="e">
        <f>#REF!</f>
        <v>#REF!</v>
      </c>
      <c r="AV89" s="114" t="e">
        <f>#REF!</f>
        <v>#REF!</v>
      </c>
      <c r="AW89" s="108" t="e">
        <f>#REF!</f>
        <v>#REF!</v>
      </c>
      <c r="AX89" s="108" t="e">
        <f t="shared" si="121"/>
        <v>#REF!</v>
      </c>
      <c r="AY89" s="112" t="e">
        <f>#REF!</f>
        <v>#REF!</v>
      </c>
      <c r="AZ89" s="114" t="e">
        <f>#REF!</f>
        <v>#REF!</v>
      </c>
      <c r="BA89" s="108" t="e">
        <f>#REF!</f>
        <v>#REF!</v>
      </c>
      <c r="BB89" s="108" t="e">
        <f t="shared" si="122"/>
        <v>#REF!</v>
      </c>
      <c r="BC89" s="112" t="e">
        <f>#REF!</f>
        <v>#REF!</v>
      </c>
      <c r="BD89" s="114" t="e">
        <f>#REF!</f>
        <v>#REF!</v>
      </c>
      <c r="BE89" s="108" t="e">
        <f>#REF!</f>
        <v>#REF!</v>
      </c>
      <c r="BF89" s="108" t="e">
        <f t="shared" si="123"/>
        <v>#REF!</v>
      </c>
      <c r="BG89" s="112" t="e">
        <f>#REF!</f>
        <v>#REF!</v>
      </c>
      <c r="BH89" s="114" t="e">
        <f>#REF!</f>
        <v>#REF!</v>
      </c>
      <c r="BI89" s="108" t="e">
        <f>#REF!</f>
        <v>#REF!</v>
      </c>
      <c r="BJ89" s="108" t="e">
        <f t="shared" si="124"/>
        <v>#REF!</v>
      </c>
      <c r="BK89" s="112" t="e">
        <f>#REF!</f>
        <v>#REF!</v>
      </c>
      <c r="BL89" s="114" t="e">
        <f>#REF!</f>
        <v>#REF!</v>
      </c>
      <c r="BM89" s="108" t="e">
        <f>#REF!</f>
        <v>#REF!</v>
      </c>
      <c r="BN89" s="108" t="e">
        <f t="shared" si="125"/>
        <v>#REF!</v>
      </c>
      <c r="BO89" s="112" t="e">
        <f>#REF!</f>
        <v>#REF!</v>
      </c>
      <c r="BP89" s="114" t="e">
        <f>#REF!</f>
        <v>#REF!</v>
      </c>
      <c r="BQ89" s="108" t="e">
        <f>#REF!</f>
        <v>#REF!</v>
      </c>
      <c r="BR89" s="108" t="e">
        <f t="shared" si="126"/>
        <v>#REF!</v>
      </c>
      <c r="BS89" s="112" t="e">
        <f>#REF!</f>
        <v>#REF!</v>
      </c>
      <c r="BT89" s="114" t="e">
        <f t="shared" si="133"/>
        <v>#REF!</v>
      </c>
      <c r="BU89" s="108" t="e">
        <f t="shared" si="128"/>
        <v>#REF!</v>
      </c>
      <c r="BV89" s="108" t="e">
        <f t="shared" si="128"/>
        <v>#REF!</v>
      </c>
      <c r="BW89" s="108" t="e">
        <f t="shared" si="129"/>
        <v>#REF!</v>
      </c>
      <c r="BX89" s="108" t="e">
        <f t="shared" si="130"/>
        <v>#REF!</v>
      </c>
      <c r="BY89" s="108" t="e">
        <f t="shared" si="131"/>
        <v>#REF!</v>
      </c>
    </row>
    <row r="90" spans="1:77" x14ac:dyDescent="0.35">
      <c r="A90" s="109" t="e">
        <f>#REF!</f>
        <v>#REF!</v>
      </c>
      <c r="B90" s="169"/>
      <c r="C90" s="113" t="s">
        <v>43</v>
      </c>
      <c r="D90" s="115" t="e">
        <f>#REF!</f>
        <v>#REF!</v>
      </c>
      <c r="E90" s="109" t="e">
        <f>#REF!</f>
        <v>#REF!</v>
      </c>
      <c r="F90" s="109" t="e">
        <f t="shared" si="110"/>
        <v>#REF!</v>
      </c>
      <c r="G90" s="113" t="e">
        <f>#REF!</f>
        <v>#REF!</v>
      </c>
      <c r="H90" s="115" t="e">
        <f>#REF!</f>
        <v>#REF!</v>
      </c>
      <c r="I90" s="109" t="e">
        <f>#REF!</f>
        <v>#REF!</v>
      </c>
      <c r="J90" s="109" t="e">
        <f t="shared" si="111"/>
        <v>#REF!</v>
      </c>
      <c r="K90" s="113" t="e">
        <f>#REF!</f>
        <v>#REF!</v>
      </c>
      <c r="L90" s="115" t="e">
        <f>#REF!</f>
        <v>#REF!</v>
      </c>
      <c r="M90" s="109" t="e">
        <f>#REF!</f>
        <v>#REF!</v>
      </c>
      <c r="N90" s="109" t="e">
        <f t="shared" si="112"/>
        <v>#REF!</v>
      </c>
      <c r="O90" s="113" t="e">
        <f>#REF!</f>
        <v>#REF!</v>
      </c>
      <c r="P90" s="115" t="e">
        <f>#REF!</f>
        <v>#REF!</v>
      </c>
      <c r="Q90" s="109" t="e">
        <f>#REF!</f>
        <v>#REF!</v>
      </c>
      <c r="R90" s="109" t="e">
        <f t="shared" si="113"/>
        <v>#REF!</v>
      </c>
      <c r="S90" s="113" t="e">
        <f>#REF!</f>
        <v>#REF!</v>
      </c>
      <c r="T90" s="115" t="e">
        <f>#REF!</f>
        <v>#REF!</v>
      </c>
      <c r="U90" s="109" t="e">
        <f>#REF!</f>
        <v>#REF!</v>
      </c>
      <c r="V90" s="109" t="e">
        <f t="shared" si="114"/>
        <v>#REF!</v>
      </c>
      <c r="W90" s="113" t="e">
        <f>#REF!</f>
        <v>#REF!</v>
      </c>
      <c r="X90" s="115" t="e">
        <f>#REF!</f>
        <v>#REF!</v>
      </c>
      <c r="Y90" s="109" t="e">
        <f>#REF!</f>
        <v>#REF!</v>
      </c>
      <c r="Z90" s="109" t="e">
        <f t="shared" si="115"/>
        <v>#REF!</v>
      </c>
      <c r="AA90" s="113" t="e">
        <f>#REF!</f>
        <v>#REF!</v>
      </c>
      <c r="AB90" s="115" t="e">
        <f>#REF!</f>
        <v>#REF!</v>
      </c>
      <c r="AC90" s="109" t="e">
        <f>#REF!</f>
        <v>#REF!</v>
      </c>
      <c r="AD90" s="109" t="e">
        <f t="shared" si="116"/>
        <v>#REF!</v>
      </c>
      <c r="AE90" s="113" t="e">
        <f>#REF!</f>
        <v>#REF!</v>
      </c>
      <c r="AF90" s="115" t="e">
        <f>#REF!</f>
        <v>#REF!</v>
      </c>
      <c r="AG90" s="109" t="e">
        <f>#REF!</f>
        <v>#REF!</v>
      </c>
      <c r="AH90" s="109" t="e">
        <f t="shared" si="117"/>
        <v>#REF!</v>
      </c>
      <c r="AI90" s="113" t="e">
        <f>#REF!</f>
        <v>#REF!</v>
      </c>
      <c r="AJ90" s="115" t="e">
        <f>#REF!</f>
        <v>#REF!</v>
      </c>
      <c r="AK90" s="109" t="e">
        <f>#REF!</f>
        <v>#REF!</v>
      </c>
      <c r="AL90" s="109" t="e">
        <f t="shared" si="118"/>
        <v>#REF!</v>
      </c>
      <c r="AM90" s="113" t="e">
        <f>#REF!</f>
        <v>#REF!</v>
      </c>
      <c r="AN90" s="115" t="e">
        <f>#REF!</f>
        <v>#REF!</v>
      </c>
      <c r="AO90" s="109" t="e">
        <f>#REF!</f>
        <v>#REF!</v>
      </c>
      <c r="AP90" s="109" t="e">
        <f t="shared" si="119"/>
        <v>#REF!</v>
      </c>
      <c r="AQ90" s="113" t="e">
        <f>#REF!</f>
        <v>#REF!</v>
      </c>
      <c r="AR90" s="115" t="e">
        <f>#REF!</f>
        <v>#REF!</v>
      </c>
      <c r="AS90" s="109" t="e">
        <f>#REF!</f>
        <v>#REF!</v>
      </c>
      <c r="AT90" s="109" t="e">
        <f t="shared" si="120"/>
        <v>#REF!</v>
      </c>
      <c r="AU90" s="113" t="e">
        <f>#REF!</f>
        <v>#REF!</v>
      </c>
      <c r="AV90" s="115" t="e">
        <f>#REF!</f>
        <v>#REF!</v>
      </c>
      <c r="AW90" s="109" t="e">
        <f>#REF!</f>
        <v>#REF!</v>
      </c>
      <c r="AX90" s="109" t="e">
        <f t="shared" si="121"/>
        <v>#REF!</v>
      </c>
      <c r="AY90" s="113" t="e">
        <f>#REF!</f>
        <v>#REF!</v>
      </c>
      <c r="AZ90" s="115" t="e">
        <f>#REF!</f>
        <v>#REF!</v>
      </c>
      <c r="BA90" s="109" t="e">
        <f>#REF!</f>
        <v>#REF!</v>
      </c>
      <c r="BB90" s="109" t="e">
        <f t="shared" si="122"/>
        <v>#REF!</v>
      </c>
      <c r="BC90" s="113" t="e">
        <f>#REF!</f>
        <v>#REF!</v>
      </c>
      <c r="BD90" s="115" t="e">
        <f>#REF!</f>
        <v>#REF!</v>
      </c>
      <c r="BE90" s="109" t="e">
        <f>#REF!</f>
        <v>#REF!</v>
      </c>
      <c r="BF90" s="109" t="e">
        <f t="shared" si="123"/>
        <v>#REF!</v>
      </c>
      <c r="BG90" s="113" t="e">
        <f>#REF!</f>
        <v>#REF!</v>
      </c>
      <c r="BH90" s="115" t="e">
        <f>#REF!</f>
        <v>#REF!</v>
      </c>
      <c r="BI90" s="109" t="e">
        <f>#REF!</f>
        <v>#REF!</v>
      </c>
      <c r="BJ90" s="109" t="e">
        <f t="shared" si="124"/>
        <v>#REF!</v>
      </c>
      <c r="BK90" s="113" t="e">
        <f>#REF!</f>
        <v>#REF!</v>
      </c>
      <c r="BL90" s="115" t="e">
        <f>#REF!</f>
        <v>#REF!</v>
      </c>
      <c r="BM90" s="109" t="e">
        <f>#REF!</f>
        <v>#REF!</v>
      </c>
      <c r="BN90" s="109" t="e">
        <f t="shared" si="125"/>
        <v>#REF!</v>
      </c>
      <c r="BO90" s="113" t="e">
        <f>#REF!</f>
        <v>#REF!</v>
      </c>
      <c r="BP90" s="115" t="e">
        <f>#REF!</f>
        <v>#REF!</v>
      </c>
      <c r="BQ90" s="109" t="e">
        <f>#REF!</f>
        <v>#REF!</v>
      </c>
      <c r="BR90" s="109" t="e">
        <f t="shared" si="126"/>
        <v>#REF!</v>
      </c>
      <c r="BS90" s="113" t="e">
        <f>#REF!</f>
        <v>#REF!</v>
      </c>
      <c r="BT90" s="115" t="e">
        <f t="shared" si="133"/>
        <v>#REF!</v>
      </c>
      <c r="BU90" s="109" t="e">
        <f t="shared" si="128"/>
        <v>#REF!</v>
      </c>
      <c r="BV90" s="109" t="e">
        <f t="shared" si="128"/>
        <v>#REF!</v>
      </c>
      <c r="BW90" s="109" t="e">
        <f t="shared" si="129"/>
        <v>#REF!</v>
      </c>
      <c r="BX90" s="109" t="e">
        <f t="shared" si="130"/>
        <v>#REF!</v>
      </c>
      <c r="BY90" s="109" t="e">
        <f t="shared" si="131"/>
        <v>#REF!</v>
      </c>
    </row>
    <row r="91" spans="1:77" ht="15" thickBot="1" x14ac:dyDescent="0.4">
      <c r="C91" s="5" t="s">
        <v>40</v>
      </c>
      <c r="D91" s="116" t="e">
        <f t="shared" ref="D91:BO91" si="134">AVERAGE(D75:D88)</f>
        <v>#REF!</v>
      </c>
      <c r="E91" s="48" t="e">
        <f t="shared" si="134"/>
        <v>#REF!</v>
      </c>
      <c r="F91" s="48" t="e">
        <f t="shared" si="134"/>
        <v>#REF!</v>
      </c>
      <c r="G91" s="5" t="e">
        <f t="shared" si="134"/>
        <v>#REF!</v>
      </c>
      <c r="H91" s="116" t="e">
        <f t="shared" si="134"/>
        <v>#REF!</v>
      </c>
      <c r="I91" s="48" t="e">
        <f t="shared" si="134"/>
        <v>#REF!</v>
      </c>
      <c r="J91" s="48" t="e">
        <f t="shared" si="134"/>
        <v>#REF!</v>
      </c>
      <c r="K91" s="5" t="e">
        <f t="shared" si="134"/>
        <v>#REF!</v>
      </c>
      <c r="L91" s="116" t="e">
        <f t="shared" si="134"/>
        <v>#REF!</v>
      </c>
      <c r="M91" s="48" t="e">
        <f t="shared" si="134"/>
        <v>#REF!</v>
      </c>
      <c r="N91" s="48" t="e">
        <f t="shared" si="134"/>
        <v>#REF!</v>
      </c>
      <c r="O91" s="5" t="e">
        <f t="shared" si="134"/>
        <v>#REF!</v>
      </c>
      <c r="P91" s="116" t="e">
        <f t="shared" si="134"/>
        <v>#REF!</v>
      </c>
      <c r="Q91" s="48" t="e">
        <f t="shared" si="134"/>
        <v>#REF!</v>
      </c>
      <c r="R91" s="48" t="e">
        <f t="shared" si="134"/>
        <v>#REF!</v>
      </c>
      <c r="S91" s="5" t="e">
        <f t="shared" si="134"/>
        <v>#REF!</v>
      </c>
      <c r="T91" s="116" t="e">
        <f t="shared" si="134"/>
        <v>#REF!</v>
      </c>
      <c r="U91" s="48" t="e">
        <f t="shared" si="134"/>
        <v>#REF!</v>
      </c>
      <c r="V91" s="48" t="e">
        <f t="shared" si="134"/>
        <v>#REF!</v>
      </c>
      <c r="W91" s="5" t="e">
        <f t="shared" si="134"/>
        <v>#REF!</v>
      </c>
      <c r="X91" s="116" t="e">
        <f t="shared" si="134"/>
        <v>#REF!</v>
      </c>
      <c r="Y91" s="48" t="e">
        <f t="shared" si="134"/>
        <v>#REF!</v>
      </c>
      <c r="Z91" s="48" t="e">
        <f t="shared" si="134"/>
        <v>#REF!</v>
      </c>
      <c r="AA91" s="5" t="e">
        <f t="shared" si="134"/>
        <v>#REF!</v>
      </c>
      <c r="AB91" s="116" t="e">
        <f t="shared" si="134"/>
        <v>#REF!</v>
      </c>
      <c r="AC91" s="48" t="e">
        <f t="shared" si="134"/>
        <v>#REF!</v>
      </c>
      <c r="AD91" s="48" t="e">
        <f t="shared" si="134"/>
        <v>#REF!</v>
      </c>
      <c r="AE91" s="5" t="e">
        <f t="shared" si="134"/>
        <v>#REF!</v>
      </c>
      <c r="AF91" s="116" t="e">
        <f t="shared" si="134"/>
        <v>#REF!</v>
      </c>
      <c r="AG91" s="48" t="e">
        <f t="shared" si="134"/>
        <v>#REF!</v>
      </c>
      <c r="AH91" s="48" t="e">
        <f t="shared" si="134"/>
        <v>#REF!</v>
      </c>
      <c r="AI91" s="5" t="e">
        <f t="shared" si="134"/>
        <v>#REF!</v>
      </c>
      <c r="AJ91" s="116" t="e">
        <f t="shared" si="134"/>
        <v>#REF!</v>
      </c>
      <c r="AK91" s="48" t="e">
        <f t="shared" si="134"/>
        <v>#REF!</v>
      </c>
      <c r="AL91" s="48" t="e">
        <f t="shared" si="134"/>
        <v>#REF!</v>
      </c>
      <c r="AM91" s="5" t="e">
        <f t="shared" si="134"/>
        <v>#REF!</v>
      </c>
      <c r="AN91" s="116" t="e">
        <f t="shared" si="134"/>
        <v>#REF!</v>
      </c>
      <c r="AO91" s="48" t="e">
        <f t="shared" si="134"/>
        <v>#REF!</v>
      </c>
      <c r="AP91" s="48" t="e">
        <f t="shared" si="134"/>
        <v>#REF!</v>
      </c>
      <c r="AQ91" s="5" t="e">
        <f t="shared" si="134"/>
        <v>#REF!</v>
      </c>
      <c r="AR91" s="116" t="e">
        <f t="shared" si="134"/>
        <v>#REF!</v>
      </c>
      <c r="AS91" s="48" t="e">
        <f t="shared" si="134"/>
        <v>#REF!</v>
      </c>
      <c r="AT91" s="48" t="e">
        <f t="shared" si="134"/>
        <v>#REF!</v>
      </c>
      <c r="AU91" s="5" t="e">
        <f t="shared" si="134"/>
        <v>#REF!</v>
      </c>
      <c r="AV91" s="116" t="e">
        <f t="shared" si="134"/>
        <v>#REF!</v>
      </c>
      <c r="AW91" s="48" t="e">
        <f t="shared" si="134"/>
        <v>#REF!</v>
      </c>
      <c r="AX91" s="48" t="e">
        <f t="shared" si="134"/>
        <v>#REF!</v>
      </c>
      <c r="AY91" s="5" t="e">
        <f t="shared" si="134"/>
        <v>#REF!</v>
      </c>
      <c r="AZ91" s="116" t="e">
        <f t="shared" si="134"/>
        <v>#REF!</v>
      </c>
      <c r="BA91" s="48" t="e">
        <f t="shared" si="134"/>
        <v>#REF!</v>
      </c>
      <c r="BB91" s="48" t="e">
        <f t="shared" si="134"/>
        <v>#REF!</v>
      </c>
      <c r="BC91" s="5" t="e">
        <f t="shared" si="134"/>
        <v>#REF!</v>
      </c>
      <c r="BD91" s="116" t="e">
        <f t="shared" si="134"/>
        <v>#REF!</v>
      </c>
      <c r="BE91" s="48" t="e">
        <f t="shared" si="134"/>
        <v>#REF!</v>
      </c>
      <c r="BF91" s="48" t="e">
        <f t="shared" si="134"/>
        <v>#REF!</v>
      </c>
      <c r="BG91" s="5" t="e">
        <f t="shared" si="134"/>
        <v>#REF!</v>
      </c>
      <c r="BH91" s="116" t="e">
        <f t="shared" si="134"/>
        <v>#REF!</v>
      </c>
      <c r="BI91" s="48" t="e">
        <f t="shared" si="134"/>
        <v>#REF!</v>
      </c>
      <c r="BJ91" s="48" t="e">
        <f t="shared" si="134"/>
        <v>#REF!</v>
      </c>
      <c r="BK91" s="5" t="e">
        <f t="shared" si="134"/>
        <v>#REF!</v>
      </c>
      <c r="BL91" s="116" t="e">
        <f t="shared" si="134"/>
        <v>#REF!</v>
      </c>
      <c r="BM91" s="48" t="e">
        <f t="shared" si="134"/>
        <v>#REF!</v>
      </c>
      <c r="BN91" s="48" t="e">
        <f t="shared" si="134"/>
        <v>#REF!</v>
      </c>
      <c r="BO91" s="5" t="e">
        <f t="shared" si="134"/>
        <v>#REF!</v>
      </c>
      <c r="BP91" s="116" t="e">
        <f t="shared" ref="BP91:BY91" si="135">AVERAGE(BP75:BP88)</f>
        <v>#REF!</v>
      </c>
      <c r="BQ91" s="48" t="e">
        <f t="shared" si="135"/>
        <v>#REF!</v>
      </c>
      <c r="BR91" s="48" t="e">
        <f t="shared" si="135"/>
        <v>#REF!</v>
      </c>
      <c r="BS91" s="5" t="e">
        <f t="shared" si="135"/>
        <v>#REF!</v>
      </c>
      <c r="BT91" s="111" t="e">
        <f t="shared" si="135"/>
        <v>#REF!</v>
      </c>
      <c r="BU91" s="102" t="e">
        <f t="shared" si="135"/>
        <v>#REF!</v>
      </c>
      <c r="BV91" s="102" t="e">
        <f t="shared" si="135"/>
        <v>#REF!</v>
      </c>
      <c r="BW91" s="102" t="e">
        <f t="shared" si="135"/>
        <v>#REF!</v>
      </c>
      <c r="BX91" s="102" t="e">
        <f t="shared" si="135"/>
        <v>#REF!</v>
      </c>
      <c r="BY91" s="103" t="e">
        <f t="shared" si="135"/>
        <v>#REF!</v>
      </c>
    </row>
  </sheetData>
  <mergeCells count="110">
    <mergeCell ref="T73:W73"/>
    <mergeCell ref="X73:AA73"/>
    <mergeCell ref="AB73:AE73"/>
    <mergeCell ref="A71:H71"/>
    <mergeCell ref="A73:A74"/>
    <mergeCell ref="B73:B74"/>
    <mergeCell ref="C73:C74"/>
    <mergeCell ref="D73:G73"/>
    <mergeCell ref="H73:K73"/>
    <mergeCell ref="A1:A2"/>
    <mergeCell ref="B1:B2"/>
    <mergeCell ref="C1:C2"/>
    <mergeCell ref="D1:G1"/>
    <mergeCell ref="H1:K1"/>
    <mergeCell ref="BY73:BY74"/>
    <mergeCell ref="B75:B90"/>
    <mergeCell ref="BT73:BT74"/>
    <mergeCell ref="BU73:BU74"/>
    <mergeCell ref="BV73:BV74"/>
    <mergeCell ref="BW73:BW74"/>
    <mergeCell ref="BX73:BX74"/>
    <mergeCell ref="AZ73:BC73"/>
    <mergeCell ref="BD73:BG73"/>
    <mergeCell ref="BH73:BK73"/>
    <mergeCell ref="BL73:BO73"/>
    <mergeCell ref="BP73:BS73"/>
    <mergeCell ref="AF73:AI73"/>
    <mergeCell ref="AJ73:AM73"/>
    <mergeCell ref="AN73:AQ73"/>
    <mergeCell ref="AR73:AU73"/>
    <mergeCell ref="AV73:AY73"/>
    <mergeCell ref="L73:O73"/>
    <mergeCell ref="P73:S73"/>
    <mergeCell ref="CF1:CF2"/>
    <mergeCell ref="BY1:BY2"/>
    <mergeCell ref="B3:B34"/>
    <mergeCell ref="BT1:BT2"/>
    <mergeCell ref="BU1:BU2"/>
    <mergeCell ref="BV1:BV2"/>
    <mergeCell ref="BW1:BW2"/>
    <mergeCell ref="AF1:AI1"/>
    <mergeCell ref="AJ1:AM1"/>
    <mergeCell ref="AN1:AQ1"/>
    <mergeCell ref="AR1:AU1"/>
    <mergeCell ref="AV1:AY1"/>
    <mergeCell ref="L1:O1"/>
    <mergeCell ref="P1:S1"/>
    <mergeCell ref="T1:W1"/>
    <mergeCell ref="X1:AA1"/>
    <mergeCell ref="AB1:AE1"/>
    <mergeCell ref="BX1:BX2"/>
    <mergeCell ref="AZ1:BC1"/>
    <mergeCell ref="BD1:BG1"/>
    <mergeCell ref="BH1:BK1"/>
    <mergeCell ref="BL1:BO1"/>
    <mergeCell ref="BP1:BS1"/>
    <mergeCell ref="CC1:CC2"/>
    <mergeCell ref="CD1:CD2"/>
    <mergeCell ref="BL37:BO37"/>
    <mergeCell ref="BP37:BS37"/>
    <mergeCell ref="BH37:BK37"/>
    <mergeCell ref="X37:AA37"/>
    <mergeCell ref="AB37:AE37"/>
    <mergeCell ref="AF37:AI37"/>
    <mergeCell ref="CE1:CE2"/>
    <mergeCell ref="BD38:BG38"/>
    <mergeCell ref="AR37:AU37"/>
    <mergeCell ref="AV37:AY37"/>
    <mergeCell ref="AZ37:BC37"/>
    <mergeCell ref="BD37:BG37"/>
    <mergeCell ref="AJ37:AM37"/>
    <mergeCell ref="AN37:AQ37"/>
    <mergeCell ref="BD39:BG39"/>
    <mergeCell ref="BH39:BK39"/>
    <mergeCell ref="BL39:BO39"/>
    <mergeCell ref="BP39:BS39"/>
    <mergeCell ref="BH38:BK38"/>
    <mergeCell ref="BL38:BO38"/>
    <mergeCell ref="BP38:BS38"/>
    <mergeCell ref="D39:G39"/>
    <mergeCell ref="H39:K39"/>
    <mergeCell ref="L39:O39"/>
    <mergeCell ref="P39:S39"/>
    <mergeCell ref="T39:W39"/>
    <mergeCell ref="X39:AA39"/>
    <mergeCell ref="AB39:AE39"/>
    <mergeCell ref="AF39:AI39"/>
    <mergeCell ref="AJ39:AM39"/>
    <mergeCell ref="AN39:AQ39"/>
    <mergeCell ref="AR39:AU39"/>
    <mergeCell ref="AV39:AY39"/>
    <mergeCell ref="D38:G38"/>
    <mergeCell ref="H38:K38"/>
    <mergeCell ref="L38:O38"/>
    <mergeCell ref="P38:S38"/>
    <mergeCell ref="T38:W38"/>
    <mergeCell ref="AZ39:BC39"/>
    <mergeCell ref="AN38:AQ38"/>
    <mergeCell ref="AR38:AU38"/>
    <mergeCell ref="AV38:AY38"/>
    <mergeCell ref="AZ38:BC38"/>
    <mergeCell ref="D37:G37"/>
    <mergeCell ref="H37:K37"/>
    <mergeCell ref="L37:O37"/>
    <mergeCell ref="P37:S37"/>
    <mergeCell ref="T37:W37"/>
    <mergeCell ref="X38:AA38"/>
    <mergeCell ref="AB38:AE38"/>
    <mergeCell ref="AF38:AI38"/>
    <mergeCell ref="AJ38:AM38"/>
  </mergeCells>
  <pageMargins left="0.7" right="0.7" top="0.75" bottom="0.75" header="0.3" footer="0.3"/>
  <pageSetup paperSize="8"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C66FB-AEA0-4EDC-8A65-D8358819A152}">
  <dimension ref="A1:CF111"/>
  <sheetViews>
    <sheetView zoomScale="75" zoomScaleNormal="75" workbookViewId="0">
      <pane ySplit="2" topLeftCell="A17" activePane="bottomLeft" state="frozen"/>
      <selection activeCell="E37" sqref="E37:BT39"/>
      <selection pane="bottomLeft" activeCell="C38" sqref="C38"/>
    </sheetView>
  </sheetViews>
  <sheetFormatPr defaultRowHeight="14.5" x14ac:dyDescent="0.35"/>
  <cols>
    <col min="1" max="1" width="11.1796875" customWidth="1"/>
    <col min="2" max="2" width="35.26953125" customWidth="1"/>
    <col min="3" max="3" width="13.1796875" bestFit="1" customWidth="1"/>
    <col min="4" max="4" width="7.7265625" customWidth="1"/>
    <col min="5" max="5" width="7.6328125" customWidth="1"/>
    <col min="6" max="6" width="7.26953125" customWidth="1"/>
    <col min="7" max="7" width="7.36328125" customWidth="1"/>
    <col min="8" max="8" width="6.54296875" customWidth="1"/>
    <col min="9" max="9" width="7.7265625" customWidth="1"/>
    <col min="10" max="10" width="7" customWidth="1"/>
    <col min="11" max="11" width="7.453125" customWidth="1"/>
    <col min="12" max="12" width="7.26953125" customWidth="1"/>
    <col min="13" max="13" width="7.36328125" customWidth="1"/>
    <col min="14" max="14" width="7.6328125" customWidth="1"/>
    <col min="15" max="15" width="7.81640625" customWidth="1"/>
    <col min="16" max="16" width="6" customWidth="1"/>
    <col min="17" max="17" width="5.81640625" customWidth="1"/>
    <col min="18" max="18" width="6.26953125" customWidth="1"/>
    <col min="19" max="19" width="6.6328125" customWidth="1"/>
    <col min="20" max="20" width="7.36328125" customWidth="1"/>
    <col min="21" max="21" width="6.453125" customWidth="1"/>
    <col min="22" max="22" width="6.26953125" customWidth="1"/>
    <col min="23" max="23" width="6.6328125" customWidth="1"/>
    <col min="24" max="24" width="5.81640625" customWidth="1"/>
    <col min="25" max="25" width="6.7265625" customWidth="1"/>
    <col min="26" max="26" width="6.08984375" customWidth="1"/>
    <col min="27" max="27" width="6.7265625" customWidth="1"/>
    <col min="28" max="28" width="6.26953125" customWidth="1"/>
    <col min="29" max="29" width="6.54296875" customWidth="1"/>
    <col min="30" max="30" width="6.90625" customWidth="1"/>
    <col min="31" max="31" width="7.6328125" customWidth="1"/>
    <col min="32" max="32" width="7.1796875" customWidth="1"/>
    <col min="33" max="33" width="8.54296875" customWidth="1"/>
    <col min="34" max="34" width="8.6328125" customWidth="1"/>
    <col min="35" max="35" width="7.08984375" customWidth="1"/>
    <col min="36" max="36" width="6.54296875" customWidth="1"/>
    <col min="37" max="37" width="7.08984375" customWidth="1"/>
    <col min="38" max="38" width="6.7265625" customWidth="1"/>
    <col min="39" max="39" width="7.36328125" customWidth="1"/>
    <col min="40" max="40" width="6.6328125" customWidth="1"/>
    <col min="41" max="41" width="6.81640625" customWidth="1"/>
    <col min="42" max="42" width="6.7265625" customWidth="1"/>
    <col min="43" max="43" width="6.90625" customWidth="1"/>
    <col min="44" max="44" width="6.7265625" customWidth="1"/>
    <col min="45" max="45" width="6.81640625" customWidth="1"/>
    <col min="46" max="46" width="7" customWidth="1"/>
    <col min="47" max="47" width="7.1796875" customWidth="1"/>
    <col min="48" max="48" width="9" customWidth="1"/>
    <col min="49" max="49" width="9.36328125" customWidth="1"/>
    <col min="50" max="50" width="8.6328125" customWidth="1"/>
    <col min="51" max="51" width="9.6328125" customWidth="1"/>
    <col min="52" max="52" width="7.26953125" customWidth="1"/>
    <col min="53" max="53" width="7.36328125" customWidth="1"/>
    <col min="54" max="54" width="8" customWidth="1"/>
    <col min="55" max="55" width="7.81640625" customWidth="1"/>
    <col min="56" max="56" width="6.26953125" customWidth="1"/>
    <col min="57" max="57" width="7.90625" customWidth="1"/>
    <col min="58" max="58" width="7.1796875" customWidth="1"/>
    <col min="59" max="59" width="7.453125" customWidth="1"/>
    <col min="60" max="60" width="7.36328125" customWidth="1"/>
    <col min="61" max="61" width="6.90625" customWidth="1"/>
    <col min="62" max="62" width="7.36328125" customWidth="1"/>
    <col min="63" max="63" width="7.90625" customWidth="1"/>
    <col min="64" max="64" width="6.6328125" customWidth="1"/>
    <col min="65" max="65" width="7.1796875" customWidth="1"/>
    <col min="66" max="66" width="6.54296875" customWidth="1"/>
    <col min="67" max="67" width="7.7265625" customWidth="1"/>
    <col min="68" max="68" width="6.54296875" customWidth="1"/>
    <col min="69" max="69" width="7.26953125" customWidth="1"/>
    <col min="70" max="70" width="6.90625" customWidth="1"/>
    <col min="71" max="71" width="5.453125" customWidth="1"/>
    <col min="72" max="72" width="9" customWidth="1"/>
    <col min="76" max="76" width="12" bestFit="1" customWidth="1"/>
    <col min="81" max="81" width="13.1796875" bestFit="1" customWidth="1"/>
    <col min="83" max="83" width="12" bestFit="1" customWidth="1"/>
  </cols>
  <sheetData>
    <row r="1" spans="1:84" ht="15.5" thickTop="1" thickBot="1" x14ac:dyDescent="0.4">
      <c r="A1" s="153" t="s">
        <v>0</v>
      </c>
      <c r="B1" s="161" t="s">
        <v>1</v>
      </c>
      <c r="C1" s="151" t="s">
        <v>2</v>
      </c>
      <c r="D1" s="164" t="s">
        <v>3</v>
      </c>
      <c r="E1" s="165"/>
      <c r="F1" s="165"/>
      <c r="G1" s="166"/>
      <c r="H1" s="158" t="s">
        <v>95</v>
      </c>
      <c r="I1" s="158"/>
      <c r="J1" s="158"/>
      <c r="K1" s="159"/>
      <c r="L1" s="153" t="s">
        <v>96</v>
      </c>
      <c r="M1" s="149"/>
      <c r="N1" s="149"/>
      <c r="O1" s="151"/>
      <c r="P1" s="153" t="s">
        <v>97</v>
      </c>
      <c r="Q1" s="149"/>
      <c r="R1" s="149"/>
      <c r="S1" s="151"/>
      <c r="T1" s="153" t="s">
        <v>98</v>
      </c>
      <c r="U1" s="149"/>
      <c r="V1" s="149"/>
      <c r="W1" s="151"/>
      <c r="X1" s="153" t="s">
        <v>99</v>
      </c>
      <c r="Y1" s="149"/>
      <c r="Z1" s="149"/>
      <c r="AA1" s="151"/>
      <c r="AB1" s="153" t="s">
        <v>100</v>
      </c>
      <c r="AC1" s="149"/>
      <c r="AD1" s="149"/>
      <c r="AE1" s="151"/>
      <c r="AF1" s="153" t="s">
        <v>101</v>
      </c>
      <c r="AG1" s="149"/>
      <c r="AH1" s="149"/>
      <c r="AI1" s="151"/>
      <c r="AJ1" s="153" t="s">
        <v>102</v>
      </c>
      <c r="AK1" s="149"/>
      <c r="AL1" s="149"/>
      <c r="AM1" s="151"/>
      <c r="AN1" s="153" t="s">
        <v>103</v>
      </c>
      <c r="AO1" s="149"/>
      <c r="AP1" s="149"/>
      <c r="AQ1" s="151"/>
      <c r="AR1" s="153" t="s">
        <v>104</v>
      </c>
      <c r="AS1" s="149"/>
      <c r="AT1" s="149"/>
      <c r="AU1" s="151"/>
      <c r="AV1" s="153" t="s">
        <v>105</v>
      </c>
      <c r="AW1" s="149"/>
      <c r="AX1" s="149"/>
      <c r="AY1" s="156"/>
      <c r="AZ1" s="157" t="s">
        <v>106</v>
      </c>
      <c r="BA1" s="158"/>
      <c r="BB1" s="158"/>
      <c r="BC1" s="159"/>
      <c r="BD1" s="153" t="s">
        <v>107</v>
      </c>
      <c r="BE1" s="149"/>
      <c r="BF1" s="149"/>
      <c r="BG1" s="151"/>
      <c r="BH1" s="153" t="s">
        <v>108</v>
      </c>
      <c r="BI1" s="149"/>
      <c r="BJ1" s="149"/>
      <c r="BK1" s="151"/>
      <c r="BL1" s="153" t="s">
        <v>109</v>
      </c>
      <c r="BM1" s="149"/>
      <c r="BN1" s="149"/>
      <c r="BO1" s="151"/>
      <c r="BP1" s="153" t="s">
        <v>110</v>
      </c>
      <c r="BQ1" s="149"/>
      <c r="BR1" s="149"/>
      <c r="BS1" s="151"/>
      <c r="BT1" s="154" t="s">
        <v>20</v>
      </c>
      <c r="BU1" s="149" t="s">
        <v>21</v>
      </c>
      <c r="BV1" s="149" t="s">
        <v>22</v>
      </c>
      <c r="BW1" s="149" t="s">
        <v>23</v>
      </c>
      <c r="BX1" s="149" t="s">
        <v>141</v>
      </c>
      <c r="BY1" s="151" t="s">
        <v>24</v>
      </c>
      <c r="CC1" s="146" t="s">
        <v>2</v>
      </c>
      <c r="CD1" s="146" t="str">
        <f>BW1</f>
        <v>Recall</v>
      </c>
      <c r="CE1" s="146" t="str">
        <f>BX1</f>
        <v>Precision</v>
      </c>
      <c r="CF1" s="146" t="str">
        <f>BY1</f>
        <v>F1</v>
      </c>
    </row>
    <row r="2" spans="1:84" ht="15.5" thickTop="1" thickBot="1" x14ac:dyDescent="0.4">
      <c r="A2" s="160"/>
      <c r="B2" s="162"/>
      <c r="C2" s="163"/>
      <c r="D2" s="6" t="s">
        <v>25</v>
      </c>
      <c r="E2" s="1" t="s">
        <v>20</v>
      </c>
      <c r="F2" s="1" t="s">
        <v>21</v>
      </c>
      <c r="G2" s="2" t="s">
        <v>22</v>
      </c>
      <c r="H2" s="1" t="s">
        <v>25</v>
      </c>
      <c r="I2" s="4" t="s">
        <v>20</v>
      </c>
      <c r="J2" s="4" t="s">
        <v>21</v>
      </c>
      <c r="K2" s="2" t="s">
        <v>22</v>
      </c>
      <c r="L2" s="1" t="s">
        <v>25</v>
      </c>
      <c r="M2" s="4" t="s">
        <v>20</v>
      </c>
      <c r="N2" s="4" t="s">
        <v>21</v>
      </c>
      <c r="O2" s="2" t="s">
        <v>22</v>
      </c>
      <c r="P2" s="1" t="s">
        <v>25</v>
      </c>
      <c r="Q2" s="4" t="s">
        <v>20</v>
      </c>
      <c r="R2" s="4" t="s">
        <v>21</v>
      </c>
      <c r="S2" s="2" t="s">
        <v>22</v>
      </c>
      <c r="T2" s="1" t="s">
        <v>25</v>
      </c>
      <c r="U2" s="4" t="s">
        <v>20</v>
      </c>
      <c r="V2" s="4" t="s">
        <v>21</v>
      </c>
      <c r="W2" s="2" t="s">
        <v>22</v>
      </c>
      <c r="X2" s="1" t="s">
        <v>25</v>
      </c>
      <c r="Y2" s="4" t="s">
        <v>20</v>
      </c>
      <c r="Z2" s="4" t="s">
        <v>21</v>
      </c>
      <c r="AA2" s="2" t="s">
        <v>22</v>
      </c>
      <c r="AB2" s="1" t="s">
        <v>25</v>
      </c>
      <c r="AC2" s="4" t="s">
        <v>20</v>
      </c>
      <c r="AD2" s="4" t="s">
        <v>21</v>
      </c>
      <c r="AE2" s="2" t="s">
        <v>22</v>
      </c>
      <c r="AF2" s="1" t="s">
        <v>25</v>
      </c>
      <c r="AG2" s="4" t="s">
        <v>20</v>
      </c>
      <c r="AH2" s="4" t="s">
        <v>21</v>
      </c>
      <c r="AI2" s="2" t="s">
        <v>22</v>
      </c>
      <c r="AJ2" s="1" t="s">
        <v>25</v>
      </c>
      <c r="AK2" s="4" t="s">
        <v>20</v>
      </c>
      <c r="AL2" s="4" t="s">
        <v>21</v>
      </c>
      <c r="AM2" s="2" t="s">
        <v>22</v>
      </c>
      <c r="AN2" s="1" t="s">
        <v>25</v>
      </c>
      <c r="AO2" s="4" t="s">
        <v>20</v>
      </c>
      <c r="AP2" s="4" t="s">
        <v>21</v>
      </c>
      <c r="AQ2" s="2" t="s">
        <v>22</v>
      </c>
      <c r="AR2" s="1" t="s">
        <v>25</v>
      </c>
      <c r="AS2" s="4" t="s">
        <v>20</v>
      </c>
      <c r="AT2" s="4" t="s">
        <v>21</v>
      </c>
      <c r="AU2" s="2" t="s">
        <v>22</v>
      </c>
      <c r="AV2" s="1" t="s">
        <v>25</v>
      </c>
      <c r="AW2" s="4" t="s">
        <v>20</v>
      </c>
      <c r="AX2" s="4" t="s">
        <v>21</v>
      </c>
      <c r="AY2" s="122" t="s">
        <v>22</v>
      </c>
      <c r="AZ2" s="121" t="s">
        <v>25</v>
      </c>
      <c r="BA2" s="3" t="s">
        <v>20</v>
      </c>
      <c r="BB2" s="3" t="s">
        <v>21</v>
      </c>
      <c r="BC2" s="122" t="s">
        <v>22</v>
      </c>
      <c r="BD2" s="6" t="s">
        <v>25</v>
      </c>
      <c r="BE2" s="4" t="s">
        <v>20</v>
      </c>
      <c r="BF2" s="4" t="s">
        <v>21</v>
      </c>
      <c r="BG2" s="2" t="s">
        <v>22</v>
      </c>
      <c r="BH2" s="1" t="s">
        <v>25</v>
      </c>
      <c r="BI2" s="4" t="s">
        <v>20</v>
      </c>
      <c r="BJ2" s="4" t="s">
        <v>21</v>
      </c>
      <c r="BK2" s="2" t="s">
        <v>22</v>
      </c>
      <c r="BL2" s="1" t="s">
        <v>25</v>
      </c>
      <c r="BM2" s="4" t="s">
        <v>20</v>
      </c>
      <c r="BN2" s="4" t="s">
        <v>21</v>
      </c>
      <c r="BO2" s="2" t="s">
        <v>22</v>
      </c>
      <c r="BP2" s="1" t="s">
        <v>25</v>
      </c>
      <c r="BQ2" s="4" t="s">
        <v>20</v>
      </c>
      <c r="BR2" s="4" t="s">
        <v>21</v>
      </c>
      <c r="BS2" s="2" t="s">
        <v>22</v>
      </c>
      <c r="BT2" s="155"/>
      <c r="BU2" s="150"/>
      <c r="BV2" s="150"/>
      <c r="BW2" s="150"/>
      <c r="BX2" s="150"/>
      <c r="BY2" s="152"/>
      <c r="CC2" s="146"/>
      <c r="CD2" s="146"/>
      <c r="CE2" s="146"/>
      <c r="CF2" s="146"/>
    </row>
    <row r="3" spans="1:84" ht="15" customHeight="1" thickTop="1" x14ac:dyDescent="0.35">
      <c r="A3" s="49" t="s">
        <v>48</v>
      </c>
      <c r="B3" s="147" t="s">
        <v>50</v>
      </c>
      <c r="C3" s="7" t="s">
        <v>26</v>
      </c>
      <c r="D3" s="8">
        <v>3</v>
      </c>
      <c r="E3" s="9">
        <v>3</v>
      </c>
      <c r="F3" s="9">
        <f>D3-E3</f>
        <v>0</v>
      </c>
      <c r="G3" s="7">
        <v>0</v>
      </c>
      <c r="H3" s="10">
        <v>3</v>
      </c>
      <c r="I3" s="9">
        <v>3</v>
      </c>
      <c r="J3" s="9">
        <f>H3-I3</f>
        <v>0</v>
      </c>
      <c r="K3" s="7">
        <v>0</v>
      </c>
      <c r="L3" s="10">
        <v>6</v>
      </c>
      <c r="M3" s="9">
        <v>6</v>
      </c>
      <c r="N3" s="9">
        <f>L3-M3</f>
        <v>0</v>
      </c>
      <c r="O3" s="7">
        <v>0</v>
      </c>
      <c r="P3" s="10">
        <v>4</v>
      </c>
      <c r="Q3" s="9">
        <v>4</v>
      </c>
      <c r="R3" s="9">
        <f>P3-Q3</f>
        <v>0</v>
      </c>
      <c r="S3" s="7">
        <v>0</v>
      </c>
      <c r="T3" s="10">
        <v>4</v>
      </c>
      <c r="U3" s="9">
        <v>4</v>
      </c>
      <c r="V3" s="9">
        <f>T3-U3</f>
        <v>0</v>
      </c>
      <c r="W3" s="7">
        <v>0</v>
      </c>
      <c r="X3" s="10">
        <v>3</v>
      </c>
      <c r="Y3" s="9">
        <v>3</v>
      </c>
      <c r="Z3" s="9">
        <f>X3-Y3</f>
        <v>0</v>
      </c>
      <c r="AA3" s="7">
        <v>0</v>
      </c>
      <c r="AB3" s="10">
        <v>0</v>
      </c>
      <c r="AC3" s="9">
        <v>0</v>
      </c>
      <c r="AD3" s="9">
        <f>AB3-AC3</f>
        <v>0</v>
      </c>
      <c r="AE3" s="7">
        <v>0</v>
      </c>
      <c r="AF3" s="10">
        <v>3</v>
      </c>
      <c r="AG3" s="9">
        <v>3</v>
      </c>
      <c r="AH3" s="9">
        <f>AF3-AG3</f>
        <v>0</v>
      </c>
      <c r="AI3" s="7">
        <v>0</v>
      </c>
      <c r="AJ3" s="10">
        <v>2</v>
      </c>
      <c r="AK3" s="9">
        <v>2</v>
      </c>
      <c r="AL3" s="9">
        <f>AJ3-AK3</f>
        <v>0</v>
      </c>
      <c r="AM3" s="7">
        <v>0</v>
      </c>
      <c r="AN3" s="10">
        <v>0</v>
      </c>
      <c r="AO3" s="9">
        <v>0</v>
      </c>
      <c r="AP3" s="9">
        <f>AN3-AO3</f>
        <v>0</v>
      </c>
      <c r="AQ3" s="7">
        <v>0</v>
      </c>
      <c r="AR3" s="10">
        <v>0</v>
      </c>
      <c r="AS3" s="9">
        <v>0</v>
      </c>
      <c r="AT3" s="9">
        <f>AR3-AS3</f>
        <v>0</v>
      </c>
      <c r="AU3" s="7">
        <v>0</v>
      </c>
      <c r="AV3" s="10">
        <v>0</v>
      </c>
      <c r="AW3" s="9">
        <v>0</v>
      </c>
      <c r="AX3" s="9">
        <f>AV3-AW3</f>
        <v>0</v>
      </c>
      <c r="AY3" s="7">
        <v>0</v>
      </c>
      <c r="AZ3" s="8">
        <v>2</v>
      </c>
      <c r="BA3" s="124">
        <v>2</v>
      </c>
      <c r="BB3" s="124">
        <f>AZ3-BA3</f>
        <v>0</v>
      </c>
      <c r="BC3" s="123">
        <v>2</v>
      </c>
      <c r="BD3" s="8">
        <v>0</v>
      </c>
      <c r="BE3" s="9">
        <v>0</v>
      </c>
      <c r="BF3" s="9">
        <f>BD3-BE3</f>
        <v>0</v>
      </c>
      <c r="BG3" s="7">
        <v>0</v>
      </c>
      <c r="BH3" s="10">
        <v>0</v>
      </c>
      <c r="BI3" s="9">
        <v>0</v>
      </c>
      <c r="BJ3" s="9">
        <f>BH3-BI3</f>
        <v>0</v>
      </c>
      <c r="BK3" s="7">
        <v>0</v>
      </c>
      <c r="BL3" s="10">
        <v>0</v>
      </c>
      <c r="BM3" s="9">
        <v>0</v>
      </c>
      <c r="BN3" s="9">
        <f>BL3-BM3</f>
        <v>0</v>
      </c>
      <c r="BO3" s="7">
        <v>0</v>
      </c>
      <c r="BP3" s="10">
        <v>0</v>
      </c>
      <c r="BQ3" s="9">
        <v>0</v>
      </c>
      <c r="BR3" s="9">
        <f>BP3-BQ3</f>
        <v>0</v>
      </c>
      <c r="BS3" s="7">
        <v>0</v>
      </c>
      <c r="BT3" s="10">
        <f>SUM(E3,I3,M3,Q3,U3,Y3,AC3,AG3,AK3,AO3,AS3,AW3,BE3,BI3,BM3,BQ3,BA3)</f>
        <v>30</v>
      </c>
      <c r="BU3" s="9">
        <f>SUM(BR3,BN3,BJ3,BF3,AX3,AT3,AP3,AL3,AH3,AD3,Z3,V3,R3,N3,J3,F3,BB3)</f>
        <v>0</v>
      </c>
      <c r="BV3" s="124">
        <f>SUM(BS3,BO3,BK3,BG3,AY3,AU3,AQ3,AM3,AI3,AE3,AA3,W3,S3,O3,K3,G3, BC3)</f>
        <v>2</v>
      </c>
      <c r="BW3" s="9">
        <f>BT3/(BT3+BU3)</f>
        <v>1</v>
      </c>
      <c r="BX3" s="9">
        <f>BT3/(BT3+BV3)</f>
        <v>0.9375</v>
      </c>
      <c r="BY3" s="7">
        <f>2*(BX3*BW3)/(BX3+BW3)</f>
        <v>0.967741935483871</v>
      </c>
      <c r="CC3" s="133" t="s">
        <v>75</v>
      </c>
      <c r="CD3">
        <f>AVERAGE(BW3:BW4)</f>
        <v>1</v>
      </c>
      <c r="CE3">
        <f t="shared" ref="CE3:CF3" si="0">AVERAGE(BX3:BX4)</f>
        <v>0.96875</v>
      </c>
      <c r="CF3">
        <f t="shared" si="0"/>
        <v>0.9838709677419355</v>
      </c>
    </row>
    <row r="4" spans="1:84" x14ac:dyDescent="0.35">
      <c r="A4" s="49" t="s">
        <v>48</v>
      </c>
      <c r="B4" s="148"/>
      <c r="C4" s="123" t="s">
        <v>60</v>
      </c>
      <c r="D4" s="8">
        <v>3</v>
      </c>
      <c r="E4" s="124">
        <v>3</v>
      </c>
      <c r="F4" s="124">
        <f t="shared" ref="F4:F34" si="1">D4-E4</f>
        <v>0</v>
      </c>
      <c r="G4" s="123">
        <v>0</v>
      </c>
      <c r="H4" s="8">
        <v>3</v>
      </c>
      <c r="I4" s="124">
        <v>3</v>
      </c>
      <c r="J4" s="124">
        <f t="shared" ref="J4:J34" si="2">H4-I4</f>
        <v>0</v>
      </c>
      <c r="K4" s="123">
        <v>0</v>
      </c>
      <c r="L4" s="8">
        <v>6</v>
      </c>
      <c r="M4" s="124">
        <v>6</v>
      </c>
      <c r="N4" s="124">
        <f t="shared" ref="N4:N34" si="3">L4-M4</f>
        <v>0</v>
      </c>
      <c r="O4" s="123">
        <v>0</v>
      </c>
      <c r="P4" s="8">
        <v>4</v>
      </c>
      <c r="Q4" s="124">
        <v>4</v>
      </c>
      <c r="R4" s="124">
        <f t="shared" ref="R4:R34" si="4">P4-Q4</f>
        <v>0</v>
      </c>
      <c r="S4" s="123">
        <v>0</v>
      </c>
      <c r="T4" s="8">
        <v>4</v>
      </c>
      <c r="U4" s="124">
        <v>4</v>
      </c>
      <c r="V4" s="124">
        <f t="shared" ref="V4:V34" si="5">T4-U4</f>
        <v>0</v>
      </c>
      <c r="W4" s="123">
        <v>0</v>
      </c>
      <c r="X4" s="8">
        <v>3</v>
      </c>
      <c r="Y4" s="124">
        <v>3</v>
      </c>
      <c r="Z4" s="124">
        <f t="shared" ref="Z4:Z34" si="6">X4-Y4</f>
        <v>0</v>
      </c>
      <c r="AA4" s="123">
        <v>0</v>
      </c>
      <c r="AB4" s="8">
        <v>0</v>
      </c>
      <c r="AC4" s="124">
        <v>0</v>
      </c>
      <c r="AD4" s="124">
        <f t="shared" ref="AD4:AD29" si="7">AB4-AC4</f>
        <v>0</v>
      </c>
      <c r="AE4" s="123">
        <v>0</v>
      </c>
      <c r="AF4" s="8">
        <v>3</v>
      </c>
      <c r="AG4" s="124">
        <v>3</v>
      </c>
      <c r="AH4" s="124">
        <f t="shared" ref="AH4:AH34" si="8">AF4-AG4</f>
        <v>0</v>
      </c>
      <c r="AI4" s="123">
        <v>0</v>
      </c>
      <c r="AJ4" s="8">
        <v>2</v>
      </c>
      <c r="AK4" s="124">
        <v>2</v>
      </c>
      <c r="AL4" s="124">
        <f t="shared" ref="AL4:AL34" si="9">AJ4-AK4</f>
        <v>0</v>
      </c>
      <c r="AM4" s="123">
        <v>0</v>
      </c>
      <c r="AN4" s="8">
        <v>0</v>
      </c>
      <c r="AO4" s="124">
        <v>0</v>
      </c>
      <c r="AP4" s="124">
        <f t="shared" ref="AP4:AP34" si="10">AN4-AO4</f>
        <v>0</v>
      </c>
      <c r="AQ4" s="123">
        <v>0</v>
      </c>
      <c r="AR4" s="8">
        <v>0</v>
      </c>
      <c r="AS4" s="124">
        <v>0</v>
      </c>
      <c r="AT4" s="124">
        <f t="shared" ref="AT4:AT34" si="11">AR4-AS4</f>
        <v>0</v>
      </c>
      <c r="AU4" s="123">
        <v>0</v>
      </c>
      <c r="AV4" s="8">
        <v>0</v>
      </c>
      <c r="AW4" s="124">
        <v>0</v>
      </c>
      <c r="AX4" s="124">
        <f t="shared" ref="AX4:AX34" si="12">AV4-AW4</f>
        <v>0</v>
      </c>
      <c r="AY4" s="123">
        <v>0</v>
      </c>
      <c r="AZ4" s="8">
        <v>2</v>
      </c>
      <c r="BA4" s="124">
        <v>2</v>
      </c>
      <c r="BB4" s="124">
        <f t="shared" ref="BB4:BB34" si="13">AZ4-BA4</f>
        <v>0</v>
      </c>
      <c r="BC4" s="123">
        <v>0</v>
      </c>
      <c r="BD4" s="8">
        <v>0</v>
      </c>
      <c r="BE4" s="124">
        <v>0</v>
      </c>
      <c r="BF4" s="124">
        <f t="shared" ref="BF4:BF34" si="14">BD4-BE4</f>
        <v>0</v>
      </c>
      <c r="BG4" s="123">
        <v>0</v>
      </c>
      <c r="BH4" s="8">
        <v>0</v>
      </c>
      <c r="BI4" s="124">
        <v>0</v>
      </c>
      <c r="BJ4" s="124">
        <f t="shared" ref="BJ4:BJ34" si="15">BH4-BI4</f>
        <v>0</v>
      </c>
      <c r="BK4" s="123">
        <v>0</v>
      </c>
      <c r="BL4" s="8">
        <v>0</v>
      </c>
      <c r="BM4" s="124">
        <v>0</v>
      </c>
      <c r="BN4" s="124">
        <f t="shared" ref="BN4:BN34" si="16">BL4-BM4</f>
        <v>0</v>
      </c>
      <c r="BO4" s="123">
        <v>0</v>
      </c>
      <c r="BP4" s="8">
        <v>0</v>
      </c>
      <c r="BQ4" s="124">
        <v>0</v>
      </c>
      <c r="BR4" s="124">
        <f t="shared" ref="BR4:BR34" si="17">BP4-BQ4</f>
        <v>0</v>
      </c>
      <c r="BS4" s="123">
        <v>0</v>
      </c>
      <c r="BT4" s="8">
        <f t="shared" ref="BT4:BT34" si="18">SUM(E4,I4,M4,Q4,U4,Y4,AC4,AG4,AK4,AO4,AS4,AW4,BE4,BI4,BM4,BQ4,BA4)</f>
        <v>30</v>
      </c>
      <c r="BU4" s="124">
        <f t="shared" ref="BU4:BU34" si="19">SUM(BR4,BN4,BJ4,BF4,AX4,AT4,AP4,AL4,AH4,AD4,Z4,V4,R4,N4,J4,F4,BB4)</f>
        <v>0</v>
      </c>
      <c r="BV4" s="124">
        <f t="shared" ref="BV4:BV34" si="20">SUM(BS4,BO4,BK4,BG4,AY4,AU4,AQ4,AM4,AI4,AE4,AA4,W4,S4,O4,K4,G4, BC4)</f>
        <v>0</v>
      </c>
      <c r="BW4" s="124">
        <f t="shared" ref="BW4:BW34" si="21">BT4/(BT4+BU4)</f>
        <v>1</v>
      </c>
      <c r="BX4" s="124">
        <f t="shared" ref="BX4:BX34" si="22">BT4/(BT4+BV4)</f>
        <v>1</v>
      </c>
      <c r="BY4" s="123">
        <f t="shared" ref="BY4:BY34" si="23">2*(BX4*BW4)/(BX4+BW4)</f>
        <v>1</v>
      </c>
      <c r="CC4" s="133" t="s">
        <v>76</v>
      </c>
      <c r="CD4">
        <f>AVERAGE(BW5:BW6)</f>
        <v>0.8</v>
      </c>
      <c r="CE4">
        <f t="shared" ref="CE4:CF4" si="24">AVERAGE(BX5:BX6)</f>
        <v>0.66666666666666663</v>
      </c>
      <c r="CF4">
        <f t="shared" si="24"/>
        <v>0.72727272727272718</v>
      </c>
    </row>
    <row r="5" spans="1:84" x14ac:dyDescent="0.35">
      <c r="A5" s="50" t="s">
        <v>48</v>
      </c>
      <c r="B5" s="148"/>
      <c r="C5" s="11" t="s">
        <v>27</v>
      </c>
      <c r="D5" s="12">
        <v>2</v>
      </c>
      <c r="E5" s="13">
        <v>2</v>
      </c>
      <c r="F5" s="13">
        <f t="shared" si="1"/>
        <v>0</v>
      </c>
      <c r="G5" s="11">
        <v>0</v>
      </c>
      <c r="H5" s="12">
        <v>2</v>
      </c>
      <c r="I5" s="13">
        <v>2</v>
      </c>
      <c r="J5" s="13">
        <f t="shared" si="2"/>
        <v>0</v>
      </c>
      <c r="K5" s="11">
        <v>0</v>
      </c>
      <c r="L5" s="12">
        <v>0</v>
      </c>
      <c r="M5" s="13">
        <v>0</v>
      </c>
      <c r="N5" s="13">
        <f t="shared" si="3"/>
        <v>0</v>
      </c>
      <c r="O5" s="11">
        <v>0</v>
      </c>
      <c r="P5" s="12">
        <v>0</v>
      </c>
      <c r="Q5" s="13">
        <v>0</v>
      </c>
      <c r="R5" s="13">
        <f t="shared" si="4"/>
        <v>0</v>
      </c>
      <c r="S5" s="11">
        <v>1</v>
      </c>
      <c r="T5" s="12">
        <v>0</v>
      </c>
      <c r="U5" s="13">
        <v>0</v>
      </c>
      <c r="V5" s="13">
        <f t="shared" si="5"/>
        <v>0</v>
      </c>
      <c r="W5" s="11">
        <v>0</v>
      </c>
      <c r="X5" s="12">
        <v>2</v>
      </c>
      <c r="Y5" s="13">
        <v>2</v>
      </c>
      <c r="Z5" s="13">
        <f t="shared" si="6"/>
        <v>0</v>
      </c>
      <c r="AA5" s="11">
        <v>0</v>
      </c>
      <c r="AB5" s="12">
        <v>0</v>
      </c>
      <c r="AC5" s="13">
        <v>0</v>
      </c>
      <c r="AD5" s="13">
        <f t="shared" si="7"/>
        <v>0</v>
      </c>
      <c r="AE5" s="11">
        <v>0</v>
      </c>
      <c r="AF5" s="12">
        <v>2</v>
      </c>
      <c r="AG5" s="13">
        <v>2</v>
      </c>
      <c r="AH5" s="13">
        <f t="shared" si="8"/>
        <v>0</v>
      </c>
      <c r="AI5" s="11">
        <v>0</v>
      </c>
      <c r="AJ5" s="12">
        <v>0</v>
      </c>
      <c r="AK5" s="13">
        <v>0</v>
      </c>
      <c r="AL5" s="13">
        <f t="shared" si="9"/>
        <v>0</v>
      </c>
      <c r="AM5" s="11">
        <v>0</v>
      </c>
      <c r="AN5" s="12">
        <v>0</v>
      </c>
      <c r="AO5" s="13">
        <v>0</v>
      </c>
      <c r="AP5" s="13">
        <f t="shared" si="10"/>
        <v>0</v>
      </c>
      <c r="AQ5" s="11">
        <v>0</v>
      </c>
      <c r="AR5" s="12">
        <v>0</v>
      </c>
      <c r="AS5" s="13">
        <v>0</v>
      </c>
      <c r="AT5" s="13">
        <f t="shared" si="11"/>
        <v>0</v>
      </c>
      <c r="AU5" s="11">
        <v>0</v>
      </c>
      <c r="AV5" s="12">
        <v>1</v>
      </c>
      <c r="AW5" s="13">
        <v>0</v>
      </c>
      <c r="AX5" s="13">
        <f t="shared" si="12"/>
        <v>1</v>
      </c>
      <c r="AY5" s="11">
        <v>1</v>
      </c>
      <c r="AZ5" s="12">
        <v>1</v>
      </c>
      <c r="BA5" s="13">
        <v>0</v>
      </c>
      <c r="BB5" s="13">
        <f t="shared" si="13"/>
        <v>1</v>
      </c>
      <c r="BC5" s="11">
        <v>1</v>
      </c>
      <c r="BD5" s="12">
        <v>0</v>
      </c>
      <c r="BE5" s="13">
        <v>0</v>
      </c>
      <c r="BF5" s="13">
        <f t="shared" si="14"/>
        <v>0</v>
      </c>
      <c r="BG5" s="11">
        <v>0</v>
      </c>
      <c r="BH5" s="12">
        <v>0</v>
      </c>
      <c r="BI5" s="13">
        <v>0</v>
      </c>
      <c r="BJ5" s="13">
        <f t="shared" si="15"/>
        <v>0</v>
      </c>
      <c r="BK5" s="11">
        <v>0</v>
      </c>
      <c r="BL5" s="12">
        <v>0</v>
      </c>
      <c r="BM5" s="13">
        <v>0</v>
      </c>
      <c r="BN5" s="13">
        <f t="shared" si="16"/>
        <v>0</v>
      </c>
      <c r="BO5" s="11">
        <v>1</v>
      </c>
      <c r="BP5" s="12">
        <v>0</v>
      </c>
      <c r="BQ5" s="13">
        <v>0</v>
      </c>
      <c r="BR5" s="13">
        <f t="shared" si="17"/>
        <v>0</v>
      </c>
      <c r="BS5" s="11">
        <v>0</v>
      </c>
      <c r="BT5" s="12">
        <f t="shared" si="18"/>
        <v>8</v>
      </c>
      <c r="BU5" s="13">
        <f t="shared" si="19"/>
        <v>2</v>
      </c>
      <c r="BV5" s="13">
        <f t="shared" si="20"/>
        <v>4</v>
      </c>
      <c r="BW5" s="13">
        <f t="shared" si="21"/>
        <v>0.8</v>
      </c>
      <c r="BX5" s="13">
        <f t="shared" si="22"/>
        <v>0.66666666666666663</v>
      </c>
      <c r="BY5" s="11">
        <f t="shared" si="23"/>
        <v>0.72727272727272718</v>
      </c>
      <c r="CC5" s="133" t="s">
        <v>77</v>
      </c>
      <c r="CD5">
        <f>AVERAGE(BW7:BW8)</f>
        <v>0.875</v>
      </c>
      <c r="CE5">
        <f t="shared" ref="CE5:CF5" si="25">AVERAGE(BX7:BX8)</f>
        <v>0.85555555555555562</v>
      </c>
      <c r="CF5">
        <f t="shared" si="25"/>
        <v>0.86337760910815942</v>
      </c>
    </row>
    <row r="6" spans="1:84" x14ac:dyDescent="0.35">
      <c r="A6" s="50" t="s">
        <v>48</v>
      </c>
      <c r="B6" s="148"/>
      <c r="C6" s="11" t="s">
        <v>61</v>
      </c>
      <c r="D6" s="12">
        <v>2</v>
      </c>
      <c r="E6" s="13">
        <v>2</v>
      </c>
      <c r="F6" s="13">
        <f t="shared" si="1"/>
        <v>0</v>
      </c>
      <c r="G6" s="11">
        <v>0</v>
      </c>
      <c r="H6" s="12">
        <v>2</v>
      </c>
      <c r="I6" s="13">
        <v>2</v>
      </c>
      <c r="J6" s="13">
        <f t="shared" si="2"/>
        <v>0</v>
      </c>
      <c r="K6" s="11">
        <v>0</v>
      </c>
      <c r="L6" s="12">
        <v>0</v>
      </c>
      <c r="M6" s="13">
        <v>0</v>
      </c>
      <c r="N6" s="13">
        <f t="shared" si="3"/>
        <v>0</v>
      </c>
      <c r="O6" s="11">
        <v>0</v>
      </c>
      <c r="P6" s="12">
        <v>0</v>
      </c>
      <c r="Q6" s="13">
        <v>0</v>
      </c>
      <c r="R6" s="13">
        <f t="shared" si="4"/>
        <v>0</v>
      </c>
      <c r="S6" s="11">
        <v>1</v>
      </c>
      <c r="T6" s="12">
        <v>0</v>
      </c>
      <c r="U6" s="13">
        <v>0</v>
      </c>
      <c r="V6" s="13">
        <f t="shared" si="5"/>
        <v>0</v>
      </c>
      <c r="W6" s="11">
        <v>0</v>
      </c>
      <c r="X6" s="12">
        <v>2</v>
      </c>
      <c r="Y6" s="13">
        <v>2</v>
      </c>
      <c r="Z6" s="13">
        <f t="shared" si="6"/>
        <v>0</v>
      </c>
      <c r="AA6" s="11">
        <v>0</v>
      </c>
      <c r="AB6" s="12">
        <v>0</v>
      </c>
      <c r="AC6" s="13">
        <v>0</v>
      </c>
      <c r="AD6" s="13">
        <f t="shared" si="7"/>
        <v>0</v>
      </c>
      <c r="AE6" s="11">
        <v>0</v>
      </c>
      <c r="AF6" s="12">
        <v>2</v>
      </c>
      <c r="AG6" s="13">
        <v>2</v>
      </c>
      <c r="AH6" s="13">
        <f t="shared" si="8"/>
        <v>0</v>
      </c>
      <c r="AI6" s="11">
        <v>0</v>
      </c>
      <c r="AJ6" s="12">
        <v>0</v>
      </c>
      <c r="AK6" s="13">
        <v>0</v>
      </c>
      <c r="AL6" s="13">
        <f t="shared" si="9"/>
        <v>0</v>
      </c>
      <c r="AM6" s="11">
        <v>0</v>
      </c>
      <c r="AN6" s="12">
        <v>0</v>
      </c>
      <c r="AO6" s="13">
        <v>0</v>
      </c>
      <c r="AP6" s="13">
        <f t="shared" si="10"/>
        <v>0</v>
      </c>
      <c r="AQ6" s="11">
        <v>0</v>
      </c>
      <c r="AR6" s="12">
        <v>0</v>
      </c>
      <c r="AS6" s="13">
        <v>0</v>
      </c>
      <c r="AT6" s="13">
        <f t="shared" si="11"/>
        <v>0</v>
      </c>
      <c r="AU6" s="11">
        <v>0</v>
      </c>
      <c r="AV6" s="12">
        <v>1</v>
      </c>
      <c r="AW6" s="13">
        <v>0</v>
      </c>
      <c r="AX6" s="13">
        <f t="shared" si="12"/>
        <v>1</v>
      </c>
      <c r="AY6" s="11">
        <v>1</v>
      </c>
      <c r="AZ6" s="12">
        <v>1</v>
      </c>
      <c r="BA6" s="13">
        <v>0</v>
      </c>
      <c r="BB6" s="13">
        <f t="shared" si="13"/>
        <v>1</v>
      </c>
      <c r="BC6" s="11">
        <v>1</v>
      </c>
      <c r="BD6" s="12">
        <v>0</v>
      </c>
      <c r="BE6" s="13">
        <v>0</v>
      </c>
      <c r="BF6" s="13">
        <f t="shared" si="14"/>
        <v>0</v>
      </c>
      <c r="BG6" s="11">
        <v>0</v>
      </c>
      <c r="BH6" s="12">
        <v>0</v>
      </c>
      <c r="BI6" s="13">
        <v>0</v>
      </c>
      <c r="BJ6" s="13">
        <f t="shared" si="15"/>
        <v>0</v>
      </c>
      <c r="BK6" s="11">
        <v>0</v>
      </c>
      <c r="BL6" s="12">
        <v>0</v>
      </c>
      <c r="BM6" s="13">
        <v>0</v>
      </c>
      <c r="BN6" s="13">
        <f t="shared" si="16"/>
        <v>0</v>
      </c>
      <c r="BO6" s="11">
        <v>1</v>
      </c>
      <c r="BP6" s="12">
        <v>0</v>
      </c>
      <c r="BQ6" s="13">
        <v>0</v>
      </c>
      <c r="BR6" s="13">
        <f t="shared" si="17"/>
        <v>0</v>
      </c>
      <c r="BS6" s="11">
        <v>0</v>
      </c>
      <c r="BT6" s="12">
        <f t="shared" si="18"/>
        <v>8</v>
      </c>
      <c r="BU6" s="13">
        <f t="shared" si="19"/>
        <v>2</v>
      </c>
      <c r="BV6" s="13">
        <f t="shared" si="20"/>
        <v>4</v>
      </c>
      <c r="BW6" s="13">
        <f t="shared" si="21"/>
        <v>0.8</v>
      </c>
      <c r="BX6" s="13">
        <f t="shared" si="22"/>
        <v>0.66666666666666663</v>
      </c>
      <c r="BY6" s="11">
        <f t="shared" si="23"/>
        <v>0.72727272727272718</v>
      </c>
      <c r="CC6" s="133" t="s">
        <v>78</v>
      </c>
      <c r="CD6">
        <f>AVERAGE(BW9:BW10)</f>
        <v>1</v>
      </c>
      <c r="CE6">
        <f t="shared" ref="CE6:CF6" si="26">AVERAGE(BX9:BX10)</f>
        <v>0.86153846153846159</v>
      </c>
      <c r="CF6">
        <f t="shared" si="26"/>
        <v>0.92444444444444451</v>
      </c>
    </row>
    <row r="7" spans="1:84" x14ac:dyDescent="0.35">
      <c r="A7" s="51" t="s">
        <v>48</v>
      </c>
      <c r="B7" s="148"/>
      <c r="C7" s="14" t="s">
        <v>28</v>
      </c>
      <c r="D7" s="15">
        <v>2</v>
      </c>
      <c r="E7" s="16">
        <v>2</v>
      </c>
      <c r="F7" s="16">
        <f t="shared" si="1"/>
        <v>0</v>
      </c>
      <c r="G7" s="14">
        <v>0</v>
      </c>
      <c r="H7" s="15">
        <v>1</v>
      </c>
      <c r="I7" s="16">
        <v>1</v>
      </c>
      <c r="J7" s="16">
        <f t="shared" si="2"/>
        <v>0</v>
      </c>
      <c r="K7" s="14">
        <v>0</v>
      </c>
      <c r="L7" s="15">
        <v>1</v>
      </c>
      <c r="M7" s="16">
        <v>1</v>
      </c>
      <c r="N7" s="16">
        <f t="shared" si="3"/>
        <v>0</v>
      </c>
      <c r="O7" s="14">
        <v>0</v>
      </c>
      <c r="P7" s="15">
        <v>1</v>
      </c>
      <c r="Q7" s="16">
        <v>1</v>
      </c>
      <c r="R7" s="16">
        <f t="shared" si="4"/>
        <v>0</v>
      </c>
      <c r="S7" s="14">
        <v>0</v>
      </c>
      <c r="T7" s="15">
        <v>1</v>
      </c>
      <c r="U7" s="16">
        <v>1</v>
      </c>
      <c r="V7" s="16">
        <f t="shared" si="5"/>
        <v>0</v>
      </c>
      <c r="W7" s="14">
        <v>0</v>
      </c>
      <c r="X7" s="15">
        <v>3</v>
      </c>
      <c r="Y7" s="16">
        <v>3</v>
      </c>
      <c r="Z7" s="16">
        <f t="shared" si="6"/>
        <v>0</v>
      </c>
      <c r="AA7" s="14">
        <v>0</v>
      </c>
      <c r="AB7" s="15">
        <v>0</v>
      </c>
      <c r="AC7" s="16">
        <v>0</v>
      </c>
      <c r="AD7" s="16">
        <f t="shared" si="7"/>
        <v>0</v>
      </c>
      <c r="AE7" s="14">
        <v>0</v>
      </c>
      <c r="AF7" s="15">
        <v>3</v>
      </c>
      <c r="AG7" s="16">
        <v>3</v>
      </c>
      <c r="AH7" s="16">
        <f t="shared" si="8"/>
        <v>0</v>
      </c>
      <c r="AI7" s="14">
        <v>0</v>
      </c>
      <c r="AJ7" s="15">
        <v>0</v>
      </c>
      <c r="AK7" s="16">
        <v>0</v>
      </c>
      <c r="AL7" s="16">
        <f t="shared" si="9"/>
        <v>0</v>
      </c>
      <c r="AM7" s="14">
        <v>1</v>
      </c>
      <c r="AN7" s="15">
        <v>1</v>
      </c>
      <c r="AO7" s="16">
        <v>0</v>
      </c>
      <c r="AP7" s="16">
        <f t="shared" si="10"/>
        <v>1</v>
      </c>
      <c r="AQ7" s="14">
        <v>0</v>
      </c>
      <c r="AR7" s="15">
        <v>0</v>
      </c>
      <c r="AS7" s="16">
        <v>0</v>
      </c>
      <c r="AT7" s="16">
        <f t="shared" si="11"/>
        <v>0</v>
      </c>
      <c r="AU7" s="14">
        <v>0</v>
      </c>
      <c r="AV7" s="15">
        <v>0</v>
      </c>
      <c r="AW7" s="16">
        <v>0</v>
      </c>
      <c r="AX7" s="16">
        <f t="shared" si="12"/>
        <v>0</v>
      </c>
      <c r="AY7" s="14">
        <v>0</v>
      </c>
      <c r="AZ7" s="15">
        <v>1</v>
      </c>
      <c r="BA7" s="16">
        <v>1</v>
      </c>
      <c r="BB7" s="16">
        <f t="shared" si="13"/>
        <v>0</v>
      </c>
      <c r="BC7" s="14">
        <v>0</v>
      </c>
      <c r="BD7" s="15">
        <v>2</v>
      </c>
      <c r="BE7" s="16">
        <v>1</v>
      </c>
      <c r="BF7" s="16">
        <f t="shared" si="14"/>
        <v>1</v>
      </c>
      <c r="BG7" s="14">
        <v>0</v>
      </c>
      <c r="BH7" s="15">
        <v>0</v>
      </c>
      <c r="BI7" s="16">
        <v>0</v>
      </c>
      <c r="BJ7" s="16">
        <f t="shared" si="15"/>
        <v>0</v>
      </c>
      <c r="BK7" s="14">
        <v>0</v>
      </c>
      <c r="BL7" s="15">
        <v>0</v>
      </c>
      <c r="BM7" s="16">
        <v>0</v>
      </c>
      <c r="BN7" s="16">
        <f t="shared" si="16"/>
        <v>0</v>
      </c>
      <c r="BO7" s="14">
        <v>0</v>
      </c>
      <c r="BP7" s="15">
        <v>0</v>
      </c>
      <c r="BQ7" s="16">
        <v>0</v>
      </c>
      <c r="BR7" s="16">
        <f t="shared" si="17"/>
        <v>0</v>
      </c>
      <c r="BS7" s="14">
        <v>0</v>
      </c>
      <c r="BT7" s="15">
        <f t="shared" si="18"/>
        <v>14</v>
      </c>
      <c r="BU7" s="16">
        <f t="shared" si="19"/>
        <v>2</v>
      </c>
      <c r="BV7" s="16">
        <f t="shared" si="20"/>
        <v>1</v>
      </c>
      <c r="BW7" s="16">
        <f t="shared" si="21"/>
        <v>0.875</v>
      </c>
      <c r="BX7" s="16">
        <f t="shared" si="22"/>
        <v>0.93333333333333335</v>
      </c>
      <c r="BY7" s="14">
        <f t="shared" si="23"/>
        <v>0.90322580645161288</v>
      </c>
      <c r="CC7" s="133" t="s">
        <v>79</v>
      </c>
      <c r="CD7">
        <f>AVERAGE(BW11:BW12)</f>
        <v>0.71428571428571419</v>
      </c>
      <c r="CE7">
        <f t="shared" ref="CE7:CF7" si="27">AVERAGE(BX11:BX12)</f>
        <v>0.83750000000000002</v>
      </c>
      <c r="CF7">
        <f t="shared" si="27"/>
        <v>0.7686222808174028</v>
      </c>
    </row>
    <row r="8" spans="1:84" x14ac:dyDescent="0.35">
      <c r="A8" s="51" t="s">
        <v>48</v>
      </c>
      <c r="B8" s="148"/>
      <c r="C8" s="14" t="s">
        <v>62</v>
      </c>
      <c r="D8" s="15">
        <v>2</v>
      </c>
      <c r="E8" s="16">
        <v>2</v>
      </c>
      <c r="F8" s="16">
        <f t="shared" si="1"/>
        <v>0</v>
      </c>
      <c r="G8" s="14">
        <v>0</v>
      </c>
      <c r="H8" s="15">
        <v>1</v>
      </c>
      <c r="I8" s="16">
        <v>1</v>
      </c>
      <c r="J8" s="16">
        <f t="shared" si="2"/>
        <v>0</v>
      </c>
      <c r="K8" s="14">
        <v>0</v>
      </c>
      <c r="L8" s="15">
        <v>1</v>
      </c>
      <c r="M8" s="16">
        <v>1</v>
      </c>
      <c r="N8" s="16">
        <f t="shared" si="3"/>
        <v>0</v>
      </c>
      <c r="O8" s="14">
        <v>0</v>
      </c>
      <c r="P8" s="15">
        <v>1</v>
      </c>
      <c r="Q8" s="16">
        <v>1</v>
      </c>
      <c r="R8" s="16">
        <f t="shared" si="4"/>
        <v>0</v>
      </c>
      <c r="S8" s="14">
        <v>0</v>
      </c>
      <c r="T8" s="15">
        <v>1</v>
      </c>
      <c r="U8" s="16">
        <v>1</v>
      </c>
      <c r="V8" s="16">
        <f t="shared" si="5"/>
        <v>0</v>
      </c>
      <c r="W8" s="14">
        <v>0</v>
      </c>
      <c r="X8" s="15">
        <v>3</v>
      </c>
      <c r="Y8" s="16">
        <v>3</v>
      </c>
      <c r="Z8" s="16">
        <f t="shared" si="6"/>
        <v>0</v>
      </c>
      <c r="AA8" s="14">
        <v>0</v>
      </c>
      <c r="AB8" s="15">
        <v>0</v>
      </c>
      <c r="AC8" s="16">
        <v>0</v>
      </c>
      <c r="AD8" s="16">
        <f t="shared" si="7"/>
        <v>0</v>
      </c>
      <c r="AE8" s="14">
        <v>0</v>
      </c>
      <c r="AF8" s="15">
        <v>3</v>
      </c>
      <c r="AG8" s="16">
        <v>3</v>
      </c>
      <c r="AH8" s="16">
        <f t="shared" si="8"/>
        <v>0</v>
      </c>
      <c r="AI8" s="14">
        <v>0</v>
      </c>
      <c r="AJ8" s="15">
        <v>0</v>
      </c>
      <c r="AK8" s="16">
        <v>0</v>
      </c>
      <c r="AL8" s="16">
        <f t="shared" si="9"/>
        <v>0</v>
      </c>
      <c r="AM8" s="14">
        <v>1</v>
      </c>
      <c r="AN8" s="15">
        <v>1</v>
      </c>
      <c r="AO8" s="16">
        <v>0</v>
      </c>
      <c r="AP8" s="16">
        <f t="shared" si="10"/>
        <v>1</v>
      </c>
      <c r="AQ8" s="14">
        <v>0</v>
      </c>
      <c r="AR8" s="15">
        <v>0</v>
      </c>
      <c r="AS8" s="16">
        <v>0</v>
      </c>
      <c r="AT8" s="16">
        <f t="shared" si="11"/>
        <v>0</v>
      </c>
      <c r="AU8" s="14">
        <v>1</v>
      </c>
      <c r="AV8" s="15">
        <v>0</v>
      </c>
      <c r="AW8" s="16">
        <v>0</v>
      </c>
      <c r="AX8" s="16">
        <f t="shared" si="12"/>
        <v>0</v>
      </c>
      <c r="AY8" s="14">
        <v>0</v>
      </c>
      <c r="AZ8" s="15">
        <v>1</v>
      </c>
      <c r="BA8" s="16">
        <v>1</v>
      </c>
      <c r="BB8" s="16">
        <f t="shared" si="13"/>
        <v>0</v>
      </c>
      <c r="BC8" s="14">
        <v>1</v>
      </c>
      <c r="BD8" s="15">
        <v>2</v>
      </c>
      <c r="BE8" s="16">
        <v>1</v>
      </c>
      <c r="BF8" s="16">
        <f t="shared" si="14"/>
        <v>1</v>
      </c>
      <c r="BG8" s="14">
        <v>0</v>
      </c>
      <c r="BH8" s="15">
        <v>0</v>
      </c>
      <c r="BI8" s="16">
        <v>0</v>
      </c>
      <c r="BJ8" s="16">
        <f t="shared" si="15"/>
        <v>0</v>
      </c>
      <c r="BK8" s="14">
        <v>0</v>
      </c>
      <c r="BL8" s="15">
        <v>0</v>
      </c>
      <c r="BM8" s="16">
        <v>0</v>
      </c>
      <c r="BN8" s="16">
        <f t="shared" si="16"/>
        <v>0</v>
      </c>
      <c r="BO8" s="14">
        <v>1</v>
      </c>
      <c r="BP8" s="15">
        <v>0</v>
      </c>
      <c r="BQ8" s="16">
        <v>0</v>
      </c>
      <c r="BR8" s="16">
        <f t="shared" si="17"/>
        <v>0</v>
      </c>
      <c r="BS8" s="14">
        <v>0</v>
      </c>
      <c r="BT8" s="15">
        <f t="shared" si="18"/>
        <v>14</v>
      </c>
      <c r="BU8" s="16">
        <f t="shared" si="19"/>
        <v>2</v>
      </c>
      <c r="BV8" s="16">
        <f t="shared" si="20"/>
        <v>4</v>
      </c>
      <c r="BW8" s="16">
        <f t="shared" si="21"/>
        <v>0.875</v>
      </c>
      <c r="BX8" s="16">
        <f t="shared" si="22"/>
        <v>0.77777777777777779</v>
      </c>
      <c r="BY8" s="14">
        <f t="shared" si="23"/>
        <v>0.82352941176470595</v>
      </c>
      <c r="CC8" s="133" t="s">
        <v>80</v>
      </c>
      <c r="CD8">
        <f>AVERAGE(BW13:BW14)</f>
        <v>1</v>
      </c>
      <c r="CE8">
        <f t="shared" ref="CE8:CF8" si="28">AVERAGE(BX13:BX14)</f>
        <v>0.88277511961722488</v>
      </c>
      <c r="CF8">
        <f t="shared" si="28"/>
        <v>0.93648648648648658</v>
      </c>
    </row>
    <row r="9" spans="1:84" x14ac:dyDescent="0.35">
      <c r="A9" s="52" t="s">
        <v>48</v>
      </c>
      <c r="B9" s="148"/>
      <c r="C9" s="17" t="s">
        <v>29</v>
      </c>
      <c r="D9" s="18">
        <v>1</v>
      </c>
      <c r="E9" s="19">
        <v>1</v>
      </c>
      <c r="F9" s="19">
        <f t="shared" si="1"/>
        <v>0</v>
      </c>
      <c r="G9" s="17">
        <v>0</v>
      </c>
      <c r="H9" s="18">
        <v>0</v>
      </c>
      <c r="I9" s="19">
        <v>0</v>
      </c>
      <c r="J9" s="19">
        <f t="shared" si="2"/>
        <v>0</v>
      </c>
      <c r="K9" s="17">
        <v>0</v>
      </c>
      <c r="L9" s="18">
        <v>0</v>
      </c>
      <c r="M9" s="19">
        <v>0</v>
      </c>
      <c r="N9" s="19">
        <f t="shared" si="3"/>
        <v>0</v>
      </c>
      <c r="O9" s="17">
        <v>0</v>
      </c>
      <c r="P9" s="18">
        <v>0</v>
      </c>
      <c r="Q9" s="19">
        <v>0</v>
      </c>
      <c r="R9" s="19">
        <f t="shared" si="4"/>
        <v>0</v>
      </c>
      <c r="S9" s="17">
        <v>0</v>
      </c>
      <c r="T9" s="18">
        <v>0</v>
      </c>
      <c r="U9" s="19">
        <v>0</v>
      </c>
      <c r="V9" s="19">
        <f t="shared" si="5"/>
        <v>0</v>
      </c>
      <c r="W9" s="17">
        <v>0</v>
      </c>
      <c r="X9" s="18">
        <v>3</v>
      </c>
      <c r="Y9" s="19">
        <v>3</v>
      </c>
      <c r="Z9" s="19">
        <f t="shared" si="6"/>
        <v>0</v>
      </c>
      <c r="AA9" s="17">
        <v>0</v>
      </c>
      <c r="AB9" s="18">
        <v>4</v>
      </c>
      <c r="AC9" s="19">
        <v>4</v>
      </c>
      <c r="AD9" s="19">
        <f t="shared" si="7"/>
        <v>0</v>
      </c>
      <c r="AE9" s="17">
        <v>0</v>
      </c>
      <c r="AF9" s="18">
        <v>3</v>
      </c>
      <c r="AG9" s="19">
        <v>3</v>
      </c>
      <c r="AH9" s="19">
        <f t="shared" si="8"/>
        <v>0</v>
      </c>
      <c r="AI9" s="17">
        <v>0</v>
      </c>
      <c r="AJ9" s="18">
        <v>0</v>
      </c>
      <c r="AK9" s="19">
        <v>0</v>
      </c>
      <c r="AL9" s="19">
        <f t="shared" si="9"/>
        <v>0</v>
      </c>
      <c r="AM9" s="17">
        <v>0</v>
      </c>
      <c r="AN9" s="18">
        <v>0</v>
      </c>
      <c r="AO9" s="19">
        <v>0</v>
      </c>
      <c r="AP9" s="19">
        <f t="shared" si="10"/>
        <v>0</v>
      </c>
      <c r="AQ9" s="17">
        <v>0</v>
      </c>
      <c r="AR9" s="18">
        <v>0</v>
      </c>
      <c r="AS9" s="19">
        <v>0</v>
      </c>
      <c r="AT9" s="19">
        <f t="shared" si="11"/>
        <v>0</v>
      </c>
      <c r="AU9" s="17">
        <v>1</v>
      </c>
      <c r="AV9" s="18">
        <v>0</v>
      </c>
      <c r="AW9" s="19">
        <v>0</v>
      </c>
      <c r="AX9" s="19">
        <f t="shared" si="12"/>
        <v>0</v>
      </c>
      <c r="AY9" s="17">
        <v>0</v>
      </c>
      <c r="AZ9" s="18">
        <v>0</v>
      </c>
      <c r="BA9" s="19">
        <v>0</v>
      </c>
      <c r="BB9" s="19">
        <f t="shared" si="13"/>
        <v>0</v>
      </c>
      <c r="BC9" s="17">
        <v>0</v>
      </c>
      <c r="BD9" s="18">
        <v>0</v>
      </c>
      <c r="BE9" s="19">
        <v>0</v>
      </c>
      <c r="BF9" s="19">
        <f t="shared" si="14"/>
        <v>0</v>
      </c>
      <c r="BG9" s="17">
        <v>0</v>
      </c>
      <c r="BH9" s="18">
        <v>1</v>
      </c>
      <c r="BI9" s="19">
        <v>1</v>
      </c>
      <c r="BJ9" s="19">
        <f t="shared" si="15"/>
        <v>0</v>
      </c>
      <c r="BK9" s="17">
        <v>0</v>
      </c>
      <c r="BL9" s="18">
        <v>0</v>
      </c>
      <c r="BM9" s="19">
        <v>0</v>
      </c>
      <c r="BN9" s="19">
        <f t="shared" si="16"/>
        <v>0</v>
      </c>
      <c r="BO9" s="17">
        <v>0</v>
      </c>
      <c r="BP9" s="18">
        <v>0</v>
      </c>
      <c r="BQ9" s="19">
        <v>0</v>
      </c>
      <c r="BR9" s="19">
        <f t="shared" si="17"/>
        <v>0</v>
      </c>
      <c r="BS9" s="17">
        <v>0</v>
      </c>
      <c r="BT9" s="18">
        <f t="shared" si="18"/>
        <v>12</v>
      </c>
      <c r="BU9" s="19">
        <f t="shared" si="19"/>
        <v>0</v>
      </c>
      <c r="BV9" s="19">
        <f t="shared" si="20"/>
        <v>1</v>
      </c>
      <c r="BW9" s="19">
        <f t="shared" si="21"/>
        <v>1</v>
      </c>
      <c r="BX9" s="19">
        <f t="shared" si="22"/>
        <v>0.92307692307692313</v>
      </c>
      <c r="BY9" s="17">
        <f t="shared" si="23"/>
        <v>0.96000000000000008</v>
      </c>
      <c r="CC9" s="133" t="s">
        <v>81</v>
      </c>
      <c r="CD9">
        <f>AVERAGE(BW15:BW16)</f>
        <v>0.88461538461538458</v>
      </c>
      <c r="CE9">
        <f t="shared" ref="CE9:CF9" si="29">AVERAGE(BX15:BX16)</f>
        <v>0.81794871794871793</v>
      </c>
      <c r="CF9">
        <f t="shared" si="29"/>
        <v>0.84890109890109899</v>
      </c>
    </row>
    <row r="10" spans="1:84" x14ac:dyDescent="0.35">
      <c r="A10" s="52" t="s">
        <v>48</v>
      </c>
      <c r="B10" s="148"/>
      <c r="C10" s="17" t="s">
        <v>45</v>
      </c>
      <c r="D10" s="18">
        <v>1</v>
      </c>
      <c r="E10" s="19">
        <v>1</v>
      </c>
      <c r="F10" s="19">
        <f t="shared" si="1"/>
        <v>0</v>
      </c>
      <c r="G10" s="17">
        <v>0</v>
      </c>
      <c r="H10" s="18">
        <v>0</v>
      </c>
      <c r="I10" s="19">
        <v>0</v>
      </c>
      <c r="J10" s="19">
        <f t="shared" si="2"/>
        <v>0</v>
      </c>
      <c r="K10" s="17">
        <v>0</v>
      </c>
      <c r="L10" s="18">
        <v>0</v>
      </c>
      <c r="M10" s="19">
        <v>0</v>
      </c>
      <c r="N10" s="19">
        <f t="shared" si="3"/>
        <v>0</v>
      </c>
      <c r="O10" s="17">
        <v>0</v>
      </c>
      <c r="P10" s="18">
        <v>0</v>
      </c>
      <c r="Q10" s="19">
        <v>0</v>
      </c>
      <c r="R10" s="19">
        <f t="shared" si="4"/>
        <v>0</v>
      </c>
      <c r="S10" s="17">
        <v>0</v>
      </c>
      <c r="T10" s="18">
        <v>0</v>
      </c>
      <c r="U10" s="19">
        <v>0</v>
      </c>
      <c r="V10" s="19">
        <f t="shared" si="5"/>
        <v>0</v>
      </c>
      <c r="W10" s="17">
        <v>0</v>
      </c>
      <c r="X10" s="18">
        <v>3</v>
      </c>
      <c r="Y10" s="19">
        <v>3</v>
      </c>
      <c r="Z10" s="19">
        <f t="shared" si="6"/>
        <v>0</v>
      </c>
      <c r="AA10" s="17">
        <v>0</v>
      </c>
      <c r="AB10" s="18">
        <v>4</v>
      </c>
      <c r="AC10" s="19">
        <v>4</v>
      </c>
      <c r="AD10" s="19">
        <f t="shared" si="7"/>
        <v>0</v>
      </c>
      <c r="AE10" s="17">
        <v>0</v>
      </c>
      <c r="AF10" s="18">
        <v>3</v>
      </c>
      <c r="AG10" s="19">
        <v>3</v>
      </c>
      <c r="AH10" s="19">
        <f t="shared" si="8"/>
        <v>0</v>
      </c>
      <c r="AI10" s="17">
        <v>0</v>
      </c>
      <c r="AJ10" s="18">
        <v>0</v>
      </c>
      <c r="AK10" s="19">
        <v>0</v>
      </c>
      <c r="AL10" s="19">
        <f t="shared" si="9"/>
        <v>0</v>
      </c>
      <c r="AM10" s="17">
        <v>0</v>
      </c>
      <c r="AN10" s="18">
        <v>0</v>
      </c>
      <c r="AO10" s="19">
        <v>0</v>
      </c>
      <c r="AP10" s="19">
        <f t="shared" si="10"/>
        <v>0</v>
      </c>
      <c r="AQ10" s="17">
        <v>0</v>
      </c>
      <c r="AR10" s="18">
        <v>0</v>
      </c>
      <c r="AS10" s="19">
        <v>0</v>
      </c>
      <c r="AT10" s="19">
        <f t="shared" si="11"/>
        <v>0</v>
      </c>
      <c r="AU10" s="17">
        <v>1</v>
      </c>
      <c r="AV10" s="18">
        <v>0</v>
      </c>
      <c r="AW10" s="19">
        <v>0</v>
      </c>
      <c r="AX10" s="19">
        <f t="shared" si="12"/>
        <v>0</v>
      </c>
      <c r="AY10" s="17">
        <v>1</v>
      </c>
      <c r="AZ10" s="18">
        <v>0</v>
      </c>
      <c r="BA10" s="19">
        <v>0</v>
      </c>
      <c r="BB10" s="19">
        <f t="shared" si="13"/>
        <v>0</v>
      </c>
      <c r="BC10" s="17">
        <v>1</v>
      </c>
      <c r="BD10" s="18">
        <v>0</v>
      </c>
      <c r="BE10" s="19">
        <v>0</v>
      </c>
      <c r="BF10" s="19">
        <f t="shared" si="14"/>
        <v>0</v>
      </c>
      <c r="BG10" s="17">
        <v>0</v>
      </c>
      <c r="BH10" s="18">
        <v>1</v>
      </c>
      <c r="BI10" s="19">
        <v>1</v>
      </c>
      <c r="BJ10" s="19">
        <f t="shared" si="15"/>
        <v>0</v>
      </c>
      <c r="BK10" s="17">
        <v>0</v>
      </c>
      <c r="BL10" s="18">
        <v>0</v>
      </c>
      <c r="BM10" s="19">
        <v>0</v>
      </c>
      <c r="BN10" s="19">
        <f t="shared" si="16"/>
        <v>0</v>
      </c>
      <c r="BO10" s="17">
        <v>0</v>
      </c>
      <c r="BP10" s="18">
        <v>0</v>
      </c>
      <c r="BQ10" s="19">
        <v>0</v>
      </c>
      <c r="BR10" s="19">
        <f t="shared" si="17"/>
        <v>0</v>
      </c>
      <c r="BS10" s="17">
        <v>0</v>
      </c>
      <c r="BT10" s="18">
        <f t="shared" si="18"/>
        <v>12</v>
      </c>
      <c r="BU10" s="19">
        <f t="shared" si="19"/>
        <v>0</v>
      </c>
      <c r="BV10" s="19">
        <f t="shared" si="20"/>
        <v>3</v>
      </c>
      <c r="BW10" s="19">
        <f t="shared" si="21"/>
        <v>1</v>
      </c>
      <c r="BX10" s="19">
        <f t="shared" si="22"/>
        <v>0.8</v>
      </c>
      <c r="BY10" s="17">
        <f t="shared" si="23"/>
        <v>0.88888888888888895</v>
      </c>
      <c r="CC10" s="133" t="s">
        <v>82</v>
      </c>
      <c r="CD10">
        <f>AVERAGE(BW17:BW18)</f>
        <v>0.90909090909090906</v>
      </c>
      <c r="CE10">
        <f t="shared" ref="CE10:CF10" si="30">AVERAGE(BX17:BX18)</f>
        <v>0.74175824175824179</v>
      </c>
      <c r="CF10">
        <f t="shared" si="30"/>
        <v>0.81666666666666665</v>
      </c>
    </row>
    <row r="11" spans="1:84" x14ac:dyDescent="0.35">
      <c r="A11" s="53" t="s">
        <v>48</v>
      </c>
      <c r="B11" s="148"/>
      <c r="C11" s="20" t="s">
        <v>30</v>
      </c>
      <c r="D11" s="21">
        <v>2</v>
      </c>
      <c r="E11" s="22">
        <v>2</v>
      </c>
      <c r="F11" s="22">
        <f t="shared" si="1"/>
        <v>0</v>
      </c>
      <c r="G11" s="20">
        <v>0</v>
      </c>
      <c r="H11" s="21">
        <v>1</v>
      </c>
      <c r="I11" s="22">
        <v>0</v>
      </c>
      <c r="J11" s="22">
        <f t="shared" si="2"/>
        <v>1</v>
      </c>
      <c r="K11" s="20">
        <v>0</v>
      </c>
      <c r="L11" s="21">
        <v>2</v>
      </c>
      <c r="M11" s="22">
        <v>0</v>
      </c>
      <c r="N11" s="22">
        <f t="shared" si="3"/>
        <v>2</v>
      </c>
      <c r="O11" s="20">
        <v>0</v>
      </c>
      <c r="P11" s="21">
        <v>2</v>
      </c>
      <c r="Q11" s="22">
        <v>2</v>
      </c>
      <c r="R11" s="22">
        <f t="shared" si="4"/>
        <v>0</v>
      </c>
      <c r="S11" s="20">
        <v>2</v>
      </c>
      <c r="T11" s="21">
        <v>2</v>
      </c>
      <c r="U11" s="22">
        <v>2</v>
      </c>
      <c r="V11" s="22">
        <f t="shared" si="5"/>
        <v>0</v>
      </c>
      <c r="W11" s="20">
        <v>0</v>
      </c>
      <c r="X11" s="21">
        <v>4</v>
      </c>
      <c r="Y11" s="22">
        <v>4</v>
      </c>
      <c r="Z11" s="22">
        <f t="shared" si="6"/>
        <v>0</v>
      </c>
      <c r="AA11" s="20">
        <v>0</v>
      </c>
      <c r="AB11" s="21">
        <v>0</v>
      </c>
      <c r="AC11" s="22">
        <v>0</v>
      </c>
      <c r="AD11" s="22">
        <f t="shared" si="7"/>
        <v>0</v>
      </c>
      <c r="AE11" s="20">
        <v>0</v>
      </c>
      <c r="AF11" s="21">
        <v>4</v>
      </c>
      <c r="AG11" s="22">
        <v>4</v>
      </c>
      <c r="AH11" s="22">
        <f t="shared" si="8"/>
        <v>0</v>
      </c>
      <c r="AI11" s="20">
        <v>0</v>
      </c>
      <c r="AJ11" s="21">
        <v>1</v>
      </c>
      <c r="AK11" s="22">
        <v>1</v>
      </c>
      <c r="AL11" s="22">
        <f t="shared" si="9"/>
        <v>0</v>
      </c>
      <c r="AM11" s="20">
        <v>0</v>
      </c>
      <c r="AN11" s="21">
        <v>0</v>
      </c>
      <c r="AO11" s="22">
        <v>0</v>
      </c>
      <c r="AP11" s="22">
        <f t="shared" si="10"/>
        <v>0</v>
      </c>
      <c r="AQ11" s="20">
        <v>1</v>
      </c>
      <c r="AR11" s="21">
        <v>0</v>
      </c>
      <c r="AS11" s="22">
        <v>0</v>
      </c>
      <c r="AT11" s="22">
        <f t="shared" si="11"/>
        <v>0</v>
      </c>
      <c r="AU11" s="20">
        <v>0</v>
      </c>
      <c r="AV11" s="21">
        <v>0</v>
      </c>
      <c r="AW11" s="22">
        <v>0</v>
      </c>
      <c r="AX11" s="22">
        <f t="shared" si="12"/>
        <v>0</v>
      </c>
      <c r="AY11" s="20">
        <v>0</v>
      </c>
      <c r="AZ11" s="21">
        <v>1</v>
      </c>
      <c r="BA11" s="22">
        <v>1</v>
      </c>
      <c r="BB11" s="22">
        <f t="shared" si="13"/>
        <v>0</v>
      </c>
      <c r="BC11" s="20">
        <v>1</v>
      </c>
      <c r="BD11" s="21">
        <v>2</v>
      </c>
      <c r="BE11" s="22">
        <v>0</v>
      </c>
      <c r="BF11" s="22">
        <f t="shared" si="14"/>
        <v>2</v>
      </c>
      <c r="BG11" s="20">
        <v>0</v>
      </c>
      <c r="BH11" s="21">
        <v>0</v>
      </c>
      <c r="BI11" s="22">
        <v>0</v>
      </c>
      <c r="BJ11" s="22">
        <f t="shared" si="15"/>
        <v>0</v>
      </c>
      <c r="BK11" s="20">
        <v>0</v>
      </c>
      <c r="BL11" s="21">
        <v>0</v>
      </c>
      <c r="BM11" s="22">
        <v>0</v>
      </c>
      <c r="BN11" s="22">
        <f t="shared" si="16"/>
        <v>0</v>
      </c>
      <c r="BO11" s="20">
        <v>0</v>
      </c>
      <c r="BP11" s="21">
        <v>0</v>
      </c>
      <c r="BQ11" s="22">
        <v>0</v>
      </c>
      <c r="BR11" s="22">
        <f t="shared" si="17"/>
        <v>0</v>
      </c>
      <c r="BS11" s="20">
        <v>0</v>
      </c>
      <c r="BT11" s="21">
        <f t="shared" si="18"/>
        <v>16</v>
      </c>
      <c r="BU11" s="22">
        <f t="shared" si="19"/>
        <v>5</v>
      </c>
      <c r="BV11" s="22">
        <f t="shared" si="20"/>
        <v>4</v>
      </c>
      <c r="BW11" s="22">
        <f t="shared" si="21"/>
        <v>0.76190476190476186</v>
      </c>
      <c r="BX11" s="22">
        <f t="shared" si="22"/>
        <v>0.8</v>
      </c>
      <c r="BY11" s="20">
        <f t="shared" si="23"/>
        <v>0.78048780487804881</v>
      </c>
      <c r="CC11" s="133" t="s">
        <v>83</v>
      </c>
      <c r="CD11">
        <f>AVERAGE(BW19:BW20)</f>
        <v>0.83333333333333337</v>
      </c>
      <c r="CE11">
        <f t="shared" ref="CE11:CF11" si="31">AVERAGE(BX19:BX20)</f>
        <v>0.7142857142857143</v>
      </c>
      <c r="CF11">
        <f t="shared" si="31"/>
        <v>0.76923076923076916</v>
      </c>
    </row>
    <row r="12" spans="1:84" x14ac:dyDescent="0.35">
      <c r="A12" s="53" t="s">
        <v>48</v>
      </c>
      <c r="B12" s="148"/>
      <c r="C12" s="20" t="s">
        <v>63</v>
      </c>
      <c r="D12" s="21">
        <v>2</v>
      </c>
      <c r="E12" s="22">
        <v>2</v>
      </c>
      <c r="F12" s="22">
        <f t="shared" si="1"/>
        <v>0</v>
      </c>
      <c r="G12" s="20">
        <v>0</v>
      </c>
      <c r="H12" s="21">
        <v>1</v>
      </c>
      <c r="I12" s="22">
        <v>0</v>
      </c>
      <c r="J12" s="22">
        <f>H12-I12</f>
        <v>1</v>
      </c>
      <c r="K12" s="20">
        <v>0</v>
      </c>
      <c r="L12" s="21">
        <v>2</v>
      </c>
      <c r="M12" s="22">
        <v>0</v>
      </c>
      <c r="N12" s="22">
        <f t="shared" si="3"/>
        <v>2</v>
      </c>
      <c r="O12" s="20">
        <v>0</v>
      </c>
      <c r="P12" s="21">
        <v>2</v>
      </c>
      <c r="Q12" s="22">
        <v>2</v>
      </c>
      <c r="R12" s="22">
        <f>P12-Q12</f>
        <v>0</v>
      </c>
      <c r="S12" s="20">
        <v>2</v>
      </c>
      <c r="T12" s="21">
        <v>2</v>
      </c>
      <c r="U12" s="22">
        <v>2</v>
      </c>
      <c r="V12" s="22">
        <f t="shared" si="5"/>
        <v>0</v>
      </c>
      <c r="W12" s="20">
        <v>0</v>
      </c>
      <c r="X12" s="21">
        <v>4</v>
      </c>
      <c r="Y12" s="22">
        <v>3</v>
      </c>
      <c r="Z12" s="22">
        <f t="shared" si="6"/>
        <v>1</v>
      </c>
      <c r="AA12" s="20">
        <v>0</v>
      </c>
      <c r="AB12" s="21">
        <v>0</v>
      </c>
      <c r="AC12" s="22">
        <v>0</v>
      </c>
      <c r="AD12" s="22">
        <f t="shared" si="7"/>
        <v>0</v>
      </c>
      <c r="AE12" s="20">
        <v>0</v>
      </c>
      <c r="AF12" s="21">
        <v>4</v>
      </c>
      <c r="AG12" s="22">
        <v>3</v>
      </c>
      <c r="AH12" s="22">
        <f t="shared" si="8"/>
        <v>1</v>
      </c>
      <c r="AI12" s="20">
        <v>0</v>
      </c>
      <c r="AJ12" s="21">
        <v>1</v>
      </c>
      <c r="AK12" s="22">
        <v>1</v>
      </c>
      <c r="AL12" s="22">
        <f t="shared" si="9"/>
        <v>0</v>
      </c>
      <c r="AM12" s="20">
        <v>0</v>
      </c>
      <c r="AN12" s="21">
        <v>0</v>
      </c>
      <c r="AO12" s="22">
        <v>0</v>
      </c>
      <c r="AP12" s="22">
        <f t="shared" si="10"/>
        <v>0</v>
      </c>
      <c r="AQ12" s="20">
        <v>0</v>
      </c>
      <c r="AR12" s="21">
        <v>0</v>
      </c>
      <c r="AS12" s="22">
        <v>0</v>
      </c>
      <c r="AT12" s="22">
        <f t="shared" si="11"/>
        <v>0</v>
      </c>
      <c r="AU12" s="20">
        <v>0</v>
      </c>
      <c r="AV12" s="21">
        <v>0</v>
      </c>
      <c r="AW12" s="22">
        <v>0</v>
      </c>
      <c r="AX12" s="22">
        <f>AV12-AW12</f>
        <v>0</v>
      </c>
      <c r="AY12" s="20">
        <v>0</v>
      </c>
      <c r="AZ12" s="21">
        <v>1</v>
      </c>
      <c r="BA12" s="22">
        <v>1</v>
      </c>
      <c r="BB12" s="22">
        <f t="shared" si="13"/>
        <v>0</v>
      </c>
      <c r="BC12" s="20">
        <v>0</v>
      </c>
      <c r="BD12" s="21">
        <v>2</v>
      </c>
      <c r="BE12" s="22">
        <v>0</v>
      </c>
      <c r="BF12" s="22">
        <f t="shared" si="14"/>
        <v>2</v>
      </c>
      <c r="BG12" s="20">
        <v>0</v>
      </c>
      <c r="BH12" s="21">
        <v>0</v>
      </c>
      <c r="BI12" s="22">
        <v>0</v>
      </c>
      <c r="BJ12" s="22">
        <f t="shared" si="15"/>
        <v>0</v>
      </c>
      <c r="BK12" s="20">
        <v>0</v>
      </c>
      <c r="BL12" s="21">
        <v>0</v>
      </c>
      <c r="BM12" s="22">
        <v>0</v>
      </c>
      <c r="BN12" s="22">
        <f t="shared" si="16"/>
        <v>0</v>
      </c>
      <c r="BO12" s="20">
        <v>0</v>
      </c>
      <c r="BP12" s="21">
        <v>0</v>
      </c>
      <c r="BQ12" s="22">
        <v>0</v>
      </c>
      <c r="BR12" s="22">
        <f t="shared" si="17"/>
        <v>0</v>
      </c>
      <c r="BS12" s="20">
        <v>0</v>
      </c>
      <c r="BT12" s="21">
        <f t="shared" si="18"/>
        <v>14</v>
      </c>
      <c r="BU12" s="22">
        <f t="shared" si="19"/>
        <v>7</v>
      </c>
      <c r="BV12" s="22">
        <f t="shared" si="20"/>
        <v>2</v>
      </c>
      <c r="BW12" s="22">
        <f t="shared" si="21"/>
        <v>0.66666666666666663</v>
      </c>
      <c r="BX12" s="22">
        <f t="shared" si="22"/>
        <v>0.875</v>
      </c>
      <c r="BY12" s="20">
        <f t="shared" si="23"/>
        <v>0.75675675675675669</v>
      </c>
      <c r="CC12" s="133" t="s">
        <v>84</v>
      </c>
      <c r="CD12">
        <f>AVERAGE(BW21:BW22)</f>
        <v>0.88235294117647056</v>
      </c>
      <c r="CE12">
        <f t="shared" ref="CE12:CF12" si="32">AVERAGE(BX21:BX22)</f>
        <v>0.78947368421052633</v>
      </c>
      <c r="CF12">
        <f t="shared" si="32"/>
        <v>0.83333333333333326</v>
      </c>
    </row>
    <row r="13" spans="1:84" ht="13.5" customHeight="1" x14ac:dyDescent="0.35">
      <c r="A13" s="54" t="s">
        <v>48</v>
      </c>
      <c r="B13" s="148"/>
      <c r="C13" s="23" t="s">
        <v>31</v>
      </c>
      <c r="D13" s="24">
        <v>4</v>
      </c>
      <c r="E13" s="25">
        <v>4</v>
      </c>
      <c r="F13" s="25">
        <f t="shared" si="1"/>
        <v>0</v>
      </c>
      <c r="G13" s="23">
        <v>0</v>
      </c>
      <c r="H13" s="24">
        <v>0</v>
      </c>
      <c r="I13" s="25">
        <v>0</v>
      </c>
      <c r="J13" s="25">
        <f t="shared" si="2"/>
        <v>0</v>
      </c>
      <c r="K13" s="23">
        <v>0</v>
      </c>
      <c r="L13" s="24">
        <v>0</v>
      </c>
      <c r="M13" s="25">
        <v>0</v>
      </c>
      <c r="N13" s="25">
        <f t="shared" si="3"/>
        <v>0</v>
      </c>
      <c r="O13" s="23">
        <v>0</v>
      </c>
      <c r="P13" s="24">
        <v>0</v>
      </c>
      <c r="Q13" s="25">
        <v>0</v>
      </c>
      <c r="R13" s="25">
        <f t="shared" si="4"/>
        <v>0</v>
      </c>
      <c r="S13" s="23">
        <v>0</v>
      </c>
      <c r="T13" s="24">
        <v>0</v>
      </c>
      <c r="U13" s="25">
        <v>0</v>
      </c>
      <c r="V13" s="25">
        <f t="shared" si="5"/>
        <v>0</v>
      </c>
      <c r="W13" s="23">
        <v>0</v>
      </c>
      <c r="X13" s="24">
        <v>4</v>
      </c>
      <c r="Y13" s="25">
        <v>4</v>
      </c>
      <c r="Z13" s="25">
        <f t="shared" si="6"/>
        <v>0</v>
      </c>
      <c r="AA13" s="23">
        <v>0</v>
      </c>
      <c r="AB13" s="24">
        <v>0</v>
      </c>
      <c r="AC13" s="25">
        <v>0</v>
      </c>
      <c r="AD13" s="25">
        <f t="shared" si="7"/>
        <v>0</v>
      </c>
      <c r="AE13" s="23">
        <v>0</v>
      </c>
      <c r="AF13" s="24">
        <v>4</v>
      </c>
      <c r="AG13" s="25">
        <v>4</v>
      </c>
      <c r="AH13" s="25">
        <f t="shared" si="8"/>
        <v>0</v>
      </c>
      <c r="AI13" s="23">
        <v>0</v>
      </c>
      <c r="AJ13" s="24">
        <v>3</v>
      </c>
      <c r="AK13" s="25">
        <v>3</v>
      </c>
      <c r="AL13" s="25">
        <f t="shared" si="9"/>
        <v>0</v>
      </c>
      <c r="AM13" s="23">
        <v>0</v>
      </c>
      <c r="AN13" s="24">
        <v>0</v>
      </c>
      <c r="AO13" s="25">
        <v>0</v>
      </c>
      <c r="AP13" s="25">
        <f t="shared" si="10"/>
        <v>0</v>
      </c>
      <c r="AQ13" s="23">
        <v>3</v>
      </c>
      <c r="AR13" s="24">
        <v>0</v>
      </c>
      <c r="AS13" s="25">
        <v>0</v>
      </c>
      <c r="AT13" s="25">
        <f t="shared" si="11"/>
        <v>0</v>
      </c>
      <c r="AU13" s="23">
        <v>0</v>
      </c>
      <c r="AV13" s="24">
        <v>0</v>
      </c>
      <c r="AW13" s="25">
        <v>0</v>
      </c>
      <c r="AX13" s="25">
        <f t="shared" si="12"/>
        <v>0</v>
      </c>
      <c r="AY13" s="23">
        <v>0</v>
      </c>
      <c r="AZ13" s="24">
        <v>3</v>
      </c>
      <c r="BA13" s="25">
        <v>3</v>
      </c>
      <c r="BB13" s="25">
        <f t="shared" si="13"/>
        <v>0</v>
      </c>
      <c r="BC13" s="23">
        <v>0</v>
      </c>
      <c r="BD13" s="24">
        <v>0</v>
      </c>
      <c r="BE13" s="25">
        <v>0</v>
      </c>
      <c r="BF13" s="25">
        <f t="shared" si="14"/>
        <v>0</v>
      </c>
      <c r="BG13" s="23">
        <v>1</v>
      </c>
      <c r="BH13" s="24">
        <v>0</v>
      </c>
      <c r="BI13" s="25">
        <v>0</v>
      </c>
      <c r="BJ13" s="25">
        <f t="shared" si="15"/>
        <v>0</v>
      </c>
      <c r="BK13" s="23">
        <v>0</v>
      </c>
      <c r="BL13" s="24">
        <v>0</v>
      </c>
      <c r="BM13" s="25">
        <v>0</v>
      </c>
      <c r="BN13" s="25">
        <f t="shared" si="16"/>
        <v>0</v>
      </c>
      <c r="BO13" s="23">
        <v>0</v>
      </c>
      <c r="BP13" s="24">
        <v>0</v>
      </c>
      <c r="BQ13" s="25">
        <v>0</v>
      </c>
      <c r="BR13" s="25">
        <f t="shared" si="17"/>
        <v>0</v>
      </c>
      <c r="BS13" s="23">
        <v>0</v>
      </c>
      <c r="BT13" s="24">
        <f t="shared" si="18"/>
        <v>18</v>
      </c>
      <c r="BU13" s="25">
        <f t="shared" si="19"/>
        <v>0</v>
      </c>
      <c r="BV13" s="25">
        <f t="shared" si="20"/>
        <v>4</v>
      </c>
      <c r="BW13" s="25">
        <f t="shared" si="21"/>
        <v>1</v>
      </c>
      <c r="BX13" s="25">
        <f t="shared" si="22"/>
        <v>0.81818181818181823</v>
      </c>
      <c r="BY13" s="23">
        <f t="shared" si="23"/>
        <v>0.9</v>
      </c>
      <c r="CC13" s="133" t="s">
        <v>85</v>
      </c>
      <c r="CD13">
        <f>AVERAGE(BW23:BW24)</f>
        <v>0.90909090909090906</v>
      </c>
      <c r="CE13">
        <f t="shared" ref="CE13:CF13" si="33">AVERAGE(BX23:BX24)</f>
        <v>0.77380952380952384</v>
      </c>
      <c r="CF13">
        <f t="shared" si="33"/>
        <v>0.83478260869565224</v>
      </c>
    </row>
    <row r="14" spans="1:84" x14ac:dyDescent="0.35">
      <c r="A14" s="54" t="s">
        <v>48</v>
      </c>
      <c r="B14" s="148"/>
      <c r="C14" s="23" t="s">
        <v>64</v>
      </c>
      <c r="D14" s="24">
        <v>4</v>
      </c>
      <c r="E14" s="25">
        <v>4</v>
      </c>
      <c r="F14" s="25">
        <f t="shared" si="1"/>
        <v>0</v>
      </c>
      <c r="G14" s="23">
        <v>0</v>
      </c>
      <c r="H14" s="24">
        <v>0</v>
      </c>
      <c r="I14" s="24">
        <v>0</v>
      </c>
      <c r="J14" s="24">
        <v>0</v>
      </c>
      <c r="K14" s="23">
        <v>0</v>
      </c>
      <c r="L14" s="24">
        <v>0</v>
      </c>
      <c r="M14" s="24">
        <v>0</v>
      </c>
      <c r="N14" s="24">
        <v>0</v>
      </c>
      <c r="O14" s="23">
        <v>0</v>
      </c>
      <c r="P14" s="24">
        <v>0</v>
      </c>
      <c r="Q14" s="25">
        <v>0</v>
      </c>
      <c r="R14" s="25">
        <f t="shared" si="4"/>
        <v>0</v>
      </c>
      <c r="S14" s="23">
        <v>0</v>
      </c>
      <c r="T14" s="24">
        <v>0</v>
      </c>
      <c r="U14" s="25">
        <v>0</v>
      </c>
      <c r="V14" s="25">
        <v>0</v>
      </c>
      <c r="W14" s="23">
        <v>0</v>
      </c>
      <c r="X14" s="24">
        <v>4</v>
      </c>
      <c r="Y14" s="24">
        <v>4</v>
      </c>
      <c r="Z14" s="24">
        <f>X14-Y14</f>
        <v>0</v>
      </c>
      <c r="AA14" s="23">
        <v>0</v>
      </c>
      <c r="AB14" s="24">
        <v>0</v>
      </c>
      <c r="AC14" s="24">
        <v>0</v>
      </c>
      <c r="AD14" s="24">
        <f>AB14-AC14</f>
        <v>0</v>
      </c>
      <c r="AE14" s="23">
        <v>0</v>
      </c>
      <c r="AF14" s="24">
        <v>4</v>
      </c>
      <c r="AG14" s="24">
        <v>4</v>
      </c>
      <c r="AH14" s="24">
        <f>AF14-AG14</f>
        <v>0</v>
      </c>
      <c r="AI14" s="23">
        <v>0</v>
      </c>
      <c r="AJ14" s="24">
        <v>3</v>
      </c>
      <c r="AK14" s="24">
        <v>3</v>
      </c>
      <c r="AL14" s="24">
        <f>AJ14-AK14</f>
        <v>0</v>
      </c>
      <c r="AM14" s="23">
        <v>0</v>
      </c>
      <c r="AN14" s="24">
        <v>0</v>
      </c>
      <c r="AO14" s="24">
        <v>0</v>
      </c>
      <c r="AP14" s="24">
        <f>AN14-AO14</f>
        <v>0</v>
      </c>
      <c r="AQ14" s="23">
        <v>0</v>
      </c>
      <c r="AR14" s="24">
        <v>0</v>
      </c>
      <c r="AS14" s="25">
        <v>0</v>
      </c>
      <c r="AT14" s="25">
        <f t="shared" si="11"/>
        <v>0</v>
      </c>
      <c r="AU14" s="23">
        <v>0</v>
      </c>
      <c r="AV14" s="24">
        <v>0</v>
      </c>
      <c r="AW14" s="25">
        <v>0</v>
      </c>
      <c r="AX14" s="25">
        <f t="shared" si="12"/>
        <v>0</v>
      </c>
      <c r="AY14" s="23">
        <v>0</v>
      </c>
      <c r="AZ14" s="24">
        <v>3</v>
      </c>
      <c r="BA14" s="25">
        <v>3</v>
      </c>
      <c r="BB14" s="25">
        <f t="shared" si="13"/>
        <v>0</v>
      </c>
      <c r="BC14" s="23">
        <v>0</v>
      </c>
      <c r="BD14" s="24">
        <v>0</v>
      </c>
      <c r="BE14" s="25">
        <v>0</v>
      </c>
      <c r="BF14" s="25">
        <f t="shared" si="14"/>
        <v>0</v>
      </c>
      <c r="BG14" s="23">
        <v>1</v>
      </c>
      <c r="BH14" s="24">
        <v>0</v>
      </c>
      <c r="BI14" s="25">
        <v>0</v>
      </c>
      <c r="BJ14" s="25">
        <f t="shared" si="15"/>
        <v>0</v>
      </c>
      <c r="BK14" s="23">
        <v>0</v>
      </c>
      <c r="BL14" s="24">
        <v>0</v>
      </c>
      <c r="BM14" s="25">
        <v>0</v>
      </c>
      <c r="BN14" s="25">
        <f t="shared" si="16"/>
        <v>0</v>
      </c>
      <c r="BO14" s="23">
        <v>0</v>
      </c>
      <c r="BP14" s="24">
        <v>0</v>
      </c>
      <c r="BQ14" s="25">
        <v>0</v>
      </c>
      <c r="BR14" s="25">
        <f t="shared" si="17"/>
        <v>0</v>
      </c>
      <c r="BS14" s="23">
        <v>0</v>
      </c>
      <c r="BT14" s="24">
        <f t="shared" si="18"/>
        <v>18</v>
      </c>
      <c r="BU14" s="25">
        <f t="shared" si="19"/>
        <v>0</v>
      </c>
      <c r="BV14" s="25">
        <f t="shared" si="20"/>
        <v>1</v>
      </c>
      <c r="BW14" s="25">
        <f t="shared" si="21"/>
        <v>1</v>
      </c>
      <c r="BX14" s="25">
        <f t="shared" si="22"/>
        <v>0.94736842105263153</v>
      </c>
      <c r="BY14" s="23">
        <f t="shared" si="23"/>
        <v>0.97297297297297303</v>
      </c>
      <c r="CC14" s="133" t="s">
        <v>86</v>
      </c>
      <c r="CD14">
        <f>AVERAGE(BW25:BW26)</f>
        <v>0.75</v>
      </c>
      <c r="CE14">
        <f t="shared" ref="CE14:CF14" si="34">AVERAGE(BX25:BX26)</f>
        <v>0.68627450980392157</v>
      </c>
      <c r="CF14">
        <f t="shared" si="34"/>
        <v>0.71657754010695185</v>
      </c>
    </row>
    <row r="15" spans="1:84" x14ac:dyDescent="0.35">
      <c r="A15" s="55" t="s">
        <v>48</v>
      </c>
      <c r="B15" s="148"/>
      <c r="C15" s="26" t="s">
        <v>32</v>
      </c>
      <c r="D15" s="27">
        <v>3</v>
      </c>
      <c r="E15" s="28">
        <v>3</v>
      </c>
      <c r="F15" s="28">
        <f t="shared" si="1"/>
        <v>0</v>
      </c>
      <c r="G15" s="26">
        <v>0</v>
      </c>
      <c r="H15" s="27">
        <v>0</v>
      </c>
      <c r="I15" s="27">
        <v>0</v>
      </c>
      <c r="J15" s="27">
        <f t="shared" si="2"/>
        <v>0</v>
      </c>
      <c r="K15" s="26">
        <v>0</v>
      </c>
      <c r="L15" s="27">
        <v>0</v>
      </c>
      <c r="M15" s="27">
        <v>0</v>
      </c>
      <c r="N15" s="27">
        <f t="shared" si="3"/>
        <v>0</v>
      </c>
      <c r="O15" s="26">
        <v>0</v>
      </c>
      <c r="P15" s="27">
        <v>0</v>
      </c>
      <c r="Q15" s="28">
        <v>0</v>
      </c>
      <c r="R15" s="28">
        <f t="shared" si="4"/>
        <v>0</v>
      </c>
      <c r="S15" s="26">
        <v>0</v>
      </c>
      <c r="T15" s="27">
        <v>0</v>
      </c>
      <c r="U15" s="28">
        <v>0</v>
      </c>
      <c r="V15" s="28">
        <f t="shared" si="5"/>
        <v>0</v>
      </c>
      <c r="W15" s="26">
        <v>0</v>
      </c>
      <c r="X15" s="27">
        <v>3</v>
      </c>
      <c r="Y15" s="27">
        <v>3</v>
      </c>
      <c r="Z15" s="27">
        <f t="shared" si="6"/>
        <v>0</v>
      </c>
      <c r="AA15" s="26">
        <v>0</v>
      </c>
      <c r="AB15" s="27">
        <v>0</v>
      </c>
      <c r="AC15" s="27">
        <v>0</v>
      </c>
      <c r="AD15" s="27">
        <f t="shared" si="7"/>
        <v>0</v>
      </c>
      <c r="AE15" s="26">
        <v>0</v>
      </c>
      <c r="AF15" s="27">
        <v>3</v>
      </c>
      <c r="AG15" s="27">
        <v>0</v>
      </c>
      <c r="AH15" s="27">
        <f t="shared" si="8"/>
        <v>3</v>
      </c>
      <c r="AI15" s="26">
        <v>3</v>
      </c>
      <c r="AJ15" s="27">
        <v>2</v>
      </c>
      <c r="AK15" s="27">
        <v>2</v>
      </c>
      <c r="AL15" s="27">
        <f t="shared" si="9"/>
        <v>0</v>
      </c>
      <c r="AM15" s="26">
        <v>0</v>
      </c>
      <c r="AN15" s="27">
        <v>0</v>
      </c>
      <c r="AO15" s="27">
        <v>0</v>
      </c>
      <c r="AP15" s="27">
        <f t="shared" si="10"/>
        <v>0</v>
      </c>
      <c r="AQ15" s="26">
        <v>0</v>
      </c>
      <c r="AR15" s="27">
        <v>0</v>
      </c>
      <c r="AS15" s="28">
        <v>0</v>
      </c>
      <c r="AT15" s="28">
        <f t="shared" si="11"/>
        <v>0</v>
      </c>
      <c r="AU15" s="26">
        <v>0</v>
      </c>
      <c r="AV15" s="27">
        <v>0</v>
      </c>
      <c r="AW15" s="28">
        <v>0</v>
      </c>
      <c r="AX15" s="28">
        <f t="shared" si="12"/>
        <v>0</v>
      </c>
      <c r="AY15" s="26">
        <v>0</v>
      </c>
      <c r="AZ15" s="27">
        <v>2</v>
      </c>
      <c r="BA15" s="28">
        <v>2</v>
      </c>
      <c r="BB15" s="28">
        <f t="shared" si="13"/>
        <v>0</v>
      </c>
      <c r="BC15" s="26">
        <v>0</v>
      </c>
      <c r="BD15" s="27">
        <v>0</v>
      </c>
      <c r="BE15" s="28">
        <v>0</v>
      </c>
      <c r="BF15" s="28">
        <f t="shared" si="14"/>
        <v>0</v>
      </c>
      <c r="BG15" s="26">
        <v>0</v>
      </c>
      <c r="BH15" s="27">
        <v>0</v>
      </c>
      <c r="BI15" s="28">
        <v>0</v>
      </c>
      <c r="BJ15" s="28">
        <f t="shared" si="15"/>
        <v>0</v>
      </c>
      <c r="BK15" s="26">
        <v>0</v>
      </c>
      <c r="BL15" s="27">
        <v>0</v>
      </c>
      <c r="BM15" s="28">
        <v>0</v>
      </c>
      <c r="BN15" s="28">
        <f t="shared" si="16"/>
        <v>0</v>
      </c>
      <c r="BO15" s="26">
        <v>0</v>
      </c>
      <c r="BP15" s="27">
        <v>0</v>
      </c>
      <c r="BQ15" s="28">
        <v>0</v>
      </c>
      <c r="BR15" s="28">
        <f t="shared" si="17"/>
        <v>0</v>
      </c>
      <c r="BS15" s="26">
        <v>0</v>
      </c>
      <c r="BT15" s="27">
        <f t="shared" si="18"/>
        <v>10</v>
      </c>
      <c r="BU15" s="28">
        <f t="shared" si="19"/>
        <v>3</v>
      </c>
      <c r="BV15" s="28">
        <f t="shared" si="20"/>
        <v>3</v>
      </c>
      <c r="BW15" s="28">
        <f t="shared" si="21"/>
        <v>0.76923076923076927</v>
      </c>
      <c r="BX15" s="28">
        <f t="shared" si="22"/>
        <v>0.76923076923076927</v>
      </c>
      <c r="BY15" s="26">
        <f t="shared" si="23"/>
        <v>0.76923076923076927</v>
      </c>
      <c r="CC15" s="133" t="s">
        <v>87</v>
      </c>
      <c r="CD15">
        <f>AVERAGE(BW27:BW28)</f>
        <v>0.9642857142857143</v>
      </c>
      <c r="CE15">
        <f t="shared" ref="CE15:CF15" si="35">AVERAGE(BX27:BX28)</f>
        <v>0.87083333333333335</v>
      </c>
      <c r="CF15">
        <f t="shared" si="35"/>
        <v>0.9149425287356322</v>
      </c>
    </row>
    <row r="16" spans="1:84" x14ac:dyDescent="0.35">
      <c r="A16" s="55" t="s">
        <v>48</v>
      </c>
      <c r="B16" s="148"/>
      <c r="C16" s="26" t="s">
        <v>65</v>
      </c>
      <c r="D16" s="27">
        <v>3</v>
      </c>
      <c r="E16" s="28">
        <v>3</v>
      </c>
      <c r="F16" s="28">
        <f t="shared" si="1"/>
        <v>0</v>
      </c>
      <c r="G16" s="26">
        <v>0</v>
      </c>
      <c r="H16" s="27">
        <v>0</v>
      </c>
      <c r="I16" s="27">
        <v>0</v>
      </c>
      <c r="J16" s="27">
        <f t="shared" si="2"/>
        <v>0</v>
      </c>
      <c r="K16" s="26">
        <v>0</v>
      </c>
      <c r="L16" s="27">
        <v>0</v>
      </c>
      <c r="M16" s="27">
        <v>0</v>
      </c>
      <c r="N16" s="27">
        <f t="shared" si="3"/>
        <v>0</v>
      </c>
      <c r="O16" s="26">
        <v>0</v>
      </c>
      <c r="P16" s="27">
        <v>0</v>
      </c>
      <c r="Q16" s="28">
        <v>0</v>
      </c>
      <c r="R16" s="28">
        <f t="shared" si="4"/>
        <v>0</v>
      </c>
      <c r="S16" s="26">
        <v>0</v>
      </c>
      <c r="T16" s="27">
        <v>0</v>
      </c>
      <c r="U16" s="28">
        <v>0</v>
      </c>
      <c r="V16" s="28">
        <f t="shared" si="5"/>
        <v>0</v>
      </c>
      <c r="W16" s="26">
        <v>0</v>
      </c>
      <c r="X16" s="27">
        <v>3</v>
      </c>
      <c r="Y16" s="27">
        <v>3</v>
      </c>
      <c r="Z16" s="27">
        <v>0</v>
      </c>
      <c r="AA16" s="26">
        <v>0</v>
      </c>
      <c r="AB16" s="27">
        <v>0</v>
      </c>
      <c r="AC16" s="27">
        <v>0</v>
      </c>
      <c r="AD16" s="27">
        <f t="shared" si="7"/>
        <v>0</v>
      </c>
      <c r="AE16" s="26">
        <v>0</v>
      </c>
      <c r="AF16" s="27">
        <v>3</v>
      </c>
      <c r="AG16" s="27">
        <v>3</v>
      </c>
      <c r="AH16" s="27">
        <f t="shared" si="8"/>
        <v>0</v>
      </c>
      <c r="AI16" s="26">
        <v>0</v>
      </c>
      <c r="AJ16" s="27">
        <v>2</v>
      </c>
      <c r="AK16" s="27">
        <v>2</v>
      </c>
      <c r="AL16" s="27">
        <f t="shared" si="9"/>
        <v>0</v>
      </c>
      <c r="AM16" s="26">
        <v>0</v>
      </c>
      <c r="AN16" s="27">
        <v>0</v>
      </c>
      <c r="AO16" s="27">
        <v>0</v>
      </c>
      <c r="AP16" s="27">
        <f t="shared" si="10"/>
        <v>0</v>
      </c>
      <c r="AQ16" s="26">
        <v>0</v>
      </c>
      <c r="AR16" s="27">
        <v>0</v>
      </c>
      <c r="AS16" s="28">
        <v>0</v>
      </c>
      <c r="AT16" s="28">
        <f t="shared" si="11"/>
        <v>0</v>
      </c>
      <c r="AU16" s="26">
        <v>0</v>
      </c>
      <c r="AV16" s="27">
        <v>0</v>
      </c>
      <c r="AW16" s="28">
        <v>0</v>
      </c>
      <c r="AX16" s="28">
        <f t="shared" si="12"/>
        <v>0</v>
      </c>
      <c r="AY16" s="26">
        <v>0</v>
      </c>
      <c r="AZ16" s="27">
        <v>2</v>
      </c>
      <c r="BA16" s="28">
        <v>2</v>
      </c>
      <c r="BB16" s="28">
        <f t="shared" si="13"/>
        <v>0</v>
      </c>
      <c r="BC16" s="26">
        <v>2</v>
      </c>
      <c r="BD16" s="27">
        <v>0</v>
      </c>
      <c r="BE16" s="28">
        <v>0</v>
      </c>
      <c r="BF16" s="28">
        <f t="shared" si="14"/>
        <v>0</v>
      </c>
      <c r="BG16" s="26">
        <v>0</v>
      </c>
      <c r="BH16" s="27">
        <v>0</v>
      </c>
      <c r="BI16" s="28">
        <v>0</v>
      </c>
      <c r="BJ16" s="28">
        <f t="shared" si="15"/>
        <v>0</v>
      </c>
      <c r="BK16" s="26">
        <v>0</v>
      </c>
      <c r="BL16" s="27">
        <v>0</v>
      </c>
      <c r="BM16" s="28">
        <v>0</v>
      </c>
      <c r="BN16" s="28">
        <f t="shared" si="16"/>
        <v>0</v>
      </c>
      <c r="BO16" s="26">
        <v>0</v>
      </c>
      <c r="BP16" s="27">
        <v>0</v>
      </c>
      <c r="BQ16" s="28">
        <v>0</v>
      </c>
      <c r="BR16" s="28">
        <f t="shared" si="17"/>
        <v>0</v>
      </c>
      <c r="BS16" s="26">
        <v>0</v>
      </c>
      <c r="BT16" s="27">
        <f t="shared" si="18"/>
        <v>13</v>
      </c>
      <c r="BU16" s="28">
        <f t="shared" si="19"/>
        <v>0</v>
      </c>
      <c r="BV16" s="28">
        <f t="shared" si="20"/>
        <v>2</v>
      </c>
      <c r="BW16" s="28">
        <f t="shared" si="21"/>
        <v>1</v>
      </c>
      <c r="BX16" s="28">
        <f t="shared" si="22"/>
        <v>0.8666666666666667</v>
      </c>
      <c r="BY16" s="26">
        <f t="shared" si="23"/>
        <v>0.9285714285714286</v>
      </c>
      <c r="CC16" s="133" t="s">
        <v>88</v>
      </c>
      <c r="CD16">
        <f>AVERAGE(BW29:BW30)</f>
        <v>0.81818181818181823</v>
      </c>
      <c r="CE16">
        <f t="shared" ref="CE16:CF16" si="36">AVERAGE(BX29:BX30)</f>
        <v>0.9</v>
      </c>
      <c r="CF16">
        <f t="shared" si="36"/>
        <v>0.85714285714285721</v>
      </c>
    </row>
    <row r="17" spans="1:84" x14ac:dyDescent="0.35">
      <c r="A17" s="56" t="s">
        <v>48</v>
      </c>
      <c r="B17" s="148"/>
      <c r="C17" s="29" t="s">
        <v>33</v>
      </c>
      <c r="D17" s="30">
        <v>2</v>
      </c>
      <c r="E17" s="31">
        <v>2</v>
      </c>
      <c r="F17" s="31">
        <f t="shared" si="1"/>
        <v>0</v>
      </c>
      <c r="G17" s="29">
        <v>0</v>
      </c>
      <c r="H17" s="30">
        <v>2</v>
      </c>
      <c r="I17" s="31">
        <v>2</v>
      </c>
      <c r="J17" s="31">
        <f t="shared" si="2"/>
        <v>0</v>
      </c>
      <c r="K17" s="29">
        <v>0</v>
      </c>
      <c r="L17" s="30">
        <v>1</v>
      </c>
      <c r="M17" s="31">
        <v>1</v>
      </c>
      <c r="N17" s="31">
        <f t="shared" si="3"/>
        <v>0</v>
      </c>
      <c r="O17" s="29">
        <v>0</v>
      </c>
      <c r="P17" s="30">
        <v>1</v>
      </c>
      <c r="Q17" s="31">
        <v>1</v>
      </c>
      <c r="R17" s="31">
        <f t="shared" si="4"/>
        <v>0</v>
      </c>
      <c r="S17" s="29">
        <v>0</v>
      </c>
      <c r="T17" s="30">
        <v>1</v>
      </c>
      <c r="U17" s="31">
        <v>1</v>
      </c>
      <c r="V17" s="31">
        <f t="shared" si="5"/>
        <v>0</v>
      </c>
      <c r="W17" s="29">
        <v>0</v>
      </c>
      <c r="X17" s="30">
        <v>1</v>
      </c>
      <c r="Y17" s="31">
        <v>1</v>
      </c>
      <c r="Z17" s="31">
        <f t="shared" si="6"/>
        <v>0</v>
      </c>
      <c r="AA17" s="29">
        <v>0</v>
      </c>
      <c r="AB17" s="30">
        <v>0</v>
      </c>
      <c r="AC17" s="31">
        <v>0</v>
      </c>
      <c r="AD17" s="31">
        <f t="shared" si="7"/>
        <v>0</v>
      </c>
      <c r="AE17" s="29">
        <v>0</v>
      </c>
      <c r="AF17" s="30">
        <v>1</v>
      </c>
      <c r="AG17" s="31">
        <v>1</v>
      </c>
      <c r="AH17" s="31">
        <f t="shared" si="8"/>
        <v>0</v>
      </c>
      <c r="AI17" s="29">
        <v>0</v>
      </c>
      <c r="AJ17" s="30">
        <v>0</v>
      </c>
      <c r="AK17" s="31">
        <v>0</v>
      </c>
      <c r="AL17" s="31">
        <f t="shared" si="9"/>
        <v>0</v>
      </c>
      <c r="AM17" s="29">
        <v>0</v>
      </c>
      <c r="AN17" s="30">
        <v>0</v>
      </c>
      <c r="AO17" s="31">
        <v>0</v>
      </c>
      <c r="AP17" s="31">
        <f t="shared" si="10"/>
        <v>0</v>
      </c>
      <c r="AQ17" s="29">
        <v>0</v>
      </c>
      <c r="AR17" s="30">
        <v>0</v>
      </c>
      <c r="AS17" s="31">
        <v>0</v>
      </c>
      <c r="AT17" s="31">
        <f t="shared" si="11"/>
        <v>0</v>
      </c>
      <c r="AU17" s="29">
        <v>0</v>
      </c>
      <c r="AV17" s="30">
        <v>1</v>
      </c>
      <c r="AW17" s="31">
        <v>1</v>
      </c>
      <c r="AX17" s="31">
        <f t="shared" si="12"/>
        <v>0</v>
      </c>
      <c r="AY17" s="29">
        <v>0</v>
      </c>
      <c r="AZ17" s="30">
        <v>1</v>
      </c>
      <c r="BA17" s="31">
        <v>0</v>
      </c>
      <c r="BB17" s="31">
        <f t="shared" si="13"/>
        <v>1</v>
      </c>
      <c r="BC17" s="29">
        <v>1</v>
      </c>
      <c r="BD17" s="30">
        <v>0</v>
      </c>
      <c r="BE17" s="31">
        <v>0</v>
      </c>
      <c r="BF17" s="31">
        <f t="shared" si="14"/>
        <v>0</v>
      </c>
      <c r="BG17" s="29">
        <v>0</v>
      </c>
      <c r="BH17" s="30">
        <v>0</v>
      </c>
      <c r="BI17" s="31">
        <v>0</v>
      </c>
      <c r="BJ17" s="31">
        <f t="shared" si="15"/>
        <v>0</v>
      </c>
      <c r="BK17" s="29">
        <v>0</v>
      </c>
      <c r="BL17" s="30">
        <v>0</v>
      </c>
      <c r="BM17" s="31">
        <v>0</v>
      </c>
      <c r="BN17" s="31">
        <f t="shared" si="16"/>
        <v>0</v>
      </c>
      <c r="BO17" s="29">
        <v>1</v>
      </c>
      <c r="BP17" s="30">
        <v>0</v>
      </c>
      <c r="BQ17" s="31">
        <v>0</v>
      </c>
      <c r="BR17" s="31">
        <f t="shared" si="17"/>
        <v>0</v>
      </c>
      <c r="BS17" s="29">
        <v>1</v>
      </c>
      <c r="BT17" s="30">
        <f t="shared" si="18"/>
        <v>10</v>
      </c>
      <c r="BU17" s="31">
        <f t="shared" si="19"/>
        <v>1</v>
      </c>
      <c r="BV17" s="31">
        <f t="shared" si="20"/>
        <v>3</v>
      </c>
      <c r="BW17" s="31">
        <f t="shared" si="21"/>
        <v>0.90909090909090906</v>
      </c>
      <c r="BX17" s="31">
        <f t="shared" si="22"/>
        <v>0.76923076923076927</v>
      </c>
      <c r="BY17" s="29">
        <f t="shared" si="23"/>
        <v>0.83333333333333326</v>
      </c>
      <c r="CC17" s="133" t="s">
        <v>89</v>
      </c>
      <c r="CD17">
        <f>AVERAGE(BW31:BW32)</f>
        <v>0.95833333333333326</v>
      </c>
      <c r="CE17">
        <f t="shared" ref="CE17:CF17" si="37">AVERAGE(BX31:BX32)</f>
        <v>0.88461538461538458</v>
      </c>
      <c r="CF17">
        <f t="shared" si="37"/>
        <v>0.91999999999999993</v>
      </c>
    </row>
    <row r="18" spans="1:84" x14ac:dyDescent="0.35">
      <c r="A18" s="56" t="s">
        <v>48</v>
      </c>
      <c r="B18" s="148"/>
      <c r="C18" s="29" t="s">
        <v>66</v>
      </c>
      <c r="D18" s="30">
        <v>2</v>
      </c>
      <c r="E18" s="31">
        <v>2</v>
      </c>
      <c r="F18" s="31">
        <f t="shared" si="1"/>
        <v>0</v>
      </c>
      <c r="G18" s="29">
        <v>1</v>
      </c>
      <c r="H18" s="30">
        <v>2</v>
      </c>
      <c r="I18" s="31">
        <v>2</v>
      </c>
      <c r="J18" s="31">
        <f t="shared" si="2"/>
        <v>0</v>
      </c>
      <c r="K18" s="29">
        <v>0</v>
      </c>
      <c r="L18" s="30">
        <v>1</v>
      </c>
      <c r="M18" s="31">
        <v>1</v>
      </c>
      <c r="N18" s="31">
        <f t="shared" si="3"/>
        <v>0</v>
      </c>
      <c r="O18" s="29">
        <v>0</v>
      </c>
      <c r="P18" s="30">
        <v>1</v>
      </c>
      <c r="Q18" s="31">
        <v>1</v>
      </c>
      <c r="R18" s="31">
        <f t="shared" si="4"/>
        <v>0</v>
      </c>
      <c r="S18" s="29">
        <v>1</v>
      </c>
      <c r="T18" s="30">
        <v>1</v>
      </c>
      <c r="U18" s="31">
        <v>1</v>
      </c>
      <c r="V18" s="31">
        <f t="shared" si="5"/>
        <v>0</v>
      </c>
      <c r="W18" s="29">
        <v>0</v>
      </c>
      <c r="X18" s="30">
        <v>1</v>
      </c>
      <c r="Y18" s="31">
        <v>1</v>
      </c>
      <c r="Z18" s="31">
        <f t="shared" si="6"/>
        <v>0</v>
      </c>
      <c r="AA18" s="29">
        <v>0</v>
      </c>
      <c r="AB18" s="30">
        <v>0</v>
      </c>
      <c r="AC18" s="31">
        <v>0</v>
      </c>
      <c r="AD18" s="31">
        <f t="shared" si="7"/>
        <v>0</v>
      </c>
      <c r="AE18" s="29">
        <v>0</v>
      </c>
      <c r="AF18" s="30">
        <v>1</v>
      </c>
      <c r="AG18" s="31">
        <v>1</v>
      </c>
      <c r="AH18" s="31">
        <f t="shared" si="8"/>
        <v>0</v>
      </c>
      <c r="AI18" s="29">
        <v>0</v>
      </c>
      <c r="AJ18" s="30">
        <v>0</v>
      </c>
      <c r="AK18" s="31">
        <v>0</v>
      </c>
      <c r="AL18" s="31">
        <f t="shared" si="9"/>
        <v>0</v>
      </c>
      <c r="AM18" s="29">
        <v>0</v>
      </c>
      <c r="AN18" s="30">
        <v>0</v>
      </c>
      <c r="AO18" s="31">
        <v>0</v>
      </c>
      <c r="AP18" s="31">
        <f t="shared" si="10"/>
        <v>0</v>
      </c>
      <c r="AQ18" s="29">
        <v>1</v>
      </c>
      <c r="AR18" s="30">
        <v>0</v>
      </c>
      <c r="AS18" s="31">
        <v>0</v>
      </c>
      <c r="AT18" s="31">
        <f t="shared" si="11"/>
        <v>0</v>
      </c>
      <c r="AU18" s="29">
        <v>0</v>
      </c>
      <c r="AV18" s="30">
        <v>1</v>
      </c>
      <c r="AW18" s="31">
        <v>1</v>
      </c>
      <c r="AX18" s="31">
        <f t="shared" si="12"/>
        <v>0</v>
      </c>
      <c r="AY18" s="29">
        <v>0</v>
      </c>
      <c r="AZ18" s="30">
        <v>1</v>
      </c>
      <c r="BA18" s="31">
        <v>0</v>
      </c>
      <c r="BB18" s="31">
        <f t="shared" si="13"/>
        <v>1</v>
      </c>
      <c r="BC18" s="29">
        <v>1</v>
      </c>
      <c r="BD18" s="30">
        <v>0</v>
      </c>
      <c r="BE18" s="31">
        <v>0</v>
      </c>
      <c r="BF18" s="31">
        <f t="shared" si="14"/>
        <v>0</v>
      </c>
      <c r="BG18" s="29">
        <v>0</v>
      </c>
      <c r="BH18" s="30">
        <v>0</v>
      </c>
      <c r="BI18" s="31">
        <v>0</v>
      </c>
      <c r="BJ18" s="31">
        <f t="shared" si="15"/>
        <v>0</v>
      </c>
      <c r="BK18" s="29">
        <v>0</v>
      </c>
      <c r="BL18" s="30">
        <v>0</v>
      </c>
      <c r="BM18" s="31">
        <v>0</v>
      </c>
      <c r="BN18" s="31">
        <f>BL18-BM18</f>
        <v>0</v>
      </c>
      <c r="BO18" s="29">
        <v>0</v>
      </c>
      <c r="BP18" s="30">
        <v>0</v>
      </c>
      <c r="BQ18" s="31">
        <v>0</v>
      </c>
      <c r="BR18" s="31">
        <f t="shared" si="17"/>
        <v>0</v>
      </c>
      <c r="BS18" s="29">
        <v>0</v>
      </c>
      <c r="BT18" s="30">
        <f t="shared" si="18"/>
        <v>10</v>
      </c>
      <c r="BU18" s="31">
        <f t="shared" si="19"/>
        <v>1</v>
      </c>
      <c r="BV18" s="31">
        <f t="shared" si="20"/>
        <v>4</v>
      </c>
      <c r="BW18" s="31">
        <f t="shared" si="21"/>
        <v>0.90909090909090906</v>
      </c>
      <c r="BX18" s="31">
        <f t="shared" si="22"/>
        <v>0.7142857142857143</v>
      </c>
      <c r="BY18" s="29">
        <f t="shared" si="23"/>
        <v>0.8</v>
      </c>
      <c r="CC18" s="133" t="s">
        <v>90</v>
      </c>
      <c r="CD18">
        <f>AVERAGE(BW33:BW34)</f>
        <v>0.83333333333333337</v>
      </c>
      <c r="CE18">
        <f t="shared" ref="CE18:CF18" si="38">AVERAGE(BX33:BX34)</f>
        <v>0.83333333333333337</v>
      </c>
      <c r="CF18">
        <f t="shared" si="38"/>
        <v>0.83333333333333337</v>
      </c>
    </row>
    <row r="19" spans="1:84" x14ac:dyDescent="0.35">
      <c r="A19" s="57" t="s">
        <v>48</v>
      </c>
      <c r="B19" s="148"/>
      <c r="C19" s="32" t="s">
        <v>34</v>
      </c>
      <c r="D19" s="33">
        <v>2</v>
      </c>
      <c r="E19" s="34">
        <v>2</v>
      </c>
      <c r="F19" s="34">
        <f t="shared" si="1"/>
        <v>0</v>
      </c>
      <c r="G19" s="32">
        <v>0</v>
      </c>
      <c r="H19" s="33">
        <v>2</v>
      </c>
      <c r="I19" s="34">
        <v>2</v>
      </c>
      <c r="J19" s="34">
        <f t="shared" si="2"/>
        <v>0</v>
      </c>
      <c r="K19" s="32">
        <v>0</v>
      </c>
      <c r="L19" s="33">
        <v>1</v>
      </c>
      <c r="M19" s="34">
        <v>1</v>
      </c>
      <c r="N19" s="34">
        <f t="shared" si="3"/>
        <v>0</v>
      </c>
      <c r="O19" s="32">
        <v>0</v>
      </c>
      <c r="P19" s="33">
        <v>1</v>
      </c>
      <c r="Q19" s="34">
        <v>1</v>
      </c>
      <c r="R19" s="34">
        <f t="shared" si="4"/>
        <v>0</v>
      </c>
      <c r="S19" s="32">
        <v>1</v>
      </c>
      <c r="T19" s="33">
        <v>1</v>
      </c>
      <c r="U19" s="34">
        <v>1</v>
      </c>
      <c r="V19" s="34">
        <f t="shared" si="5"/>
        <v>0</v>
      </c>
      <c r="W19" s="32">
        <v>0</v>
      </c>
      <c r="X19" s="33">
        <v>1</v>
      </c>
      <c r="Y19" s="34">
        <v>1</v>
      </c>
      <c r="Z19" s="34">
        <f t="shared" si="6"/>
        <v>0</v>
      </c>
      <c r="AA19" s="32">
        <v>0</v>
      </c>
      <c r="AB19" s="33">
        <v>1</v>
      </c>
      <c r="AC19" s="34">
        <v>1</v>
      </c>
      <c r="AD19" s="34">
        <f t="shared" si="7"/>
        <v>0</v>
      </c>
      <c r="AE19" s="32">
        <v>0</v>
      </c>
      <c r="AF19" s="33">
        <v>1</v>
      </c>
      <c r="AG19" s="34">
        <v>1</v>
      </c>
      <c r="AH19" s="34">
        <f t="shared" si="8"/>
        <v>0</v>
      </c>
      <c r="AI19" s="32">
        <v>0</v>
      </c>
      <c r="AJ19" s="33">
        <v>0</v>
      </c>
      <c r="AK19" s="34">
        <v>0</v>
      </c>
      <c r="AL19" s="34">
        <f t="shared" si="9"/>
        <v>0</v>
      </c>
      <c r="AM19" s="32">
        <v>0</v>
      </c>
      <c r="AN19" s="33">
        <v>0</v>
      </c>
      <c r="AO19" s="34">
        <v>0</v>
      </c>
      <c r="AP19" s="34">
        <f t="shared" si="10"/>
        <v>0</v>
      </c>
      <c r="AQ19" s="32">
        <v>0</v>
      </c>
      <c r="AR19" s="33">
        <v>0</v>
      </c>
      <c r="AS19" s="34">
        <v>0</v>
      </c>
      <c r="AT19" s="34">
        <f t="shared" si="11"/>
        <v>0</v>
      </c>
      <c r="AU19" s="32">
        <v>0</v>
      </c>
      <c r="AV19" s="33">
        <v>1</v>
      </c>
      <c r="AW19" s="34">
        <v>0</v>
      </c>
      <c r="AX19" s="34">
        <f t="shared" si="12"/>
        <v>1</v>
      </c>
      <c r="AY19" s="32">
        <v>1</v>
      </c>
      <c r="AZ19" s="33">
        <v>1</v>
      </c>
      <c r="BA19" s="34">
        <v>0</v>
      </c>
      <c r="BB19" s="34">
        <f t="shared" si="13"/>
        <v>1</v>
      </c>
      <c r="BC19" s="32">
        <v>1</v>
      </c>
      <c r="BD19" s="33">
        <v>0</v>
      </c>
      <c r="BE19" s="34">
        <v>0</v>
      </c>
      <c r="BF19" s="34">
        <f t="shared" si="14"/>
        <v>0</v>
      </c>
      <c r="BG19" s="32">
        <v>0</v>
      </c>
      <c r="BH19" s="33">
        <v>0</v>
      </c>
      <c r="BI19" s="34">
        <v>0</v>
      </c>
      <c r="BJ19" s="34">
        <f t="shared" si="15"/>
        <v>0</v>
      </c>
      <c r="BK19" s="32">
        <v>0</v>
      </c>
      <c r="BL19" s="33">
        <v>0</v>
      </c>
      <c r="BM19" s="34">
        <v>0</v>
      </c>
      <c r="BN19" s="34">
        <f t="shared" si="16"/>
        <v>0</v>
      </c>
      <c r="BO19" s="32">
        <v>1</v>
      </c>
      <c r="BP19" s="33">
        <v>0</v>
      </c>
      <c r="BQ19" s="34">
        <v>0</v>
      </c>
      <c r="BR19" s="34">
        <f t="shared" si="17"/>
        <v>0</v>
      </c>
      <c r="BS19" s="32">
        <v>0</v>
      </c>
      <c r="BT19" s="33">
        <f t="shared" si="18"/>
        <v>10</v>
      </c>
      <c r="BU19" s="34">
        <f t="shared" si="19"/>
        <v>2</v>
      </c>
      <c r="BV19" s="34">
        <f t="shared" si="20"/>
        <v>4</v>
      </c>
      <c r="BW19" s="34">
        <f t="shared" si="21"/>
        <v>0.83333333333333337</v>
      </c>
      <c r="BX19" s="34">
        <f t="shared" si="22"/>
        <v>0.7142857142857143</v>
      </c>
      <c r="BY19" s="32">
        <f t="shared" si="23"/>
        <v>0.76923076923076916</v>
      </c>
      <c r="CC19" s="133" t="s">
        <v>57</v>
      </c>
      <c r="CD19">
        <f>AVERAGE(CD3:CD18)</f>
        <v>0.88324396192043253</v>
      </c>
      <c r="CE19">
        <f t="shared" ref="CE19:CF19" si="39">AVERAGE(CE3:CE18)</f>
        <v>0.81781989040478786</v>
      </c>
      <c r="CF19">
        <f t="shared" si="39"/>
        <v>0.84681157825109077</v>
      </c>
    </row>
    <row r="20" spans="1:84" x14ac:dyDescent="0.35">
      <c r="A20" s="57" t="s">
        <v>48</v>
      </c>
      <c r="B20" s="148"/>
      <c r="C20" s="32" t="s">
        <v>67</v>
      </c>
      <c r="D20" s="33">
        <v>2</v>
      </c>
      <c r="E20" s="34">
        <v>2</v>
      </c>
      <c r="F20" s="34">
        <f t="shared" si="1"/>
        <v>0</v>
      </c>
      <c r="G20" s="32">
        <v>0</v>
      </c>
      <c r="H20" s="33">
        <v>2</v>
      </c>
      <c r="I20" s="34">
        <v>2</v>
      </c>
      <c r="J20" s="34">
        <f t="shared" si="2"/>
        <v>0</v>
      </c>
      <c r="K20" s="32">
        <v>0</v>
      </c>
      <c r="L20" s="33">
        <v>1</v>
      </c>
      <c r="M20" s="34">
        <v>1</v>
      </c>
      <c r="N20" s="34">
        <f t="shared" si="3"/>
        <v>0</v>
      </c>
      <c r="O20" s="32">
        <v>0</v>
      </c>
      <c r="P20" s="33">
        <v>1</v>
      </c>
      <c r="Q20" s="34">
        <v>1</v>
      </c>
      <c r="R20" s="34">
        <f t="shared" si="4"/>
        <v>0</v>
      </c>
      <c r="S20" s="32">
        <v>1</v>
      </c>
      <c r="T20" s="33">
        <v>1</v>
      </c>
      <c r="U20" s="34">
        <v>1</v>
      </c>
      <c r="V20" s="34">
        <f t="shared" si="5"/>
        <v>0</v>
      </c>
      <c r="W20" s="32">
        <v>0</v>
      </c>
      <c r="X20" s="33">
        <v>1</v>
      </c>
      <c r="Y20" s="34">
        <v>1</v>
      </c>
      <c r="Z20" s="34">
        <f t="shared" si="6"/>
        <v>0</v>
      </c>
      <c r="AA20" s="32">
        <v>0</v>
      </c>
      <c r="AB20" s="33">
        <v>1</v>
      </c>
      <c r="AC20" s="34">
        <v>1</v>
      </c>
      <c r="AD20" s="34">
        <f t="shared" si="7"/>
        <v>0</v>
      </c>
      <c r="AE20" s="32">
        <v>0</v>
      </c>
      <c r="AF20" s="33">
        <v>1</v>
      </c>
      <c r="AG20" s="34">
        <v>1</v>
      </c>
      <c r="AH20" s="34">
        <f t="shared" si="8"/>
        <v>0</v>
      </c>
      <c r="AI20" s="32">
        <v>0</v>
      </c>
      <c r="AJ20" s="33">
        <v>0</v>
      </c>
      <c r="AK20" s="34">
        <v>0</v>
      </c>
      <c r="AL20" s="34">
        <f t="shared" si="9"/>
        <v>0</v>
      </c>
      <c r="AM20" s="32">
        <v>0</v>
      </c>
      <c r="AN20" s="33">
        <v>0</v>
      </c>
      <c r="AO20" s="34">
        <v>0</v>
      </c>
      <c r="AP20" s="34">
        <f t="shared" si="10"/>
        <v>0</v>
      </c>
      <c r="AQ20" s="32">
        <v>0</v>
      </c>
      <c r="AR20" s="33">
        <v>0</v>
      </c>
      <c r="AS20" s="34">
        <v>0</v>
      </c>
      <c r="AT20" s="34">
        <f t="shared" si="11"/>
        <v>0</v>
      </c>
      <c r="AU20" s="32">
        <v>0</v>
      </c>
      <c r="AV20" s="33">
        <v>1</v>
      </c>
      <c r="AW20" s="34">
        <v>0</v>
      </c>
      <c r="AX20" s="34">
        <f t="shared" si="12"/>
        <v>1</v>
      </c>
      <c r="AY20" s="32">
        <v>1</v>
      </c>
      <c r="AZ20" s="33">
        <v>1</v>
      </c>
      <c r="BA20" s="34">
        <v>0</v>
      </c>
      <c r="BB20" s="34">
        <f t="shared" si="13"/>
        <v>1</v>
      </c>
      <c r="BC20" s="32">
        <v>1</v>
      </c>
      <c r="BD20" s="33">
        <v>0</v>
      </c>
      <c r="BE20" s="34">
        <v>0</v>
      </c>
      <c r="BF20" s="34">
        <f t="shared" si="14"/>
        <v>0</v>
      </c>
      <c r="BG20" s="32">
        <v>0</v>
      </c>
      <c r="BH20" s="33">
        <v>0</v>
      </c>
      <c r="BI20" s="34">
        <v>0</v>
      </c>
      <c r="BJ20" s="34">
        <f t="shared" si="15"/>
        <v>0</v>
      </c>
      <c r="BK20" s="32">
        <v>0</v>
      </c>
      <c r="BL20" s="33">
        <v>0</v>
      </c>
      <c r="BM20" s="34">
        <v>0</v>
      </c>
      <c r="BN20" s="34">
        <f t="shared" si="16"/>
        <v>0</v>
      </c>
      <c r="BO20" s="32">
        <v>1</v>
      </c>
      <c r="BP20" s="33">
        <v>0</v>
      </c>
      <c r="BQ20" s="34">
        <v>0</v>
      </c>
      <c r="BR20" s="34">
        <f t="shared" si="17"/>
        <v>0</v>
      </c>
      <c r="BS20" s="32">
        <v>0</v>
      </c>
      <c r="BT20" s="33">
        <f t="shared" si="18"/>
        <v>10</v>
      </c>
      <c r="BU20" s="34">
        <f t="shared" si="19"/>
        <v>2</v>
      </c>
      <c r="BV20" s="34">
        <f t="shared" si="20"/>
        <v>4</v>
      </c>
      <c r="BW20" s="34">
        <f t="shared" si="21"/>
        <v>0.83333333333333337</v>
      </c>
      <c r="BX20" s="34">
        <f t="shared" si="22"/>
        <v>0.7142857142857143</v>
      </c>
      <c r="BY20" s="32">
        <f t="shared" si="23"/>
        <v>0.76923076923076916</v>
      </c>
    </row>
    <row r="21" spans="1:84" x14ac:dyDescent="0.35">
      <c r="A21" s="58" t="s">
        <v>48</v>
      </c>
      <c r="B21" s="148"/>
      <c r="C21" s="35" t="s">
        <v>35</v>
      </c>
      <c r="D21" s="36">
        <v>2</v>
      </c>
      <c r="E21" s="37">
        <v>2</v>
      </c>
      <c r="F21" s="37">
        <f t="shared" si="1"/>
        <v>0</v>
      </c>
      <c r="G21" s="35">
        <v>0</v>
      </c>
      <c r="H21" s="36">
        <v>2</v>
      </c>
      <c r="I21" s="37">
        <v>2</v>
      </c>
      <c r="J21" s="37">
        <f t="shared" si="2"/>
        <v>0</v>
      </c>
      <c r="K21" s="35">
        <v>0</v>
      </c>
      <c r="L21" s="36">
        <v>3</v>
      </c>
      <c r="M21" s="37">
        <v>3</v>
      </c>
      <c r="N21" s="37">
        <f t="shared" si="3"/>
        <v>0</v>
      </c>
      <c r="O21" s="35">
        <v>0</v>
      </c>
      <c r="P21" s="36">
        <v>2</v>
      </c>
      <c r="Q21" s="37">
        <v>2</v>
      </c>
      <c r="R21" s="37">
        <f t="shared" si="4"/>
        <v>0</v>
      </c>
      <c r="S21" s="35">
        <v>1</v>
      </c>
      <c r="T21" s="36">
        <v>2</v>
      </c>
      <c r="U21" s="37">
        <v>2</v>
      </c>
      <c r="V21" s="37">
        <f t="shared" si="5"/>
        <v>0</v>
      </c>
      <c r="W21" s="35">
        <v>0</v>
      </c>
      <c r="X21" s="36">
        <v>2</v>
      </c>
      <c r="Y21" s="37">
        <v>2</v>
      </c>
      <c r="Z21" s="37">
        <f t="shared" si="6"/>
        <v>0</v>
      </c>
      <c r="AA21" s="35">
        <v>0</v>
      </c>
      <c r="AB21" s="36">
        <v>0</v>
      </c>
      <c r="AC21" s="37">
        <v>0</v>
      </c>
      <c r="AD21" s="37">
        <f t="shared" si="7"/>
        <v>0</v>
      </c>
      <c r="AE21" s="35">
        <v>0</v>
      </c>
      <c r="AF21" s="36">
        <v>2</v>
      </c>
      <c r="AG21" s="37">
        <v>2</v>
      </c>
      <c r="AH21" s="37">
        <f t="shared" si="8"/>
        <v>0</v>
      </c>
      <c r="AI21" s="35">
        <v>0</v>
      </c>
      <c r="AJ21" s="36">
        <v>0</v>
      </c>
      <c r="AK21" s="37">
        <v>0</v>
      </c>
      <c r="AL21" s="37">
        <f t="shared" si="9"/>
        <v>0</v>
      </c>
      <c r="AM21" s="35">
        <v>0</v>
      </c>
      <c r="AN21" s="36">
        <v>0</v>
      </c>
      <c r="AO21" s="37">
        <v>0</v>
      </c>
      <c r="AP21" s="37">
        <f t="shared" si="10"/>
        <v>0</v>
      </c>
      <c r="AQ21" s="35">
        <v>0</v>
      </c>
      <c r="AR21" s="36">
        <v>0</v>
      </c>
      <c r="AS21" s="37">
        <v>0</v>
      </c>
      <c r="AT21" s="37">
        <f t="shared" si="11"/>
        <v>0</v>
      </c>
      <c r="AU21" s="35">
        <v>0</v>
      </c>
      <c r="AV21" s="36">
        <v>1</v>
      </c>
      <c r="AW21" s="37">
        <v>0</v>
      </c>
      <c r="AX21" s="37">
        <f t="shared" si="12"/>
        <v>1</v>
      </c>
      <c r="AY21" s="35">
        <v>1</v>
      </c>
      <c r="AZ21" s="36">
        <v>1</v>
      </c>
      <c r="BA21" s="37">
        <v>0</v>
      </c>
      <c r="BB21" s="37">
        <f t="shared" si="13"/>
        <v>1</v>
      </c>
      <c r="BC21" s="35">
        <v>1</v>
      </c>
      <c r="BD21" s="36">
        <v>0</v>
      </c>
      <c r="BE21" s="37">
        <v>0</v>
      </c>
      <c r="BF21" s="37">
        <f t="shared" si="14"/>
        <v>0</v>
      </c>
      <c r="BG21" s="35">
        <v>0</v>
      </c>
      <c r="BH21" s="36">
        <v>0</v>
      </c>
      <c r="BI21" s="37">
        <v>0</v>
      </c>
      <c r="BJ21" s="37">
        <f t="shared" si="15"/>
        <v>0</v>
      </c>
      <c r="BK21" s="35">
        <v>0</v>
      </c>
      <c r="BL21" s="36">
        <v>0</v>
      </c>
      <c r="BM21" s="37">
        <v>0</v>
      </c>
      <c r="BN21" s="37">
        <f t="shared" si="16"/>
        <v>0</v>
      </c>
      <c r="BO21" s="35">
        <v>1</v>
      </c>
      <c r="BP21" s="36">
        <v>0</v>
      </c>
      <c r="BQ21" s="37">
        <v>0</v>
      </c>
      <c r="BR21" s="37">
        <f t="shared" si="17"/>
        <v>0</v>
      </c>
      <c r="BS21" s="35">
        <v>0</v>
      </c>
      <c r="BT21" s="36">
        <f t="shared" si="18"/>
        <v>15</v>
      </c>
      <c r="BU21" s="37">
        <f t="shared" si="19"/>
        <v>2</v>
      </c>
      <c r="BV21" s="37">
        <f t="shared" si="20"/>
        <v>4</v>
      </c>
      <c r="BW21" s="37">
        <f t="shared" si="21"/>
        <v>0.88235294117647056</v>
      </c>
      <c r="BX21" s="37">
        <f t="shared" si="22"/>
        <v>0.78947368421052633</v>
      </c>
      <c r="BY21" s="35">
        <f t="shared" si="23"/>
        <v>0.83333333333333326</v>
      </c>
    </row>
    <row r="22" spans="1:84" x14ac:dyDescent="0.35">
      <c r="A22" s="58" t="s">
        <v>48</v>
      </c>
      <c r="B22" s="148"/>
      <c r="C22" s="35" t="s">
        <v>68</v>
      </c>
      <c r="D22" s="36">
        <v>2</v>
      </c>
      <c r="E22" s="37">
        <v>2</v>
      </c>
      <c r="F22" s="37">
        <f t="shared" si="1"/>
        <v>0</v>
      </c>
      <c r="G22" s="35">
        <v>0</v>
      </c>
      <c r="H22" s="36">
        <v>2</v>
      </c>
      <c r="I22" s="37">
        <v>2</v>
      </c>
      <c r="J22" s="37">
        <f t="shared" si="2"/>
        <v>0</v>
      </c>
      <c r="K22" s="35">
        <v>0</v>
      </c>
      <c r="L22" s="36">
        <v>3</v>
      </c>
      <c r="M22" s="37">
        <v>3</v>
      </c>
      <c r="N22" s="37">
        <f t="shared" si="3"/>
        <v>0</v>
      </c>
      <c r="O22" s="35">
        <v>0</v>
      </c>
      <c r="P22" s="36">
        <v>2</v>
      </c>
      <c r="Q22" s="37">
        <v>2</v>
      </c>
      <c r="R22" s="37">
        <f t="shared" si="4"/>
        <v>0</v>
      </c>
      <c r="S22" s="35">
        <v>1</v>
      </c>
      <c r="T22" s="36">
        <v>2</v>
      </c>
      <c r="U22" s="37">
        <v>2</v>
      </c>
      <c r="V22" s="37">
        <f t="shared" si="5"/>
        <v>0</v>
      </c>
      <c r="W22" s="35">
        <v>0</v>
      </c>
      <c r="X22" s="36">
        <v>2</v>
      </c>
      <c r="Y22" s="37">
        <v>2</v>
      </c>
      <c r="Z22" s="37">
        <f t="shared" si="6"/>
        <v>0</v>
      </c>
      <c r="AA22" s="35">
        <v>0</v>
      </c>
      <c r="AB22" s="36">
        <v>0</v>
      </c>
      <c r="AC22" s="37">
        <v>0</v>
      </c>
      <c r="AD22" s="37">
        <f t="shared" si="7"/>
        <v>0</v>
      </c>
      <c r="AE22" s="35">
        <v>0</v>
      </c>
      <c r="AF22" s="36">
        <v>2</v>
      </c>
      <c r="AG22" s="37">
        <v>2</v>
      </c>
      <c r="AH22" s="37">
        <f t="shared" si="8"/>
        <v>0</v>
      </c>
      <c r="AI22" s="35">
        <v>0</v>
      </c>
      <c r="AJ22" s="36">
        <v>0</v>
      </c>
      <c r="AK22" s="37">
        <v>0</v>
      </c>
      <c r="AL22" s="37">
        <f t="shared" si="9"/>
        <v>0</v>
      </c>
      <c r="AM22" s="35">
        <v>0</v>
      </c>
      <c r="AN22" s="36">
        <v>0</v>
      </c>
      <c r="AO22" s="37">
        <v>0</v>
      </c>
      <c r="AP22" s="37">
        <f t="shared" si="10"/>
        <v>0</v>
      </c>
      <c r="AQ22" s="35">
        <v>0</v>
      </c>
      <c r="AR22" s="36">
        <v>0</v>
      </c>
      <c r="AS22" s="37">
        <v>0</v>
      </c>
      <c r="AT22" s="37">
        <f t="shared" si="11"/>
        <v>0</v>
      </c>
      <c r="AU22" s="35">
        <v>0</v>
      </c>
      <c r="AV22" s="36">
        <v>1</v>
      </c>
      <c r="AW22" s="37">
        <v>0</v>
      </c>
      <c r="AX22" s="37">
        <f t="shared" si="12"/>
        <v>1</v>
      </c>
      <c r="AY22" s="35">
        <v>1</v>
      </c>
      <c r="AZ22" s="36">
        <v>1</v>
      </c>
      <c r="BA22" s="37">
        <v>0</v>
      </c>
      <c r="BB22" s="37">
        <f t="shared" si="13"/>
        <v>1</v>
      </c>
      <c r="BC22" s="35">
        <v>1</v>
      </c>
      <c r="BD22" s="36">
        <v>0</v>
      </c>
      <c r="BE22" s="37">
        <v>0</v>
      </c>
      <c r="BF22" s="37">
        <f t="shared" si="14"/>
        <v>0</v>
      </c>
      <c r="BG22" s="35">
        <v>0</v>
      </c>
      <c r="BH22" s="36">
        <v>0</v>
      </c>
      <c r="BI22" s="37">
        <v>0</v>
      </c>
      <c r="BJ22" s="37">
        <f t="shared" si="15"/>
        <v>0</v>
      </c>
      <c r="BK22" s="35">
        <v>0</v>
      </c>
      <c r="BL22" s="36">
        <v>0</v>
      </c>
      <c r="BM22" s="37">
        <v>0</v>
      </c>
      <c r="BN22" s="37">
        <f t="shared" si="16"/>
        <v>0</v>
      </c>
      <c r="BO22" s="35">
        <v>1</v>
      </c>
      <c r="BP22" s="36">
        <v>0</v>
      </c>
      <c r="BQ22" s="37">
        <v>0</v>
      </c>
      <c r="BR22" s="37">
        <f t="shared" si="17"/>
        <v>0</v>
      </c>
      <c r="BS22" s="35">
        <v>0</v>
      </c>
      <c r="BT22" s="36">
        <f t="shared" si="18"/>
        <v>15</v>
      </c>
      <c r="BU22" s="37">
        <f t="shared" si="19"/>
        <v>2</v>
      </c>
      <c r="BV22" s="37">
        <f t="shared" si="20"/>
        <v>4</v>
      </c>
      <c r="BW22" s="37">
        <f t="shared" si="21"/>
        <v>0.88235294117647056</v>
      </c>
      <c r="BX22" s="37">
        <f t="shared" si="22"/>
        <v>0.78947368421052633</v>
      </c>
      <c r="BY22" s="35">
        <f t="shared" si="23"/>
        <v>0.83333333333333326</v>
      </c>
    </row>
    <row r="23" spans="1:84" x14ac:dyDescent="0.35">
      <c r="A23" s="59" t="s">
        <v>48</v>
      </c>
      <c r="B23" s="148"/>
      <c r="C23" s="38" t="s">
        <v>36</v>
      </c>
      <c r="D23" s="39">
        <v>2</v>
      </c>
      <c r="E23" s="40">
        <v>2</v>
      </c>
      <c r="F23" s="40">
        <f t="shared" si="1"/>
        <v>0</v>
      </c>
      <c r="G23" s="38">
        <v>0</v>
      </c>
      <c r="H23" s="39">
        <v>2</v>
      </c>
      <c r="I23" s="40">
        <v>2</v>
      </c>
      <c r="J23" s="40">
        <f t="shared" si="2"/>
        <v>0</v>
      </c>
      <c r="K23" s="38">
        <v>0</v>
      </c>
      <c r="L23" s="39">
        <v>0</v>
      </c>
      <c r="M23" s="40">
        <v>0</v>
      </c>
      <c r="N23" s="40">
        <f t="shared" si="3"/>
        <v>0</v>
      </c>
      <c r="O23" s="38">
        <v>0</v>
      </c>
      <c r="P23" s="39">
        <v>1</v>
      </c>
      <c r="Q23" s="40">
        <v>1</v>
      </c>
      <c r="R23" s="40">
        <f t="shared" si="4"/>
        <v>0</v>
      </c>
      <c r="S23" s="38">
        <v>1</v>
      </c>
      <c r="T23" s="39">
        <v>1</v>
      </c>
      <c r="U23" s="40">
        <v>1</v>
      </c>
      <c r="V23" s="40">
        <f t="shared" si="5"/>
        <v>0</v>
      </c>
      <c r="W23" s="38">
        <v>0</v>
      </c>
      <c r="X23" s="39">
        <v>1</v>
      </c>
      <c r="Y23" s="40">
        <v>1</v>
      </c>
      <c r="Z23" s="40">
        <f t="shared" si="6"/>
        <v>0</v>
      </c>
      <c r="AA23" s="38">
        <v>0</v>
      </c>
      <c r="AB23" s="39">
        <v>1</v>
      </c>
      <c r="AC23" s="40">
        <v>1</v>
      </c>
      <c r="AD23" s="40">
        <f t="shared" si="7"/>
        <v>0</v>
      </c>
      <c r="AE23" s="38">
        <v>0</v>
      </c>
      <c r="AF23" s="39">
        <v>1</v>
      </c>
      <c r="AG23" s="40">
        <v>1</v>
      </c>
      <c r="AH23" s="40">
        <f t="shared" si="8"/>
        <v>0</v>
      </c>
      <c r="AI23" s="38">
        <v>0</v>
      </c>
      <c r="AJ23" s="39">
        <v>0</v>
      </c>
      <c r="AK23" s="40">
        <v>0</v>
      </c>
      <c r="AL23" s="40">
        <f t="shared" si="9"/>
        <v>0</v>
      </c>
      <c r="AM23" s="38">
        <v>0</v>
      </c>
      <c r="AN23" s="39">
        <v>0</v>
      </c>
      <c r="AO23" s="40">
        <v>0</v>
      </c>
      <c r="AP23" s="40">
        <f t="shared" si="10"/>
        <v>0</v>
      </c>
      <c r="AQ23" s="38">
        <v>0</v>
      </c>
      <c r="AR23" s="39">
        <v>1</v>
      </c>
      <c r="AS23" s="40">
        <v>0</v>
      </c>
      <c r="AT23" s="40">
        <f t="shared" si="11"/>
        <v>1</v>
      </c>
      <c r="AU23" s="38">
        <v>0</v>
      </c>
      <c r="AV23" s="39">
        <v>0</v>
      </c>
      <c r="AW23" s="40">
        <v>0</v>
      </c>
      <c r="AX23" s="40">
        <f t="shared" si="12"/>
        <v>0</v>
      </c>
      <c r="AY23" s="38">
        <v>1</v>
      </c>
      <c r="AZ23" s="39">
        <v>1</v>
      </c>
      <c r="BA23" s="40">
        <v>1</v>
      </c>
      <c r="BB23" s="40">
        <f t="shared" si="13"/>
        <v>0</v>
      </c>
      <c r="BC23" s="38">
        <v>0</v>
      </c>
      <c r="BD23" s="39">
        <v>0</v>
      </c>
      <c r="BE23" s="40">
        <v>0</v>
      </c>
      <c r="BF23" s="40">
        <f t="shared" si="14"/>
        <v>0</v>
      </c>
      <c r="BG23" s="38">
        <v>0</v>
      </c>
      <c r="BH23" s="39">
        <v>0</v>
      </c>
      <c r="BI23" s="40">
        <v>0</v>
      </c>
      <c r="BJ23" s="40">
        <f t="shared" si="15"/>
        <v>0</v>
      </c>
      <c r="BK23" s="38">
        <v>0</v>
      </c>
      <c r="BL23" s="39">
        <v>0</v>
      </c>
      <c r="BM23" s="40">
        <v>0</v>
      </c>
      <c r="BN23" s="40">
        <f t="shared" si="16"/>
        <v>0</v>
      </c>
      <c r="BO23" s="38">
        <v>0</v>
      </c>
      <c r="BP23" s="39">
        <v>0</v>
      </c>
      <c r="BQ23" s="40">
        <v>0</v>
      </c>
      <c r="BR23" s="40">
        <f t="shared" si="17"/>
        <v>0</v>
      </c>
      <c r="BS23" s="38">
        <v>0</v>
      </c>
      <c r="BT23" s="39">
        <f t="shared" si="18"/>
        <v>10</v>
      </c>
      <c r="BU23" s="40">
        <f t="shared" si="19"/>
        <v>1</v>
      </c>
      <c r="BV23" s="40">
        <f t="shared" si="20"/>
        <v>2</v>
      </c>
      <c r="BW23" s="40">
        <f t="shared" si="21"/>
        <v>0.90909090909090906</v>
      </c>
      <c r="BX23" s="40">
        <f t="shared" si="22"/>
        <v>0.83333333333333337</v>
      </c>
      <c r="BY23" s="38">
        <f t="shared" si="23"/>
        <v>0.86956521739130432</v>
      </c>
    </row>
    <row r="24" spans="1:84" x14ac:dyDescent="0.35">
      <c r="A24" s="59" t="s">
        <v>48</v>
      </c>
      <c r="B24" s="148"/>
      <c r="C24" s="38" t="s">
        <v>69</v>
      </c>
      <c r="D24" s="39">
        <v>2</v>
      </c>
      <c r="E24" s="40">
        <v>2</v>
      </c>
      <c r="F24" s="40">
        <f t="shared" si="1"/>
        <v>0</v>
      </c>
      <c r="G24" s="38">
        <v>0</v>
      </c>
      <c r="H24" s="39">
        <v>2</v>
      </c>
      <c r="I24" s="40">
        <v>2</v>
      </c>
      <c r="J24" s="40">
        <f t="shared" si="2"/>
        <v>0</v>
      </c>
      <c r="K24" s="38">
        <v>0</v>
      </c>
      <c r="L24" s="39">
        <v>0</v>
      </c>
      <c r="M24" s="40">
        <v>0</v>
      </c>
      <c r="N24" s="40">
        <f t="shared" si="3"/>
        <v>0</v>
      </c>
      <c r="O24" s="38">
        <v>0</v>
      </c>
      <c r="P24" s="39">
        <v>1</v>
      </c>
      <c r="Q24" s="40">
        <v>1</v>
      </c>
      <c r="R24" s="40">
        <f t="shared" si="4"/>
        <v>0</v>
      </c>
      <c r="S24" s="38">
        <v>1</v>
      </c>
      <c r="T24" s="39">
        <v>1</v>
      </c>
      <c r="U24" s="40">
        <v>1</v>
      </c>
      <c r="V24" s="40">
        <f t="shared" si="5"/>
        <v>0</v>
      </c>
      <c r="W24" s="38">
        <v>1</v>
      </c>
      <c r="X24" s="39">
        <v>1</v>
      </c>
      <c r="Y24" s="40">
        <v>1</v>
      </c>
      <c r="Z24" s="40">
        <f t="shared" si="6"/>
        <v>0</v>
      </c>
      <c r="AA24" s="38">
        <v>0</v>
      </c>
      <c r="AB24" s="39">
        <v>1</v>
      </c>
      <c r="AC24" s="40">
        <v>1</v>
      </c>
      <c r="AD24" s="40">
        <f t="shared" si="7"/>
        <v>0</v>
      </c>
      <c r="AE24" s="38">
        <v>0</v>
      </c>
      <c r="AF24" s="39">
        <v>1</v>
      </c>
      <c r="AG24" s="40">
        <v>1</v>
      </c>
      <c r="AH24" s="40">
        <f t="shared" si="8"/>
        <v>0</v>
      </c>
      <c r="AI24" s="38">
        <v>0</v>
      </c>
      <c r="AJ24" s="39">
        <v>0</v>
      </c>
      <c r="AK24" s="40">
        <v>0</v>
      </c>
      <c r="AL24" s="40">
        <f t="shared" si="9"/>
        <v>0</v>
      </c>
      <c r="AM24" s="38">
        <v>0</v>
      </c>
      <c r="AN24" s="39">
        <v>0</v>
      </c>
      <c r="AO24" s="40">
        <v>0</v>
      </c>
      <c r="AP24" s="40">
        <f t="shared" si="10"/>
        <v>0</v>
      </c>
      <c r="AQ24" s="38">
        <v>0</v>
      </c>
      <c r="AR24" s="39">
        <v>1</v>
      </c>
      <c r="AS24" s="40">
        <v>0</v>
      </c>
      <c r="AT24" s="40">
        <f t="shared" si="11"/>
        <v>1</v>
      </c>
      <c r="AU24" s="38">
        <v>0</v>
      </c>
      <c r="AV24" s="39">
        <v>0</v>
      </c>
      <c r="AW24" s="40">
        <v>0</v>
      </c>
      <c r="AX24" s="40">
        <f t="shared" si="12"/>
        <v>0</v>
      </c>
      <c r="AY24" s="38">
        <v>1</v>
      </c>
      <c r="AZ24" s="39">
        <v>1</v>
      </c>
      <c r="BA24" s="40">
        <v>1</v>
      </c>
      <c r="BB24" s="40">
        <f t="shared" si="13"/>
        <v>0</v>
      </c>
      <c r="BC24" s="38">
        <v>0</v>
      </c>
      <c r="BD24" s="39">
        <v>0</v>
      </c>
      <c r="BE24" s="40">
        <v>0</v>
      </c>
      <c r="BF24" s="40">
        <f t="shared" si="14"/>
        <v>0</v>
      </c>
      <c r="BG24" s="38">
        <v>0</v>
      </c>
      <c r="BH24" s="39">
        <v>0</v>
      </c>
      <c r="BI24" s="40">
        <v>0</v>
      </c>
      <c r="BJ24" s="40">
        <f t="shared" si="15"/>
        <v>0</v>
      </c>
      <c r="BK24" s="38">
        <v>0</v>
      </c>
      <c r="BL24" s="39">
        <v>0</v>
      </c>
      <c r="BM24" s="40">
        <v>0</v>
      </c>
      <c r="BN24" s="40">
        <f t="shared" si="16"/>
        <v>0</v>
      </c>
      <c r="BO24" s="38">
        <v>1</v>
      </c>
      <c r="BP24" s="39">
        <v>0</v>
      </c>
      <c r="BQ24" s="40">
        <v>0</v>
      </c>
      <c r="BR24" s="40">
        <f t="shared" si="17"/>
        <v>0</v>
      </c>
      <c r="BS24" s="38">
        <v>0</v>
      </c>
      <c r="BT24" s="39">
        <f t="shared" si="18"/>
        <v>10</v>
      </c>
      <c r="BU24" s="40">
        <f t="shared" si="19"/>
        <v>1</v>
      </c>
      <c r="BV24" s="40">
        <f t="shared" si="20"/>
        <v>4</v>
      </c>
      <c r="BW24" s="40">
        <f t="shared" si="21"/>
        <v>0.90909090909090906</v>
      </c>
      <c r="BX24" s="40">
        <f t="shared" si="22"/>
        <v>0.7142857142857143</v>
      </c>
      <c r="BY24" s="38">
        <f t="shared" si="23"/>
        <v>0.8</v>
      </c>
    </row>
    <row r="25" spans="1:84" x14ac:dyDescent="0.35">
      <c r="A25" s="60" t="s">
        <v>48</v>
      </c>
      <c r="B25" s="148"/>
      <c r="C25" s="41" t="s">
        <v>37</v>
      </c>
      <c r="D25" s="42">
        <v>2</v>
      </c>
      <c r="E25" s="43">
        <v>2</v>
      </c>
      <c r="F25" s="43">
        <f t="shared" si="1"/>
        <v>0</v>
      </c>
      <c r="G25" s="41">
        <v>0</v>
      </c>
      <c r="H25" s="42">
        <v>2</v>
      </c>
      <c r="I25" s="43">
        <v>0</v>
      </c>
      <c r="J25" s="43">
        <f t="shared" si="2"/>
        <v>2</v>
      </c>
      <c r="K25" s="41">
        <v>0</v>
      </c>
      <c r="L25" s="42">
        <v>0</v>
      </c>
      <c r="M25" s="43">
        <v>0</v>
      </c>
      <c r="N25" s="43">
        <f t="shared" si="3"/>
        <v>0</v>
      </c>
      <c r="O25" s="41">
        <v>0</v>
      </c>
      <c r="P25" s="42">
        <v>2</v>
      </c>
      <c r="Q25" s="43">
        <v>2</v>
      </c>
      <c r="R25" s="43">
        <f t="shared" si="4"/>
        <v>0</v>
      </c>
      <c r="S25" s="41">
        <v>0</v>
      </c>
      <c r="T25" s="42">
        <v>2</v>
      </c>
      <c r="U25" s="43">
        <v>0</v>
      </c>
      <c r="V25" s="43">
        <f t="shared" si="5"/>
        <v>2</v>
      </c>
      <c r="W25" s="41">
        <v>2</v>
      </c>
      <c r="X25" s="42">
        <v>2</v>
      </c>
      <c r="Y25" s="43">
        <v>2</v>
      </c>
      <c r="Z25" s="43">
        <f t="shared" si="6"/>
        <v>0</v>
      </c>
      <c r="AA25" s="41">
        <v>0</v>
      </c>
      <c r="AB25" s="42">
        <v>2</v>
      </c>
      <c r="AC25" s="43">
        <v>2</v>
      </c>
      <c r="AD25" s="43">
        <f t="shared" si="7"/>
        <v>0</v>
      </c>
      <c r="AE25" s="41">
        <v>0</v>
      </c>
      <c r="AF25" s="42">
        <v>2</v>
      </c>
      <c r="AG25" s="43">
        <v>2</v>
      </c>
      <c r="AH25" s="43">
        <f t="shared" si="8"/>
        <v>0</v>
      </c>
      <c r="AI25" s="41">
        <v>0</v>
      </c>
      <c r="AJ25" s="42">
        <v>0</v>
      </c>
      <c r="AK25" s="43">
        <v>0</v>
      </c>
      <c r="AL25" s="43">
        <f t="shared" si="9"/>
        <v>0</v>
      </c>
      <c r="AM25" s="41">
        <v>0</v>
      </c>
      <c r="AN25" s="42">
        <v>0</v>
      </c>
      <c r="AO25" s="43">
        <v>0</v>
      </c>
      <c r="AP25" s="43">
        <f t="shared" si="10"/>
        <v>0</v>
      </c>
      <c r="AQ25" s="41">
        <v>0</v>
      </c>
      <c r="AR25" s="42">
        <v>1</v>
      </c>
      <c r="AS25" s="43">
        <v>1</v>
      </c>
      <c r="AT25" s="43">
        <f t="shared" si="11"/>
        <v>0</v>
      </c>
      <c r="AU25" s="41">
        <v>1</v>
      </c>
      <c r="AV25" s="42">
        <v>0</v>
      </c>
      <c r="AW25" s="43">
        <v>0</v>
      </c>
      <c r="AX25" s="43">
        <f t="shared" si="12"/>
        <v>0</v>
      </c>
      <c r="AY25" s="41">
        <v>0</v>
      </c>
      <c r="AZ25" s="42">
        <v>1</v>
      </c>
      <c r="BA25" s="43">
        <v>1</v>
      </c>
      <c r="BB25" s="43">
        <f t="shared" si="13"/>
        <v>0</v>
      </c>
      <c r="BC25" s="41">
        <v>1</v>
      </c>
      <c r="BD25" s="42">
        <v>0</v>
      </c>
      <c r="BE25" s="43">
        <v>0</v>
      </c>
      <c r="BF25" s="43">
        <f t="shared" si="14"/>
        <v>0</v>
      </c>
      <c r="BG25" s="41">
        <v>0</v>
      </c>
      <c r="BH25" s="42">
        <v>0</v>
      </c>
      <c r="BI25" s="43">
        <v>0</v>
      </c>
      <c r="BJ25" s="43">
        <f t="shared" si="15"/>
        <v>0</v>
      </c>
      <c r="BK25" s="41">
        <v>0</v>
      </c>
      <c r="BL25" s="42">
        <v>0</v>
      </c>
      <c r="BM25" s="43">
        <v>0</v>
      </c>
      <c r="BN25" s="43">
        <f t="shared" si="16"/>
        <v>0</v>
      </c>
      <c r="BO25" s="41">
        <v>1</v>
      </c>
      <c r="BP25" s="42">
        <v>0</v>
      </c>
      <c r="BQ25" s="43">
        <v>0</v>
      </c>
      <c r="BR25" s="43">
        <f t="shared" si="17"/>
        <v>0</v>
      </c>
      <c r="BS25" s="41">
        <v>0</v>
      </c>
      <c r="BT25" s="42">
        <f t="shared" si="18"/>
        <v>12</v>
      </c>
      <c r="BU25" s="43">
        <f t="shared" si="19"/>
        <v>4</v>
      </c>
      <c r="BV25" s="43">
        <f t="shared" si="20"/>
        <v>5</v>
      </c>
      <c r="BW25" s="43">
        <f t="shared" si="21"/>
        <v>0.75</v>
      </c>
      <c r="BX25" s="43">
        <f t="shared" si="22"/>
        <v>0.70588235294117652</v>
      </c>
      <c r="BY25" s="41">
        <f t="shared" si="23"/>
        <v>0.72727272727272718</v>
      </c>
    </row>
    <row r="26" spans="1:84" x14ac:dyDescent="0.35">
      <c r="A26" s="60" t="s">
        <v>48</v>
      </c>
      <c r="B26" s="148"/>
      <c r="C26" s="41" t="s">
        <v>70</v>
      </c>
      <c r="D26" s="42">
        <v>2</v>
      </c>
      <c r="E26" s="43">
        <v>2</v>
      </c>
      <c r="F26" s="43">
        <f t="shared" si="1"/>
        <v>0</v>
      </c>
      <c r="G26" s="41">
        <v>0</v>
      </c>
      <c r="H26" s="42">
        <v>2</v>
      </c>
      <c r="I26" s="43">
        <v>2</v>
      </c>
      <c r="J26" s="43">
        <f t="shared" si="2"/>
        <v>0</v>
      </c>
      <c r="K26" s="41">
        <v>0</v>
      </c>
      <c r="L26" s="42">
        <v>0</v>
      </c>
      <c r="M26" s="43">
        <v>0</v>
      </c>
      <c r="N26" s="43">
        <f t="shared" si="3"/>
        <v>0</v>
      </c>
      <c r="O26" s="41">
        <v>0</v>
      </c>
      <c r="P26" s="42">
        <v>2</v>
      </c>
      <c r="Q26" s="43">
        <v>2</v>
      </c>
      <c r="R26" s="43">
        <f t="shared" si="4"/>
        <v>0</v>
      </c>
      <c r="S26" s="41">
        <v>0</v>
      </c>
      <c r="T26" s="42">
        <v>2</v>
      </c>
      <c r="U26" s="43">
        <v>0</v>
      </c>
      <c r="V26" s="43">
        <f t="shared" si="5"/>
        <v>2</v>
      </c>
      <c r="W26" s="41">
        <v>2</v>
      </c>
      <c r="X26" s="42">
        <v>2</v>
      </c>
      <c r="Y26" s="43">
        <v>2</v>
      </c>
      <c r="Z26" s="43">
        <f t="shared" si="6"/>
        <v>0</v>
      </c>
      <c r="AA26" s="41">
        <v>0</v>
      </c>
      <c r="AB26" s="42">
        <v>2</v>
      </c>
      <c r="AC26" s="43">
        <v>2</v>
      </c>
      <c r="AD26" s="43">
        <f t="shared" si="7"/>
        <v>0</v>
      </c>
      <c r="AE26" s="41">
        <v>0</v>
      </c>
      <c r="AF26" s="42">
        <v>2</v>
      </c>
      <c r="AG26" s="43">
        <v>2</v>
      </c>
      <c r="AH26" s="43">
        <f t="shared" si="8"/>
        <v>0</v>
      </c>
      <c r="AI26" s="41">
        <v>2</v>
      </c>
      <c r="AJ26" s="42">
        <v>0</v>
      </c>
      <c r="AK26" s="43">
        <v>0</v>
      </c>
      <c r="AL26" s="43">
        <f t="shared" si="9"/>
        <v>0</v>
      </c>
      <c r="AM26" s="41">
        <v>0</v>
      </c>
      <c r="AN26" s="42">
        <v>0</v>
      </c>
      <c r="AO26" s="43">
        <v>0</v>
      </c>
      <c r="AP26" s="43">
        <f t="shared" si="10"/>
        <v>0</v>
      </c>
      <c r="AQ26" s="41">
        <v>0</v>
      </c>
      <c r="AR26" s="42">
        <v>1</v>
      </c>
      <c r="AS26" s="43">
        <v>0</v>
      </c>
      <c r="AT26" s="43">
        <f t="shared" si="11"/>
        <v>1</v>
      </c>
      <c r="AU26" s="41">
        <v>1</v>
      </c>
      <c r="AV26" s="42">
        <v>0</v>
      </c>
      <c r="AW26" s="43">
        <v>0</v>
      </c>
      <c r="AX26" s="43">
        <f t="shared" si="12"/>
        <v>0</v>
      </c>
      <c r="AY26" s="41">
        <v>0</v>
      </c>
      <c r="AZ26" s="42">
        <v>1</v>
      </c>
      <c r="BA26" s="43">
        <v>0</v>
      </c>
      <c r="BB26" s="43">
        <f t="shared" si="13"/>
        <v>1</v>
      </c>
      <c r="BC26" s="41">
        <v>0</v>
      </c>
      <c r="BD26" s="42">
        <v>0</v>
      </c>
      <c r="BE26" s="43">
        <v>0</v>
      </c>
      <c r="BF26" s="43">
        <f t="shared" si="14"/>
        <v>0</v>
      </c>
      <c r="BG26" s="41">
        <v>0</v>
      </c>
      <c r="BH26" s="42">
        <v>0</v>
      </c>
      <c r="BI26" s="43">
        <v>0</v>
      </c>
      <c r="BJ26" s="43">
        <f t="shared" si="15"/>
        <v>0</v>
      </c>
      <c r="BK26" s="41">
        <v>0</v>
      </c>
      <c r="BL26" s="42">
        <v>0</v>
      </c>
      <c r="BM26" s="43">
        <v>0</v>
      </c>
      <c r="BN26" s="43">
        <f t="shared" si="16"/>
        <v>0</v>
      </c>
      <c r="BO26" s="41">
        <v>1</v>
      </c>
      <c r="BP26" s="42">
        <v>0</v>
      </c>
      <c r="BQ26" s="43">
        <v>0</v>
      </c>
      <c r="BR26" s="43">
        <f t="shared" si="17"/>
        <v>0</v>
      </c>
      <c r="BS26" s="41">
        <v>0</v>
      </c>
      <c r="BT26" s="42">
        <f t="shared" si="18"/>
        <v>12</v>
      </c>
      <c r="BU26" s="43">
        <f t="shared" si="19"/>
        <v>4</v>
      </c>
      <c r="BV26" s="43">
        <f t="shared" si="20"/>
        <v>6</v>
      </c>
      <c r="BW26" s="43">
        <f t="shared" si="21"/>
        <v>0.75</v>
      </c>
      <c r="BX26" s="43">
        <f t="shared" si="22"/>
        <v>0.66666666666666663</v>
      </c>
      <c r="BY26" s="41">
        <f t="shared" si="23"/>
        <v>0.70588235294117652</v>
      </c>
    </row>
    <row r="27" spans="1:84" x14ac:dyDescent="0.35">
      <c r="A27" s="47" t="s">
        <v>48</v>
      </c>
      <c r="B27" s="148"/>
      <c r="C27" s="44" t="s">
        <v>38</v>
      </c>
      <c r="D27" s="45">
        <v>2</v>
      </c>
      <c r="E27" s="46">
        <v>2</v>
      </c>
      <c r="F27" s="46">
        <f t="shared" si="1"/>
        <v>0</v>
      </c>
      <c r="G27" s="44">
        <v>0</v>
      </c>
      <c r="H27" s="45">
        <v>2</v>
      </c>
      <c r="I27" s="46">
        <v>2</v>
      </c>
      <c r="J27" s="46">
        <f t="shared" si="2"/>
        <v>0</v>
      </c>
      <c r="K27" s="44">
        <v>0</v>
      </c>
      <c r="L27" s="45">
        <v>2</v>
      </c>
      <c r="M27" s="46">
        <v>2</v>
      </c>
      <c r="N27" s="46">
        <f t="shared" si="3"/>
        <v>0</v>
      </c>
      <c r="O27" s="44">
        <v>0</v>
      </c>
      <c r="P27" s="45">
        <v>2</v>
      </c>
      <c r="Q27" s="46">
        <v>2</v>
      </c>
      <c r="R27" s="46">
        <f t="shared" si="4"/>
        <v>0</v>
      </c>
      <c r="S27" s="44">
        <v>0</v>
      </c>
      <c r="T27" s="45">
        <v>2</v>
      </c>
      <c r="U27" s="46">
        <v>2</v>
      </c>
      <c r="V27" s="46">
        <f t="shared" si="5"/>
        <v>0</v>
      </c>
      <c r="W27" s="44">
        <v>0</v>
      </c>
      <c r="X27" s="45">
        <v>1</v>
      </c>
      <c r="Y27" s="46">
        <v>1</v>
      </c>
      <c r="Z27" s="46">
        <f t="shared" si="6"/>
        <v>0</v>
      </c>
      <c r="AA27" s="44">
        <v>0</v>
      </c>
      <c r="AB27" s="45">
        <v>0</v>
      </c>
      <c r="AC27" s="46">
        <v>0</v>
      </c>
      <c r="AD27" s="46">
        <f t="shared" si="7"/>
        <v>0</v>
      </c>
      <c r="AE27" s="44">
        <v>0</v>
      </c>
      <c r="AF27" s="45">
        <v>1</v>
      </c>
      <c r="AG27" s="46">
        <v>1</v>
      </c>
      <c r="AH27" s="46">
        <f t="shared" si="8"/>
        <v>0</v>
      </c>
      <c r="AI27" s="44">
        <v>0</v>
      </c>
      <c r="AJ27" s="45">
        <v>0</v>
      </c>
      <c r="AK27" s="46">
        <v>0</v>
      </c>
      <c r="AL27" s="46">
        <f t="shared" si="9"/>
        <v>0</v>
      </c>
      <c r="AM27" s="44">
        <v>0</v>
      </c>
      <c r="AN27" s="45">
        <v>0</v>
      </c>
      <c r="AO27" s="46">
        <v>0</v>
      </c>
      <c r="AP27" s="46">
        <f t="shared" si="10"/>
        <v>0</v>
      </c>
      <c r="AQ27" s="44">
        <v>0</v>
      </c>
      <c r="AR27" s="45">
        <v>0</v>
      </c>
      <c r="AS27" s="46">
        <v>0</v>
      </c>
      <c r="AT27" s="46">
        <f t="shared" si="11"/>
        <v>0</v>
      </c>
      <c r="AU27" s="44">
        <v>0</v>
      </c>
      <c r="AV27" s="45">
        <v>0</v>
      </c>
      <c r="AW27" s="46">
        <v>0</v>
      </c>
      <c r="AX27" s="46">
        <f t="shared" si="12"/>
        <v>0</v>
      </c>
      <c r="AY27" s="44">
        <v>1</v>
      </c>
      <c r="AZ27" s="45">
        <v>1</v>
      </c>
      <c r="BA27" s="46">
        <v>1</v>
      </c>
      <c r="BB27" s="46">
        <f t="shared" si="13"/>
        <v>0</v>
      </c>
      <c r="BC27" s="44">
        <v>0</v>
      </c>
      <c r="BD27" s="45">
        <v>0</v>
      </c>
      <c r="BE27" s="46">
        <v>0</v>
      </c>
      <c r="BF27" s="46">
        <f t="shared" si="14"/>
        <v>0</v>
      </c>
      <c r="BG27" s="44">
        <v>0</v>
      </c>
      <c r="BH27" s="45">
        <v>0</v>
      </c>
      <c r="BI27" s="46">
        <v>0</v>
      </c>
      <c r="BJ27" s="46">
        <f t="shared" si="15"/>
        <v>0</v>
      </c>
      <c r="BK27" s="44">
        <v>0</v>
      </c>
      <c r="BL27" s="45">
        <v>0</v>
      </c>
      <c r="BM27" s="46">
        <v>0</v>
      </c>
      <c r="BN27" s="46">
        <f t="shared" si="16"/>
        <v>0</v>
      </c>
      <c r="BO27" s="44">
        <v>1</v>
      </c>
      <c r="BP27" s="45">
        <v>1</v>
      </c>
      <c r="BQ27" s="46">
        <v>0</v>
      </c>
      <c r="BR27" s="46">
        <f t="shared" si="17"/>
        <v>1</v>
      </c>
      <c r="BS27" s="44">
        <v>0</v>
      </c>
      <c r="BT27" s="45">
        <f t="shared" si="18"/>
        <v>13</v>
      </c>
      <c r="BU27" s="46">
        <f t="shared" si="19"/>
        <v>1</v>
      </c>
      <c r="BV27" s="46">
        <f t="shared" si="20"/>
        <v>2</v>
      </c>
      <c r="BW27" s="46">
        <f t="shared" si="21"/>
        <v>0.9285714285714286</v>
      </c>
      <c r="BX27" s="46">
        <f t="shared" si="22"/>
        <v>0.8666666666666667</v>
      </c>
      <c r="BY27" s="44">
        <f t="shared" si="23"/>
        <v>0.89655172413793105</v>
      </c>
    </row>
    <row r="28" spans="1:84" x14ac:dyDescent="0.35">
      <c r="A28" s="47" t="s">
        <v>48</v>
      </c>
      <c r="B28" s="148"/>
      <c r="C28" s="44" t="s">
        <v>71</v>
      </c>
      <c r="D28" s="45">
        <v>2</v>
      </c>
      <c r="E28" s="46">
        <v>2</v>
      </c>
      <c r="F28" s="46">
        <f t="shared" si="1"/>
        <v>0</v>
      </c>
      <c r="G28" s="44">
        <v>0</v>
      </c>
      <c r="H28" s="45">
        <v>2</v>
      </c>
      <c r="I28" s="46">
        <v>2</v>
      </c>
      <c r="J28" s="46">
        <f t="shared" si="2"/>
        <v>0</v>
      </c>
      <c r="K28" s="44">
        <v>0</v>
      </c>
      <c r="L28" s="45">
        <v>2</v>
      </c>
      <c r="M28" s="46">
        <v>2</v>
      </c>
      <c r="N28" s="46">
        <f t="shared" si="3"/>
        <v>0</v>
      </c>
      <c r="O28" s="44">
        <v>0</v>
      </c>
      <c r="P28" s="45">
        <v>2</v>
      </c>
      <c r="Q28" s="46">
        <v>2</v>
      </c>
      <c r="R28" s="46">
        <f t="shared" si="4"/>
        <v>0</v>
      </c>
      <c r="S28" s="44">
        <v>0</v>
      </c>
      <c r="T28" s="45">
        <v>2</v>
      </c>
      <c r="U28" s="46">
        <v>2</v>
      </c>
      <c r="V28" s="46">
        <f t="shared" si="5"/>
        <v>0</v>
      </c>
      <c r="W28" s="44">
        <v>0</v>
      </c>
      <c r="X28" s="45">
        <v>1</v>
      </c>
      <c r="Y28" s="46">
        <v>1</v>
      </c>
      <c r="Z28" s="46">
        <f t="shared" si="6"/>
        <v>0</v>
      </c>
      <c r="AA28" s="44">
        <v>0</v>
      </c>
      <c r="AB28" s="45">
        <v>0</v>
      </c>
      <c r="AC28" s="46">
        <v>0</v>
      </c>
      <c r="AD28" s="46">
        <f t="shared" si="7"/>
        <v>0</v>
      </c>
      <c r="AE28" s="44">
        <v>0</v>
      </c>
      <c r="AF28" s="45">
        <v>1</v>
      </c>
      <c r="AG28" s="46">
        <v>1</v>
      </c>
      <c r="AH28" s="46">
        <f t="shared" si="8"/>
        <v>0</v>
      </c>
      <c r="AI28" s="44">
        <v>0</v>
      </c>
      <c r="AJ28" s="45">
        <v>0</v>
      </c>
      <c r="AK28" s="46">
        <v>0</v>
      </c>
      <c r="AL28" s="46">
        <f t="shared" si="9"/>
        <v>0</v>
      </c>
      <c r="AM28" s="44">
        <v>0</v>
      </c>
      <c r="AN28" s="45">
        <v>0</v>
      </c>
      <c r="AO28" s="46">
        <v>0</v>
      </c>
      <c r="AP28" s="46">
        <f t="shared" si="10"/>
        <v>0</v>
      </c>
      <c r="AQ28" s="44">
        <v>0</v>
      </c>
      <c r="AR28" s="45">
        <v>0</v>
      </c>
      <c r="AS28" s="46">
        <v>0</v>
      </c>
      <c r="AT28" s="46">
        <f t="shared" si="11"/>
        <v>0</v>
      </c>
      <c r="AU28" s="44">
        <v>0</v>
      </c>
      <c r="AV28" s="45">
        <v>0</v>
      </c>
      <c r="AW28" s="46">
        <v>0</v>
      </c>
      <c r="AX28" s="46">
        <f t="shared" si="12"/>
        <v>0</v>
      </c>
      <c r="AY28" s="44">
        <v>1</v>
      </c>
      <c r="AZ28" s="45">
        <v>1</v>
      </c>
      <c r="BA28" s="46">
        <v>1</v>
      </c>
      <c r="BB28" s="46">
        <f t="shared" si="13"/>
        <v>0</v>
      </c>
      <c r="BC28" s="44">
        <v>0</v>
      </c>
      <c r="BD28" s="45">
        <v>0</v>
      </c>
      <c r="BE28" s="46">
        <v>0</v>
      </c>
      <c r="BF28" s="46">
        <f t="shared" si="14"/>
        <v>0</v>
      </c>
      <c r="BG28" s="44">
        <v>0</v>
      </c>
      <c r="BH28" s="45">
        <v>0</v>
      </c>
      <c r="BI28" s="46">
        <v>0</v>
      </c>
      <c r="BJ28" s="46">
        <f t="shared" si="15"/>
        <v>0</v>
      </c>
      <c r="BK28" s="44">
        <v>0</v>
      </c>
      <c r="BL28" s="45">
        <v>0</v>
      </c>
      <c r="BM28" s="46">
        <v>0</v>
      </c>
      <c r="BN28" s="46">
        <f t="shared" si="16"/>
        <v>0</v>
      </c>
      <c r="BO28" s="44">
        <v>1</v>
      </c>
      <c r="BP28" s="45">
        <v>1</v>
      </c>
      <c r="BQ28" s="46">
        <v>1</v>
      </c>
      <c r="BR28" s="46">
        <f t="shared" si="17"/>
        <v>0</v>
      </c>
      <c r="BS28" s="44">
        <v>0</v>
      </c>
      <c r="BT28" s="45">
        <f t="shared" si="18"/>
        <v>14</v>
      </c>
      <c r="BU28" s="46">
        <f t="shared" si="19"/>
        <v>0</v>
      </c>
      <c r="BV28" s="46">
        <f t="shared" si="20"/>
        <v>2</v>
      </c>
      <c r="BW28" s="46">
        <f t="shared" si="21"/>
        <v>1</v>
      </c>
      <c r="BX28" s="46">
        <f t="shared" si="22"/>
        <v>0.875</v>
      </c>
      <c r="BY28" s="44">
        <f t="shared" si="23"/>
        <v>0.93333333333333335</v>
      </c>
    </row>
    <row r="29" spans="1:84" x14ac:dyDescent="0.35">
      <c r="A29" s="61" t="s">
        <v>48</v>
      </c>
      <c r="B29" s="148"/>
      <c r="C29" s="126" t="s">
        <v>39</v>
      </c>
      <c r="D29" s="127">
        <v>2</v>
      </c>
      <c r="E29" s="128">
        <v>2</v>
      </c>
      <c r="F29" s="128">
        <f t="shared" si="1"/>
        <v>0</v>
      </c>
      <c r="G29" s="126">
        <v>0</v>
      </c>
      <c r="H29" s="127">
        <v>2</v>
      </c>
      <c r="I29" s="128">
        <v>0</v>
      </c>
      <c r="J29" s="128">
        <f t="shared" si="2"/>
        <v>2</v>
      </c>
      <c r="K29" s="126">
        <v>0</v>
      </c>
      <c r="L29" s="127">
        <v>2</v>
      </c>
      <c r="M29" s="128">
        <v>0</v>
      </c>
      <c r="N29" s="128">
        <f t="shared" si="3"/>
        <v>2</v>
      </c>
      <c r="O29" s="126">
        <v>0</v>
      </c>
      <c r="P29" s="127">
        <v>2</v>
      </c>
      <c r="Q29" s="128">
        <v>2</v>
      </c>
      <c r="R29" s="128">
        <f t="shared" si="4"/>
        <v>0</v>
      </c>
      <c r="S29" s="126">
        <v>0</v>
      </c>
      <c r="T29" s="127">
        <v>2</v>
      </c>
      <c r="U29" s="128">
        <v>2</v>
      </c>
      <c r="V29" s="128">
        <f t="shared" si="5"/>
        <v>0</v>
      </c>
      <c r="W29" s="126">
        <v>0</v>
      </c>
      <c r="X29" s="127">
        <v>4</v>
      </c>
      <c r="Y29" s="128">
        <v>4</v>
      </c>
      <c r="Z29" s="128">
        <f t="shared" si="6"/>
        <v>0</v>
      </c>
      <c r="AA29" s="126">
        <v>0</v>
      </c>
      <c r="AB29" s="127">
        <v>2</v>
      </c>
      <c r="AC29" s="128">
        <v>2</v>
      </c>
      <c r="AD29" s="128">
        <f t="shared" si="7"/>
        <v>0</v>
      </c>
      <c r="AE29" s="126">
        <v>0</v>
      </c>
      <c r="AF29" s="127">
        <v>4</v>
      </c>
      <c r="AG29" s="128">
        <v>4</v>
      </c>
      <c r="AH29" s="128">
        <f t="shared" si="8"/>
        <v>0</v>
      </c>
      <c r="AI29" s="126">
        <v>0</v>
      </c>
      <c r="AJ29" s="127">
        <v>0</v>
      </c>
      <c r="AK29" s="128">
        <v>0</v>
      </c>
      <c r="AL29" s="128">
        <f t="shared" si="9"/>
        <v>0</v>
      </c>
      <c r="AM29" s="126">
        <v>0</v>
      </c>
      <c r="AN29" s="127">
        <v>0</v>
      </c>
      <c r="AO29" s="128">
        <v>0</v>
      </c>
      <c r="AP29" s="128">
        <f t="shared" si="10"/>
        <v>0</v>
      </c>
      <c r="AQ29" s="126">
        <v>0</v>
      </c>
      <c r="AR29" s="127">
        <v>0</v>
      </c>
      <c r="AS29" s="128">
        <v>0</v>
      </c>
      <c r="AT29" s="128">
        <f t="shared" si="11"/>
        <v>0</v>
      </c>
      <c r="AU29" s="126">
        <v>0</v>
      </c>
      <c r="AV29" s="127">
        <v>0</v>
      </c>
      <c r="AW29" s="128">
        <v>0</v>
      </c>
      <c r="AX29" s="128">
        <f t="shared" si="12"/>
        <v>0</v>
      </c>
      <c r="AY29" s="126">
        <v>0</v>
      </c>
      <c r="AZ29" s="127">
        <v>1</v>
      </c>
      <c r="BA29" s="128">
        <v>1</v>
      </c>
      <c r="BB29" s="128">
        <f t="shared" si="13"/>
        <v>0</v>
      </c>
      <c r="BC29" s="126">
        <v>0</v>
      </c>
      <c r="BD29" s="127">
        <v>0</v>
      </c>
      <c r="BE29" s="128">
        <v>0</v>
      </c>
      <c r="BF29" s="128">
        <f t="shared" si="14"/>
        <v>0</v>
      </c>
      <c r="BG29" s="126">
        <v>0</v>
      </c>
      <c r="BH29" s="127">
        <v>0</v>
      </c>
      <c r="BI29" s="128">
        <v>0</v>
      </c>
      <c r="BJ29" s="128">
        <f t="shared" si="15"/>
        <v>0</v>
      </c>
      <c r="BK29" s="126">
        <v>0</v>
      </c>
      <c r="BL29" s="127">
        <v>0</v>
      </c>
      <c r="BM29" s="128">
        <v>0</v>
      </c>
      <c r="BN29" s="128">
        <f t="shared" si="16"/>
        <v>0</v>
      </c>
      <c r="BO29" s="126">
        <v>2</v>
      </c>
      <c r="BP29" s="127">
        <v>1</v>
      </c>
      <c r="BQ29" s="128">
        <v>1</v>
      </c>
      <c r="BR29" s="128">
        <f t="shared" si="17"/>
        <v>0</v>
      </c>
      <c r="BS29" s="126">
        <v>0</v>
      </c>
      <c r="BT29" s="127">
        <f t="shared" si="18"/>
        <v>18</v>
      </c>
      <c r="BU29" s="128">
        <f t="shared" si="19"/>
        <v>4</v>
      </c>
      <c r="BV29" s="128">
        <f t="shared" si="20"/>
        <v>2</v>
      </c>
      <c r="BW29" s="128">
        <f t="shared" si="21"/>
        <v>0.81818181818181823</v>
      </c>
      <c r="BX29" s="128">
        <f t="shared" si="22"/>
        <v>0.9</v>
      </c>
      <c r="BY29" s="126">
        <f t="shared" si="23"/>
        <v>0.85714285714285721</v>
      </c>
    </row>
    <row r="30" spans="1:84" x14ac:dyDescent="0.35">
      <c r="A30" s="128" t="s">
        <v>48</v>
      </c>
      <c r="B30" s="148"/>
      <c r="C30" s="104" t="s">
        <v>72</v>
      </c>
      <c r="D30" s="107">
        <v>2</v>
      </c>
      <c r="E30" s="61">
        <v>2</v>
      </c>
      <c r="F30" s="61">
        <f t="shared" si="1"/>
        <v>0</v>
      </c>
      <c r="G30" s="104">
        <v>0</v>
      </c>
      <c r="H30" s="107">
        <v>2</v>
      </c>
      <c r="I30" s="61">
        <v>0</v>
      </c>
      <c r="J30" s="61">
        <f t="shared" si="2"/>
        <v>2</v>
      </c>
      <c r="K30" s="104">
        <v>0</v>
      </c>
      <c r="L30" s="107">
        <v>2</v>
      </c>
      <c r="M30" s="61">
        <v>0</v>
      </c>
      <c r="N30" s="61">
        <f t="shared" si="3"/>
        <v>2</v>
      </c>
      <c r="O30" s="104">
        <v>0</v>
      </c>
      <c r="P30" s="107">
        <v>2</v>
      </c>
      <c r="Q30" s="61">
        <v>2</v>
      </c>
      <c r="R30" s="61">
        <f t="shared" si="4"/>
        <v>0</v>
      </c>
      <c r="S30" s="104">
        <v>0</v>
      </c>
      <c r="T30" s="107">
        <v>2</v>
      </c>
      <c r="U30" s="61">
        <v>2</v>
      </c>
      <c r="V30" s="61">
        <f t="shared" si="5"/>
        <v>0</v>
      </c>
      <c r="W30" s="104">
        <v>0</v>
      </c>
      <c r="X30" s="107">
        <v>4</v>
      </c>
      <c r="Y30" s="61">
        <v>4</v>
      </c>
      <c r="Z30" s="61">
        <f t="shared" si="6"/>
        <v>0</v>
      </c>
      <c r="AA30" s="104">
        <v>0</v>
      </c>
      <c r="AB30" s="107">
        <v>2</v>
      </c>
      <c r="AC30" s="61">
        <v>2</v>
      </c>
      <c r="AD30" s="61">
        <v>0</v>
      </c>
      <c r="AE30" s="104">
        <v>0</v>
      </c>
      <c r="AF30" s="107">
        <v>4</v>
      </c>
      <c r="AG30" s="61">
        <v>4</v>
      </c>
      <c r="AH30" s="61">
        <f t="shared" si="8"/>
        <v>0</v>
      </c>
      <c r="AI30" s="104">
        <v>0</v>
      </c>
      <c r="AJ30" s="107">
        <v>0</v>
      </c>
      <c r="AK30" s="61">
        <v>0</v>
      </c>
      <c r="AL30" s="61">
        <f t="shared" si="9"/>
        <v>0</v>
      </c>
      <c r="AM30" s="104">
        <v>0</v>
      </c>
      <c r="AN30" s="107">
        <v>0</v>
      </c>
      <c r="AO30" s="61">
        <v>0</v>
      </c>
      <c r="AP30" s="61">
        <f t="shared" si="10"/>
        <v>0</v>
      </c>
      <c r="AQ30" s="104">
        <v>0</v>
      </c>
      <c r="AR30" s="107">
        <v>0</v>
      </c>
      <c r="AS30" s="61">
        <v>0</v>
      </c>
      <c r="AT30" s="61">
        <f t="shared" si="11"/>
        <v>0</v>
      </c>
      <c r="AU30" s="104">
        <v>0</v>
      </c>
      <c r="AV30" s="107">
        <v>0</v>
      </c>
      <c r="AW30" s="61">
        <v>0</v>
      </c>
      <c r="AX30" s="61">
        <f t="shared" si="12"/>
        <v>0</v>
      </c>
      <c r="AY30" s="104">
        <v>1</v>
      </c>
      <c r="AZ30" s="107">
        <v>1</v>
      </c>
      <c r="BA30" s="61">
        <v>1</v>
      </c>
      <c r="BB30" s="61">
        <f t="shared" si="13"/>
        <v>0</v>
      </c>
      <c r="BC30" s="104">
        <v>0</v>
      </c>
      <c r="BD30" s="107">
        <v>0</v>
      </c>
      <c r="BE30" s="61">
        <v>0</v>
      </c>
      <c r="BF30" s="61">
        <f t="shared" si="14"/>
        <v>0</v>
      </c>
      <c r="BG30" s="104">
        <v>0</v>
      </c>
      <c r="BH30" s="107">
        <v>0</v>
      </c>
      <c r="BI30" s="61">
        <v>0</v>
      </c>
      <c r="BJ30" s="61">
        <f t="shared" si="15"/>
        <v>0</v>
      </c>
      <c r="BK30" s="104">
        <v>0</v>
      </c>
      <c r="BL30" s="107">
        <v>0</v>
      </c>
      <c r="BM30" s="61">
        <v>0</v>
      </c>
      <c r="BN30" s="61">
        <f t="shared" si="16"/>
        <v>0</v>
      </c>
      <c r="BO30" s="104">
        <v>1</v>
      </c>
      <c r="BP30" s="107">
        <v>1</v>
      </c>
      <c r="BQ30" s="61">
        <v>1</v>
      </c>
      <c r="BR30" s="61">
        <f t="shared" si="17"/>
        <v>0</v>
      </c>
      <c r="BS30" s="104">
        <v>0</v>
      </c>
      <c r="BT30" s="107">
        <f t="shared" si="18"/>
        <v>18</v>
      </c>
      <c r="BU30" s="61">
        <f t="shared" si="19"/>
        <v>4</v>
      </c>
      <c r="BV30" s="61">
        <f t="shared" si="20"/>
        <v>2</v>
      </c>
      <c r="BW30" s="61">
        <f t="shared" si="21"/>
        <v>0.81818181818181823</v>
      </c>
      <c r="BX30" s="61">
        <f t="shared" si="22"/>
        <v>0.9</v>
      </c>
      <c r="BY30" s="104">
        <f t="shared" si="23"/>
        <v>0.85714285714285721</v>
      </c>
    </row>
    <row r="31" spans="1:84" x14ac:dyDescent="0.35">
      <c r="A31" s="108" t="s">
        <v>48</v>
      </c>
      <c r="B31" s="148"/>
      <c r="C31" s="112" t="s">
        <v>42</v>
      </c>
      <c r="D31" s="114">
        <v>2</v>
      </c>
      <c r="E31" s="108">
        <v>2</v>
      </c>
      <c r="F31" s="108">
        <f t="shared" si="1"/>
        <v>0</v>
      </c>
      <c r="G31" s="112">
        <v>0</v>
      </c>
      <c r="H31" s="114">
        <v>1</v>
      </c>
      <c r="I31" s="108">
        <v>1</v>
      </c>
      <c r="J31" s="108">
        <f t="shared" si="2"/>
        <v>0</v>
      </c>
      <c r="K31" s="112">
        <v>0</v>
      </c>
      <c r="L31" s="114">
        <v>1</v>
      </c>
      <c r="M31" s="108">
        <v>1</v>
      </c>
      <c r="N31" s="108">
        <f t="shared" si="3"/>
        <v>0</v>
      </c>
      <c r="O31" s="112">
        <v>0</v>
      </c>
      <c r="P31" s="114">
        <v>1</v>
      </c>
      <c r="Q31" s="108">
        <v>1</v>
      </c>
      <c r="R31" s="108">
        <f t="shared" si="4"/>
        <v>0</v>
      </c>
      <c r="S31" s="112">
        <v>0</v>
      </c>
      <c r="T31" s="114">
        <v>1</v>
      </c>
      <c r="U31" s="108">
        <v>1</v>
      </c>
      <c r="V31" s="108">
        <f t="shared" si="5"/>
        <v>0</v>
      </c>
      <c r="W31" s="112">
        <v>0</v>
      </c>
      <c r="X31" s="114">
        <v>2</v>
      </c>
      <c r="Y31" s="108">
        <v>2</v>
      </c>
      <c r="Z31" s="108">
        <f t="shared" si="6"/>
        <v>0</v>
      </c>
      <c r="AA31" s="112">
        <v>0</v>
      </c>
      <c r="AB31" s="114">
        <v>0</v>
      </c>
      <c r="AC31" s="108">
        <v>0</v>
      </c>
      <c r="AD31" s="108">
        <v>0</v>
      </c>
      <c r="AE31" s="112">
        <v>0</v>
      </c>
      <c r="AF31" s="114">
        <v>2</v>
      </c>
      <c r="AG31" s="108">
        <v>2</v>
      </c>
      <c r="AH31" s="108">
        <f t="shared" si="8"/>
        <v>0</v>
      </c>
      <c r="AI31" s="112">
        <v>0</v>
      </c>
      <c r="AJ31" s="114">
        <v>0</v>
      </c>
      <c r="AK31" s="108">
        <v>0</v>
      </c>
      <c r="AL31" s="108">
        <f t="shared" si="9"/>
        <v>0</v>
      </c>
      <c r="AM31" s="112">
        <v>0</v>
      </c>
      <c r="AN31" s="114">
        <v>0</v>
      </c>
      <c r="AO31" s="108">
        <v>0</v>
      </c>
      <c r="AP31" s="108">
        <f t="shared" si="10"/>
        <v>0</v>
      </c>
      <c r="AQ31" s="112">
        <v>0</v>
      </c>
      <c r="AR31" s="114">
        <v>0</v>
      </c>
      <c r="AS31" s="108">
        <v>0</v>
      </c>
      <c r="AT31" s="108">
        <f t="shared" si="11"/>
        <v>0</v>
      </c>
      <c r="AU31" s="112">
        <v>1</v>
      </c>
      <c r="AV31" s="114">
        <v>0</v>
      </c>
      <c r="AW31" s="108">
        <v>0</v>
      </c>
      <c r="AX31" s="108">
        <f t="shared" si="12"/>
        <v>0</v>
      </c>
      <c r="AY31" s="112">
        <v>0</v>
      </c>
      <c r="AZ31" s="114">
        <v>1</v>
      </c>
      <c r="BA31" s="108">
        <v>1</v>
      </c>
      <c r="BB31" s="108">
        <f t="shared" si="13"/>
        <v>0</v>
      </c>
      <c r="BC31" s="112">
        <v>0</v>
      </c>
      <c r="BD31" s="114">
        <v>0</v>
      </c>
      <c r="BE31" s="108">
        <v>0</v>
      </c>
      <c r="BF31" s="108">
        <f t="shared" si="14"/>
        <v>0</v>
      </c>
      <c r="BG31" s="112">
        <v>0</v>
      </c>
      <c r="BH31" s="114">
        <v>0</v>
      </c>
      <c r="BI31" s="108">
        <v>0</v>
      </c>
      <c r="BJ31" s="108">
        <f t="shared" si="15"/>
        <v>0</v>
      </c>
      <c r="BK31" s="112">
        <v>0</v>
      </c>
      <c r="BL31" s="114">
        <v>0</v>
      </c>
      <c r="BM31" s="108">
        <v>0</v>
      </c>
      <c r="BN31" s="108">
        <f t="shared" si="16"/>
        <v>0</v>
      </c>
      <c r="BO31" s="112">
        <v>0</v>
      </c>
      <c r="BP31" s="114">
        <v>1</v>
      </c>
      <c r="BQ31" s="108">
        <v>1</v>
      </c>
      <c r="BR31" s="108">
        <f t="shared" si="17"/>
        <v>0</v>
      </c>
      <c r="BS31" s="112">
        <v>0</v>
      </c>
      <c r="BT31" s="114">
        <f t="shared" si="18"/>
        <v>12</v>
      </c>
      <c r="BU31" s="108">
        <f t="shared" si="19"/>
        <v>0</v>
      </c>
      <c r="BV31" s="108">
        <f t="shared" si="20"/>
        <v>1</v>
      </c>
      <c r="BW31" s="108">
        <f t="shared" si="21"/>
        <v>1</v>
      </c>
      <c r="BX31" s="108">
        <f t="shared" si="22"/>
        <v>0.92307692307692313</v>
      </c>
      <c r="BY31" s="112">
        <f t="shared" si="23"/>
        <v>0.96000000000000008</v>
      </c>
    </row>
    <row r="32" spans="1:84" x14ac:dyDescent="0.35">
      <c r="A32" s="108" t="s">
        <v>48</v>
      </c>
      <c r="B32" s="148"/>
      <c r="C32" s="112" t="s">
        <v>73</v>
      </c>
      <c r="D32" s="114">
        <v>2</v>
      </c>
      <c r="E32" s="108">
        <v>2</v>
      </c>
      <c r="F32" s="108">
        <f t="shared" si="1"/>
        <v>0</v>
      </c>
      <c r="G32" s="112">
        <v>0</v>
      </c>
      <c r="H32" s="114">
        <v>1</v>
      </c>
      <c r="I32" s="108">
        <v>1</v>
      </c>
      <c r="J32" s="108">
        <f t="shared" si="2"/>
        <v>0</v>
      </c>
      <c r="K32" s="112">
        <v>0</v>
      </c>
      <c r="L32" s="114">
        <v>1</v>
      </c>
      <c r="M32" s="108">
        <v>1</v>
      </c>
      <c r="N32" s="108">
        <f t="shared" si="3"/>
        <v>0</v>
      </c>
      <c r="O32" s="112">
        <v>0</v>
      </c>
      <c r="P32" s="114">
        <v>1</v>
      </c>
      <c r="Q32" s="108">
        <v>1</v>
      </c>
      <c r="R32" s="108">
        <f t="shared" si="4"/>
        <v>0</v>
      </c>
      <c r="S32" s="112">
        <v>0</v>
      </c>
      <c r="T32" s="114">
        <v>1</v>
      </c>
      <c r="U32" s="108">
        <v>1</v>
      </c>
      <c r="V32" s="108">
        <f t="shared" si="5"/>
        <v>0</v>
      </c>
      <c r="W32" s="112">
        <v>0</v>
      </c>
      <c r="X32" s="114">
        <v>2</v>
      </c>
      <c r="Y32" s="108">
        <v>2</v>
      </c>
      <c r="Z32" s="108">
        <f t="shared" si="6"/>
        <v>0</v>
      </c>
      <c r="AA32" s="112">
        <v>0</v>
      </c>
      <c r="AB32" s="114">
        <v>0</v>
      </c>
      <c r="AC32" s="108">
        <v>0</v>
      </c>
      <c r="AD32" s="108">
        <v>0</v>
      </c>
      <c r="AE32" s="112">
        <v>0</v>
      </c>
      <c r="AF32" s="114">
        <v>2</v>
      </c>
      <c r="AG32" s="108">
        <v>2</v>
      </c>
      <c r="AH32" s="108">
        <f t="shared" si="8"/>
        <v>0</v>
      </c>
      <c r="AI32" s="112">
        <v>0</v>
      </c>
      <c r="AJ32" s="114">
        <v>0</v>
      </c>
      <c r="AK32" s="108">
        <v>0</v>
      </c>
      <c r="AL32" s="108">
        <f t="shared" si="9"/>
        <v>0</v>
      </c>
      <c r="AM32" s="112">
        <v>0</v>
      </c>
      <c r="AN32" s="114">
        <v>0</v>
      </c>
      <c r="AO32" s="108">
        <v>0</v>
      </c>
      <c r="AP32" s="108">
        <f t="shared" si="10"/>
        <v>0</v>
      </c>
      <c r="AQ32" s="112">
        <v>0</v>
      </c>
      <c r="AR32" s="114">
        <v>0</v>
      </c>
      <c r="AS32" s="108">
        <v>0</v>
      </c>
      <c r="AT32" s="108">
        <f t="shared" si="11"/>
        <v>0</v>
      </c>
      <c r="AU32" s="112">
        <v>1</v>
      </c>
      <c r="AV32" s="114">
        <v>0</v>
      </c>
      <c r="AW32" s="108">
        <v>0</v>
      </c>
      <c r="AX32" s="108">
        <f t="shared" si="12"/>
        <v>0</v>
      </c>
      <c r="AY32" s="112">
        <v>0</v>
      </c>
      <c r="AZ32" s="114">
        <v>1</v>
      </c>
      <c r="BA32" s="108">
        <v>1</v>
      </c>
      <c r="BB32" s="108">
        <f t="shared" si="13"/>
        <v>0</v>
      </c>
      <c r="BC32" s="112">
        <v>0</v>
      </c>
      <c r="BD32" s="114">
        <v>0</v>
      </c>
      <c r="BE32" s="108">
        <v>0</v>
      </c>
      <c r="BF32" s="108">
        <f t="shared" si="14"/>
        <v>0</v>
      </c>
      <c r="BG32" s="112">
        <v>0</v>
      </c>
      <c r="BH32" s="114">
        <v>0</v>
      </c>
      <c r="BI32" s="108">
        <v>0</v>
      </c>
      <c r="BJ32" s="108">
        <f t="shared" si="15"/>
        <v>0</v>
      </c>
      <c r="BK32" s="112">
        <v>0</v>
      </c>
      <c r="BL32" s="114">
        <v>0</v>
      </c>
      <c r="BM32" s="108">
        <v>0</v>
      </c>
      <c r="BN32" s="108">
        <f t="shared" si="16"/>
        <v>0</v>
      </c>
      <c r="BO32" s="112">
        <v>1</v>
      </c>
      <c r="BP32" s="114">
        <v>1</v>
      </c>
      <c r="BQ32" s="108">
        <v>0</v>
      </c>
      <c r="BR32" s="108">
        <f t="shared" si="17"/>
        <v>1</v>
      </c>
      <c r="BS32" s="112">
        <v>0</v>
      </c>
      <c r="BT32" s="114">
        <f t="shared" si="18"/>
        <v>11</v>
      </c>
      <c r="BU32" s="108">
        <f t="shared" si="19"/>
        <v>1</v>
      </c>
      <c r="BV32" s="108">
        <f t="shared" si="20"/>
        <v>2</v>
      </c>
      <c r="BW32" s="108">
        <f t="shared" si="21"/>
        <v>0.91666666666666663</v>
      </c>
      <c r="BX32" s="108">
        <f t="shared" si="22"/>
        <v>0.84615384615384615</v>
      </c>
      <c r="BY32" s="112">
        <f t="shared" si="23"/>
        <v>0.87999999999999989</v>
      </c>
    </row>
    <row r="33" spans="1:77" x14ac:dyDescent="0.35">
      <c r="A33" s="109" t="s">
        <v>48</v>
      </c>
      <c r="B33" s="148"/>
      <c r="C33" s="113" t="s">
        <v>43</v>
      </c>
      <c r="D33" s="115">
        <v>1</v>
      </c>
      <c r="E33" s="109">
        <v>1</v>
      </c>
      <c r="F33" s="109">
        <f t="shared" si="1"/>
        <v>0</v>
      </c>
      <c r="G33" s="113">
        <v>0</v>
      </c>
      <c r="H33" s="115">
        <v>1</v>
      </c>
      <c r="I33" s="109">
        <v>1</v>
      </c>
      <c r="J33" s="109">
        <f t="shared" si="2"/>
        <v>0</v>
      </c>
      <c r="K33" s="113">
        <v>0</v>
      </c>
      <c r="L33" s="115">
        <v>0</v>
      </c>
      <c r="M33" s="109">
        <v>0</v>
      </c>
      <c r="N33" s="109">
        <f t="shared" si="3"/>
        <v>0</v>
      </c>
      <c r="O33" s="113">
        <v>0</v>
      </c>
      <c r="P33" s="115">
        <v>5</v>
      </c>
      <c r="Q33" s="109">
        <v>5</v>
      </c>
      <c r="R33" s="109">
        <f t="shared" si="4"/>
        <v>0</v>
      </c>
      <c r="S33" s="113">
        <v>0</v>
      </c>
      <c r="T33" s="115">
        <v>5</v>
      </c>
      <c r="U33" s="109">
        <v>3</v>
      </c>
      <c r="V33" s="109">
        <f t="shared" si="5"/>
        <v>2</v>
      </c>
      <c r="W33" s="113">
        <v>2</v>
      </c>
      <c r="X33" s="115">
        <v>0</v>
      </c>
      <c r="Y33" s="109">
        <v>0</v>
      </c>
      <c r="Z33" s="109">
        <f t="shared" si="6"/>
        <v>0</v>
      </c>
      <c r="AA33" s="113">
        <v>0</v>
      </c>
      <c r="AB33" s="115">
        <v>0</v>
      </c>
      <c r="AC33" s="109">
        <v>0</v>
      </c>
      <c r="AD33" s="109">
        <v>0</v>
      </c>
      <c r="AE33" s="113">
        <v>0</v>
      </c>
      <c r="AF33" s="115">
        <v>0</v>
      </c>
      <c r="AG33" s="109">
        <v>0</v>
      </c>
      <c r="AH33" s="109">
        <f t="shared" si="8"/>
        <v>0</v>
      </c>
      <c r="AI33" s="113">
        <v>0</v>
      </c>
      <c r="AJ33" s="115">
        <v>0</v>
      </c>
      <c r="AK33" s="109">
        <v>0</v>
      </c>
      <c r="AL33" s="109">
        <f t="shared" si="9"/>
        <v>0</v>
      </c>
      <c r="AM33" s="113">
        <v>0</v>
      </c>
      <c r="AN33" s="115">
        <v>0</v>
      </c>
      <c r="AO33" s="109">
        <v>0</v>
      </c>
      <c r="AP33" s="109">
        <f t="shared" si="10"/>
        <v>0</v>
      </c>
      <c r="AQ33" s="113">
        <v>0</v>
      </c>
      <c r="AR33" s="115">
        <v>0</v>
      </c>
      <c r="AS33" s="109">
        <v>0</v>
      </c>
      <c r="AT33" s="109">
        <f t="shared" si="11"/>
        <v>0</v>
      </c>
      <c r="AU33" s="113">
        <v>0</v>
      </c>
      <c r="AV33" s="115">
        <v>0</v>
      </c>
      <c r="AW33" s="109">
        <v>0</v>
      </c>
      <c r="AX33" s="109">
        <f t="shared" si="12"/>
        <v>0</v>
      </c>
      <c r="AY33" s="113">
        <v>0</v>
      </c>
      <c r="AZ33" s="115">
        <v>0</v>
      </c>
      <c r="BA33" s="109">
        <v>0</v>
      </c>
      <c r="BB33" s="109">
        <f t="shared" si="13"/>
        <v>0</v>
      </c>
      <c r="BC33" s="113">
        <v>0</v>
      </c>
      <c r="BD33" s="115">
        <v>0</v>
      </c>
      <c r="BE33" s="109">
        <v>0</v>
      </c>
      <c r="BF33" s="109">
        <f t="shared" si="14"/>
        <v>0</v>
      </c>
      <c r="BG33" s="113">
        <v>0</v>
      </c>
      <c r="BH33" s="115">
        <v>0</v>
      </c>
      <c r="BI33" s="109">
        <v>0</v>
      </c>
      <c r="BJ33" s="109">
        <f t="shared" si="15"/>
        <v>0</v>
      </c>
      <c r="BK33" s="113">
        <v>0</v>
      </c>
      <c r="BL33" s="115">
        <v>0</v>
      </c>
      <c r="BM33" s="109">
        <v>0</v>
      </c>
      <c r="BN33" s="109">
        <f t="shared" si="16"/>
        <v>0</v>
      </c>
      <c r="BO33" s="113">
        <v>0</v>
      </c>
      <c r="BP33" s="115">
        <v>0</v>
      </c>
      <c r="BQ33" s="109">
        <v>0</v>
      </c>
      <c r="BR33" s="109">
        <f t="shared" si="17"/>
        <v>0</v>
      </c>
      <c r="BS33" s="113">
        <v>0</v>
      </c>
      <c r="BT33" s="115">
        <f t="shared" si="18"/>
        <v>10</v>
      </c>
      <c r="BU33" s="109">
        <f t="shared" si="19"/>
        <v>2</v>
      </c>
      <c r="BV33" s="109">
        <f t="shared" si="20"/>
        <v>2</v>
      </c>
      <c r="BW33" s="109">
        <f t="shared" si="21"/>
        <v>0.83333333333333337</v>
      </c>
      <c r="BX33" s="109">
        <f t="shared" si="22"/>
        <v>0.83333333333333337</v>
      </c>
      <c r="BY33" s="113">
        <f t="shared" si="23"/>
        <v>0.83333333333333337</v>
      </c>
    </row>
    <row r="34" spans="1:77" ht="15" thickBot="1" x14ac:dyDescent="0.4">
      <c r="A34" s="109" t="s">
        <v>48</v>
      </c>
      <c r="B34" s="148"/>
      <c r="C34" s="113" t="s">
        <v>74</v>
      </c>
      <c r="D34" s="130">
        <v>1</v>
      </c>
      <c r="E34" s="131">
        <v>1</v>
      </c>
      <c r="F34" s="131">
        <f t="shared" si="1"/>
        <v>0</v>
      </c>
      <c r="G34" s="129">
        <v>0</v>
      </c>
      <c r="H34" s="130">
        <v>1</v>
      </c>
      <c r="I34" s="131">
        <v>1</v>
      </c>
      <c r="J34" s="131">
        <f t="shared" si="2"/>
        <v>0</v>
      </c>
      <c r="K34" s="129">
        <v>0</v>
      </c>
      <c r="L34" s="130">
        <v>0</v>
      </c>
      <c r="M34" s="131">
        <v>0</v>
      </c>
      <c r="N34" s="131">
        <f t="shared" si="3"/>
        <v>0</v>
      </c>
      <c r="O34" s="129">
        <v>0</v>
      </c>
      <c r="P34" s="130">
        <v>5</v>
      </c>
      <c r="Q34" s="131">
        <v>5</v>
      </c>
      <c r="R34" s="131">
        <f t="shared" si="4"/>
        <v>0</v>
      </c>
      <c r="S34" s="129">
        <v>0</v>
      </c>
      <c r="T34" s="130">
        <v>5</v>
      </c>
      <c r="U34" s="131">
        <v>3</v>
      </c>
      <c r="V34" s="131">
        <f t="shared" si="5"/>
        <v>2</v>
      </c>
      <c r="W34" s="129">
        <v>2</v>
      </c>
      <c r="X34" s="130">
        <v>0</v>
      </c>
      <c r="Y34" s="131">
        <v>0</v>
      </c>
      <c r="Z34" s="131">
        <f t="shared" si="6"/>
        <v>0</v>
      </c>
      <c r="AA34" s="129">
        <v>0</v>
      </c>
      <c r="AB34" s="130">
        <v>0</v>
      </c>
      <c r="AC34" s="131">
        <v>0</v>
      </c>
      <c r="AD34" s="131">
        <v>0</v>
      </c>
      <c r="AE34" s="129">
        <v>0</v>
      </c>
      <c r="AF34" s="130">
        <v>0</v>
      </c>
      <c r="AG34" s="131">
        <v>0</v>
      </c>
      <c r="AH34" s="131">
        <f t="shared" si="8"/>
        <v>0</v>
      </c>
      <c r="AI34" s="129">
        <v>0</v>
      </c>
      <c r="AJ34" s="130">
        <v>0</v>
      </c>
      <c r="AK34" s="131">
        <v>0</v>
      </c>
      <c r="AL34" s="131">
        <f t="shared" si="9"/>
        <v>0</v>
      </c>
      <c r="AM34" s="129">
        <v>0</v>
      </c>
      <c r="AN34" s="130">
        <v>0</v>
      </c>
      <c r="AO34" s="131">
        <v>0</v>
      </c>
      <c r="AP34" s="131">
        <f t="shared" si="10"/>
        <v>0</v>
      </c>
      <c r="AQ34" s="129">
        <v>0</v>
      </c>
      <c r="AR34" s="130">
        <v>0</v>
      </c>
      <c r="AS34" s="131">
        <v>0</v>
      </c>
      <c r="AT34" s="131">
        <f t="shared" si="11"/>
        <v>0</v>
      </c>
      <c r="AU34" s="129">
        <v>0</v>
      </c>
      <c r="AV34" s="130">
        <v>0</v>
      </c>
      <c r="AW34" s="131">
        <v>0</v>
      </c>
      <c r="AX34" s="131">
        <f t="shared" si="12"/>
        <v>0</v>
      </c>
      <c r="AY34" s="129">
        <v>0</v>
      </c>
      <c r="AZ34" s="130">
        <v>0</v>
      </c>
      <c r="BA34" s="131">
        <v>0</v>
      </c>
      <c r="BB34" s="131">
        <f t="shared" si="13"/>
        <v>0</v>
      </c>
      <c r="BC34" s="129">
        <v>0</v>
      </c>
      <c r="BD34" s="130">
        <v>0</v>
      </c>
      <c r="BE34" s="131">
        <v>0</v>
      </c>
      <c r="BF34" s="131">
        <f t="shared" si="14"/>
        <v>0</v>
      </c>
      <c r="BG34" s="129">
        <v>0</v>
      </c>
      <c r="BH34" s="132">
        <v>0</v>
      </c>
      <c r="BI34" s="131">
        <v>0</v>
      </c>
      <c r="BJ34" s="131">
        <f t="shared" si="15"/>
        <v>0</v>
      </c>
      <c r="BK34" s="129">
        <v>0</v>
      </c>
      <c r="BL34" s="130">
        <v>0</v>
      </c>
      <c r="BM34" s="131">
        <v>0</v>
      </c>
      <c r="BN34" s="131">
        <f t="shared" si="16"/>
        <v>0</v>
      </c>
      <c r="BO34" s="129">
        <v>0</v>
      </c>
      <c r="BP34" s="130">
        <v>0</v>
      </c>
      <c r="BQ34" s="131">
        <v>0</v>
      </c>
      <c r="BR34" s="131">
        <f t="shared" si="17"/>
        <v>0</v>
      </c>
      <c r="BS34" s="129">
        <v>0</v>
      </c>
      <c r="BT34" s="130">
        <f t="shared" si="18"/>
        <v>10</v>
      </c>
      <c r="BU34" s="131">
        <f t="shared" si="19"/>
        <v>2</v>
      </c>
      <c r="BV34" s="131">
        <f t="shared" si="20"/>
        <v>2</v>
      </c>
      <c r="BW34" s="131">
        <f t="shared" si="21"/>
        <v>0.83333333333333337</v>
      </c>
      <c r="BX34" s="131">
        <f t="shared" si="22"/>
        <v>0.83333333333333337</v>
      </c>
      <c r="BY34" s="129">
        <f t="shared" si="23"/>
        <v>0.83333333333333337</v>
      </c>
    </row>
    <row r="35" spans="1:77" ht="15" thickTop="1" x14ac:dyDescent="0.35">
      <c r="C35" s="5" t="s">
        <v>111</v>
      </c>
      <c r="D35" s="48">
        <f>SUM(D3:D34)</f>
        <v>68</v>
      </c>
      <c r="E35" s="48">
        <f t="shared" ref="E35:BP35" si="40">SUM(E3:E34)</f>
        <v>68</v>
      </c>
      <c r="F35" s="48">
        <f t="shared" si="40"/>
        <v>0</v>
      </c>
      <c r="G35" s="48">
        <f t="shared" si="40"/>
        <v>1</v>
      </c>
      <c r="H35" s="48">
        <f t="shared" si="40"/>
        <v>46</v>
      </c>
      <c r="I35" s="48">
        <f t="shared" si="40"/>
        <v>38</v>
      </c>
      <c r="J35" s="48">
        <f t="shared" si="40"/>
        <v>8</v>
      </c>
      <c r="K35" s="48">
        <f t="shared" si="40"/>
        <v>0</v>
      </c>
      <c r="L35" s="48">
        <f t="shared" si="40"/>
        <v>38</v>
      </c>
      <c r="M35" s="48">
        <f t="shared" si="40"/>
        <v>30</v>
      </c>
      <c r="N35" s="48">
        <f t="shared" si="40"/>
        <v>8</v>
      </c>
      <c r="O35" s="48">
        <f t="shared" si="40"/>
        <v>0</v>
      </c>
      <c r="P35" s="48">
        <f t="shared" si="40"/>
        <v>48</v>
      </c>
      <c r="Q35" s="48">
        <f t="shared" si="40"/>
        <v>48</v>
      </c>
      <c r="R35" s="48">
        <f t="shared" si="40"/>
        <v>0</v>
      </c>
      <c r="S35" s="48">
        <f t="shared" si="40"/>
        <v>13</v>
      </c>
      <c r="T35" s="48">
        <f t="shared" si="40"/>
        <v>48</v>
      </c>
      <c r="U35" s="48">
        <f t="shared" si="40"/>
        <v>40</v>
      </c>
      <c r="V35" s="48">
        <f t="shared" si="40"/>
        <v>8</v>
      </c>
      <c r="W35" s="48">
        <f t="shared" si="40"/>
        <v>9</v>
      </c>
      <c r="X35" s="48">
        <f t="shared" si="40"/>
        <v>72</v>
      </c>
      <c r="Y35" s="48">
        <f t="shared" si="40"/>
        <v>71</v>
      </c>
      <c r="Z35" s="48">
        <f t="shared" si="40"/>
        <v>1</v>
      </c>
      <c r="AA35" s="48">
        <f t="shared" si="40"/>
        <v>0</v>
      </c>
      <c r="AB35" s="48">
        <f t="shared" si="40"/>
        <v>20</v>
      </c>
      <c r="AC35" s="48">
        <f>SUM(AC3:AC34)</f>
        <v>20</v>
      </c>
      <c r="AD35" s="48">
        <f t="shared" si="40"/>
        <v>0</v>
      </c>
      <c r="AE35" s="48">
        <f t="shared" si="40"/>
        <v>0</v>
      </c>
      <c r="AF35" s="48">
        <f t="shared" si="40"/>
        <v>72</v>
      </c>
      <c r="AG35" s="48">
        <f t="shared" si="40"/>
        <v>68</v>
      </c>
      <c r="AH35" s="48">
        <f t="shared" si="40"/>
        <v>4</v>
      </c>
      <c r="AI35" s="48">
        <f t="shared" si="40"/>
        <v>5</v>
      </c>
      <c r="AJ35" s="48">
        <f t="shared" si="40"/>
        <v>16</v>
      </c>
      <c r="AK35" s="48">
        <f t="shared" si="40"/>
        <v>16</v>
      </c>
      <c r="AL35" s="48">
        <f t="shared" si="40"/>
        <v>0</v>
      </c>
      <c r="AM35" s="48">
        <f t="shared" si="40"/>
        <v>2</v>
      </c>
      <c r="AN35" s="48">
        <f t="shared" si="40"/>
        <v>2</v>
      </c>
      <c r="AO35" s="48">
        <f t="shared" si="40"/>
        <v>0</v>
      </c>
      <c r="AP35" s="48">
        <f t="shared" si="40"/>
        <v>2</v>
      </c>
      <c r="AQ35" s="48">
        <f t="shared" si="40"/>
        <v>5</v>
      </c>
      <c r="AR35" s="48">
        <f t="shared" si="40"/>
        <v>4</v>
      </c>
      <c r="AS35" s="48">
        <f t="shared" si="40"/>
        <v>1</v>
      </c>
      <c r="AT35" s="48">
        <f t="shared" si="40"/>
        <v>3</v>
      </c>
      <c r="AU35" s="48">
        <f t="shared" si="40"/>
        <v>7</v>
      </c>
      <c r="AV35" s="48">
        <f t="shared" si="40"/>
        <v>8</v>
      </c>
      <c r="AW35" s="48">
        <f t="shared" si="40"/>
        <v>2</v>
      </c>
      <c r="AX35" s="48">
        <f t="shared" si="40"/>
        <v>6</v>
      </c>
      <c r="AY35" s="48">
        <f t="shared" si="40"/>
        <v>12</v>
      </c>
      <c r="AZ35" s="48">
        <f t="shared" si="40"/>
        <v>36</v>
      </c>
      <c r="BA35" s="48">
        <f t="shared" si="40"/>
        <v>27</v>
      </c>
      <c r="BB35" s="48">
        <f t="shared" si="40"/>
        <v>9</v>
      </c>
      <c r="BC35" s="48">
        <f t="shared" si="40"/>
        <v>16</v>
      </c>
      <c r="BD35" s="48">
        <f t="shared" si="40"/>
        <v>8</v>
      </c>
      <c r="BE35" s="48">
        <f t="shared" si="40"/>
        <v>2</v>
      </c>
      <c r="BF35" s="48">
        <f t="shared" si="40"/>
        <v>6</v>
      </c>
      <c r="BG35" s="48">
        <f t="shared" si="40"/>
        <v>2</v>
      </c>
      <c r="BH35" s="48">
        <f t="shared" si="40"/>
        <v>2</v>
      </c>
      <c r="BI35" s="48">
        <f t="shared" si="40"/>
        <v>2</v>
      </c>
      <c r="BJ35" s="48">
        <f t="shared" si="40"/>
        <v>0</v>
      </c>
      <c r="BK35" s="48">
        <f t="shared" si="40"/>
        <v>0</v>
      </c>
      <c r="BL35" s="48">
        <f t="shared" si="40"/>
        <v>0</v>
      </c>
      <c r="BM35" s="48">
        <f t="shared" si="40"/>
        <v>0</v>
      </c>
      <c r="BN35" s="48">
        <f t="shared" si="40"/>
        <v>0</v>
      </c>
      <c r="BO35" s="48">
        <f t="shared" si="40"/>
        <v>17</v>
      </c>
      <c r="BP35" s="48">
        <f t="shared" si="40"/>
        <v>6</v>
      </c>
      <c r="BQ35" s="48">
        <f t="shared" ref="BQ35:BS35" si="41">SUM(BQ3:BQ34)</f>
        <v>4</v>
      </c>
      <c r="BR35" s="48">
        <f t="shared" si="41"/>
        <v>2</v>
      </c>
      <c r="BS35" s="48">
        <f t="shared" si="41"/>
        <v>1</v>
      </c>
    </row>
    <row r="37" spans="1:77" x14ac:dyDescent="0.35">
      <c r="C37" s="134" t="s">
        <v>23</v>
      </c>
      <c r="D37" s="143">
        <f>IFERROR(E35/(E35+F35),"")</f>
        <v>1</v>
      </c>
      <c r="E37" s="144"/>
      <c r="F37" s="144"/>
      <c r="G37" s="145"/>
      <c r="H37" s="143">
        <f t="shared" ref="H37" si="42">IFERROR(I35/(I35+J35),"")</f>
        <v>0.82608695652173914</v>
      </c>
      <c r="I37" s="144"/>
      <c r="J37" s="144"/>
      <c r="K37" s="145"/>
      <c r="L37" s="143">
        <f t="shared" ref="L37" si="43">IFERROR(M35/(M35+N35),"")</f>
        <v>0.78947368421052633</v>
      </c>
      <c r="M37" s="144"/>
      <c r="N37" s="144"/>
      <c r="O37" s="145"/>
      <c r="P37" s="143">
        <f t="shared" ref="P37" si="44">IFERROR(Q35/(Q35+R35),"")</f>
        <v>1</v>
      </c>
      <c r="Q37" s="144"/>
      <c r="R37" s="144"/>
      <c r="S37" s="145"/>
      <c r="T37" s="143">
        <f t="shared" ref="T37" si="45">IFERROR(U35/(U35+V35),"")</f>
        <v>0.83333333333333337</v>
      </c>
      <c r="U37" s="144"/>
      <c r="V37" s="144"/>
      <c r="W37" s="145"/>
      <c r="X37" s="143">
        <f t="shared" ref="X37" si="46">IFERROR(Y35/(Y35+Z35),"")</f>
        <v>0.98611111111111116</v>
      </c>
      <c r="Y37" s="144"/>
      <c r="Z37" s="144"/>
      <c r="AA37" s="145"/>
      <c r="AB37" s="143">
        <f t="shared" ref="AB37" si="47">IFERROR(AC35/(AC35+AD35),"")</f>
        <v>1</v>
      </c>
      <c r="AC37" s="144"/>
      <c r="AD37" s="144"/>
      <c r="AE37" s="145"/>
      <c r="AF37" s="143">
        <f t="shared" ref="AF37" si="48">IFERROR(AG35/(AG35+AH35),"")</f>
        <v>0.94444444444444442</v>
      </c>
      <c r="AG37" s="144"/>
      <c r="AH37" s="144"/>
      <c r="AI37" s="145"/>
      <c r="AJ37" s="143">
        <f t="shared" ref="AJ37" si="49">IFERROR(AK35/(AK35+AL35),"")</f>
        <v>1</v>
      </c>
      <c r="AK37" s="144"/>
      <c r="AL37" s="144"/>
      <c r="AM37" s="145"/>
      <c r="AN37" s="143">
        <f t="shared" ref="AN37" si="50">IFERROR(AO35/(AO35+AP35),"")</f>
        <v>0</v>
      </c>
      <c r="AO37" s="144"/>
      <c r="AP37" s="144"/>
      <c r="AQ37" s="145"/>
      <c r="AR37" s="143">
        <f t="shared" ref="AR37" si="51">IFERROR(AS35/(AS35+AT35),"")</f>
        <v>0.25</v>
      </c>
      <c r="AS37" s="144"/>
      <c r="AT37" s="144"/>
      <c r="AU37" s="145"/>
      <c r="AV37" s="143">
        <f t="shared" ref="AV37" si="52">IFERROR(AW35/(AW35+AX35),"")</f>
        <v>0.25</v>
      </c>
      <c r="AW37" s="144"/>
      <c r="AX37" s="144"/>
      <c r="AY37" s="145"/>
      <c r="AZ37" s="143">
        <f t="shared" ref="AZ37" si="53">IFERROR(BA35/(BA35+BB35),"")</f>
        <v>0.75</v>
      </c>
      <c r="BA37" s="144"/>
      <c r="BB37" s="144"/>
      <c r="BC37" s="145"/>
      <c r="BD37" s="143">
        <f t="shared" ref="BD37" si="54">IFERROR(BE35/(BE35+BF35),"")</f>
        <v>0.25</v>
      </c>
      <c r="BE37" s="144"/>
      <c r="BF37" s="144"/>
      <c r="BG37" s="145"/>
      <c r="BH37" s="143">
        <f t="shared" ref="BH37" si="55">IFERROR(BI35/(BI35+BJ35),"")</f>
        <v>1</v>
      </c>
      <c r="BI37" s="144"/>
      <c r="BJ37" s="144"/>
      <c r="BK37" s="145"/>
      <c r="BL37" s="143" t="str">
        <f t="shared" ref="BL37" si="56">IFERROR(BM35/(BM35+BN35),"")</f>
        <v/>
      </c>
      <c r="BM37" s="144"/>
      <c r="BN37" s="144"/>
      <c r="BO37" s="145"/>
      <c r="BP37" s="143">
        <f t="shared" ref="BP37" si="57">IFERROR(BQ35/(BQ35+BR35),"")</f>
        <v>0.66666666666666663</v>
      </c>
      <c r="BQ37" s="144"/>
      <c r="BR37" s="144"/>
      <c r="BS37" s="145"/>
    </row>
    <row r="38" spans="1:77" x14ac:dyDescent="0.35">
      <c r="C38" s="134" t="s">
        <v>141</v>
      </c>
      <c r="D38" s="143">
        <f>IFERROR(E35/(E35+G35),"")</f>
        <v>0.98550724637681164</v>
      </c>
      <c r="E38" s="144"/>
      <c r="F38" s="144"/>
      <c r="G38" s="145"/>
      <c r="H38" s="143">
        <f t="shared" ref="H38" si="58">IFERROR(I35/(I35+K35),"")</f>
        <v>1</v>
      </c>
      <c r="I38" s="144"/>
      <c r="J38" s="144"/>
      <c r="K38" s="145"/>
      <c r="L38" s="143">
        <f t="shared" ref="L38" si="59">IFERROR(M35/(M35+O35),"")</f>
        <v>1</v>
      </c>
      <c r="M38" s="144"/>
      <c r="N38" s="144"/>
      <c r="O38" s="145"/>
      <c r="P38" s="143">
        <f t="shared" ref="P38" si="60">IFERROR(Q35/(Q35+S35),"")</f>
        <v>0.78688524590163933</v>
      </c>
      <c r="Q38" s="144"/>
      <c r="R38" s="144"/>
      <c r="S38" s="145"/>
      <c r="T38" s="143">
        <f t="shared" ref="T38" si="61">IFERROR(U35/(U35+W35),"")</f>
        <v>0.81632653061224492</v>
      </c>
      <c r="U38" s="144"/>
      <c r="V38" s="144"/>
      <c r="W38" s="145"/>
      <c r="X38" s="143">
        <f t="shared" ref="X38" si="62">IFERROR(Y35/(Y35+AA35),"")</f>
        <v>1</v>
      </c>
      <c r="Y38" s="144"/>
      <c r="Z38" s="144"/>
      <c r="AA38" s="145"/>
      <c r="AB38" s="143">
        <f t="shared" ref="AB38" si="63">IFERROR(AC35/(AC35+AE35),"")</f>
        <v>1</v>
      </c>
      <c r="AC38" s="144"/>
      <c r="AD38" s="144"/>
      <c r="AE38" s="145"/>
      <c r="AF38" s="143">
        <f t="shared" ref="AF38" si="64">IFERROR(AG35/(AG35+AI35),"")</f>
        <v>0.93150684931506844</v>
      </c>
      <c r="AG38" s="144"/>
      <c r="AH38" s="144"/>
      <c r="AI38" s="145"/>
      <c r="AJ38" s="143">
        <f t="shared" ref="AJ38" si="65">IFERROR(AK35/(AK35+AM35),"")</f>
        <v>0.88888888888888884</v>
      </c>
      <c r="AK38" s="144"/>
      <c r="AL38" s="144"/>
      <c r="AM38" s="145"/>
      <c r="AN38" s="143">
        <f t="shared" ref="AN38" si="66">IFERROR(AO35/(AO35+AQ35),"")</f>
        <v>0</v>
      </c>
      <c r="AO38" s="144"/>
      <c r="AP38" s="144"/>
      <c r="AQ38" s="145"/>
      <c r="AR38" s="143">
        <f t="shared" ref="AR38" si="67">IFERROR(AS35/(AS35+AU35),"")</f>
        <v>0.125</v>
      </c>
      <c r="AS38" s="144"/>
      <c r="AT38" s="144"/>
      <c r="AU38" s="145"/>
      <c r="AV38" s="143">
        <f t="shared" ref="AV38" si="68">IFERROR(AW35/(AW35+AY35),"")</f>
        <v>0.14285714285714285</v>
      </c>
      <c r="AW38" s="144"/>
      <c r="AX38" s="144"/>
      <c r="AY38" s="145"/>
      <c r="AZ38" s="143">
        <f t="shared" ref="AZ38" si="69">IFERROR(BA35/(BA35+BC35),"")</f>
        <v>0.62790697674418605</v>
      </c>
      <c r="BA38" s="144"/>
      <c r="BB38" s="144"/>
      <c r="BC38" s="145"/>
      <c r="BD38" s="143">
        <f t="shared" ref="BD38" si="70">IFERROR(BE35/(BE35+BG35),"")</f>
        <v>0.5</v>
      </c>
      <c r="BE38" s="144"/>
      <c r="BF38" s="144"/>
      <c r="BG38" s="145"/>
      <c r="BH38" s="143">
        <f t="shared" ref="BH38" si="71">IFERROR(BI35/(BI35+BK35),"")</f>
        <v>1</v>
      </c>
      <c r="BI38" s="144"/>
      <c r="BJ38" s="144"/>
      <c r="BK38" s="145"/>
      <c r="BL38" s="143">
        <f t="shared" ref="BL38" si="72">IFERROR(BM35/(BM35+BO35),"")</f>
        <v>0</v>
      </c>
      <c r="BM38" s="144"/>
      <c r="BN38" s="144"/>
      <c r="BO38" s="145"/>
      <c r="BP38" s="143">
        <f t="shared" ref="BP38" si="73">IFERROR(BQ35/(BQ35+BS35),"")</f>
        <v>0.8</v>
      </c>
      <c r="BQ38" s="144"/>
      <c r="BR38" s="144"/>
      <c r="BS38" s="145"/>
    </row>
    <row r="39" spans="1:77" x14ac:dyDescent="0.35">
      <c r="C39" s="134" t="s">
        <v>24</v>
      </c>
      <c r="D39" s="143">
        <f>IFERROR(2*D37*D38/(D37+D38),IF(AND(D37=0,D38=0),0,""))</f>
        <v>0.99270072992700742</v>
      </c>
      <c r="E39" s="144"/>
      <c r="F39" s="144"/>
      <c r="G39" s="145"/>
      <c r="H39" s="143">
        <f t="shared" ref="H39" si="74">IFERROR(2*H37*H38/(H37+H38),IF(AND(H37=0,H38=0),0,""))</f>
        <v>0.90476190476190466</v>
      </c>
      <c r="I39" s="144"/>
      <c r="J39" s="144"/>
      <c r="K39" s="145"/>
      <c r="L39" s="143">
        <f t="shared" ref="L39" si="75">IFERROR(2*L37*L38/(L37+L38),IF(AND(L37=0,L38=0),0,""))</f>
        <v>0.88235294117647056</v>
      </c>
      <c r="M39" s="144"/>
      <c r="N39" s="144"/>
      <c r="O39" s="145"/>
      <c r="P39" s="143">
        <f t="shared" ref="P39" si="76">IFERROR(2*P37*P38/(P37+P38),IF(AND(P37=0,P38=0),0,""))</f>
        <v>0.88073394495412838</v>
      </c>
      <c r="Q39" s="144"/>
      <c r="R39" s="144"/>
      <c r="S39" s="145"/>
      <c r="T39" s="143">
        <f t="shared" ref="T39" si="77">IFERROR(2*T37*T38/(T37+T38),IF(AND(T37=0,T38=0),0,""))</f>
        <v>0.82474226804123718</v>
      </c>
      <c r="U39" s="144"/>
      <c r="V39" s="144"/>
      <c r="W39" s="145"/>
      <c r="X39" s="143">
        <f t="shared" ref="X39" si="78">IFERROR(2*X37*X38/(X37+X38),IF(AND(X37=0,X38=0),0,""))</f>
        <v>0.99300699300699302</v>
      </c>
      <c r="Y39" s="144"/>
      <c r="Z39" s="144"/>
      <c r="AA39" s="145"/>
      <c r="AB39" s="143">
        <f t="shared" ref="AB39" si="79">IFERROR(2*AB37*AB38/(AB37+AB38),IF(AND(AB37=0,AB38=0),0,""))</f>
        <v>1</v>
      </c>
      <c r="AC39" s="144"/>
      <c r="AD39" s="144"/>
      <c r="AE39" s="145"/>
      <c r="AF39" s="143">
        <f t="shared" ref="AF39" si="80">IFERROR(2*AF37*AF38/(AF37+AF38),IF(AND(AF37=0,AF38=0),0,""))</f>
        <v>0.93793103448275861</v>
      </c>
      <c r="AG39" s="144"/>
      <c r="AH39" s="144"/>
      <c r="AI39" s="145"/>
      <c r="AJ39" s="143">
        <f t="shared" ref="AJ39" si="81">IFERROR(2*AJ37*AJ38/(AJ37+AJ38),IF(AND(AJ37=0,AJ38=0),0,""))</f>
        <v>0.94117647058823528</v>
      </c>
      <c r="AK39" s="144"/>
      <c r="AL39" s="144"/>
      <c r="AM39" s="145"/>
      <c r="AN39" s="143">
        <f t="shared" ref="AN39" si="82">IFERROR(2*AN37*AN38/(AN37+AN38),IF(AND(AN37=0,AN38=0),0,""))</f>
        <v>0</v>
      </c>
      <c r="AO39" s="144"/>
      <c r="AP39" s="144"/>
      <c r="AQ39" s="145"/>
      <c r="AR39" s="143">
        <f t="shared" ref="AR39" si="83">IFERROR(2*AR37*AR38/(AR37+AR38),IF(AND(AR37=0,AR38=0),0,""))</f>
        <v>0.16666666666666666</v>
      </c>
      <c r="AS39" s="144"/>
      <c r="AT39" s="144"/>
      <c r="AU39" s="145"/>
      <c r="AV39" s="143">
        <f t="shared" ref="AV39" si="84">IFERROR(2*AV37*AV38/(AV37+AV38),IF(AND(AV37=0,AV38=0),0,""))</f>
        <v>0.18181818181818182</v>
      </c>
      <c r="AW39" s="144"/>
      <c r="AX39" s="144"/>
      <c r="AY39" s="145"/>
      <c r="AZ39" s="143">
        <f t="shared" ref="AZ39" si="85">IFERROR(2*AZ37*AZ38/(AZ37+AZ38),IF(AND(AZ37=0,AZ38=0),0,""))</f>
        <v>0.68354430379746833</v>
      </c>
      <c r="BA39" s="144"/>
      <c r="BB39" s="144"/>
      <c r="BC39" s="145"/>
      <c r="BD39" s="143">
        <f t="shared" ref="BD39" si="86">IFERROR(2*BD37*BD38/(BD37+BD38),IF(AND(BD37=0,BD38=0),0,""))</f>
        <v>0.33333333333333331</v>
      </c>
      <c r="BE39" s="144"/>
      <c r="BF39" s="144"/>
      <c r="BG39" s="145"/>
      <c r="BH39" s="143">
        <f t="shared" ref="BH39" si="87">IFERROR(2*BH37*BH38/(BH37+BH38),IF(AND(BH37=0,BH38=0),0,""))</f>
        <v>1</v>
      </c>
      <c r="BI39" s="144"/>
      <c r="BJ39" s="144"/>
      <c r="BK39" s="145"/>
      <c r="BL39" s="143" t="str">
        <f t="shared" ref="BL39" si="88">IFERROR(2*BL37*BL38/(BL37+BL38),IF(AND(BL37=0,BL38=0),0,""))</f>
        <v/>
      </c>
      <c r="BM39" s="144"/>
      <c r="BN39" s="144"/>
      <c r="BO39" s="145"/>
      <c r="BP39" s="143">
        <f t="shared" ref="BP39" si="89">IFERROR(2*BP37*BP38/(BP37+BP38),IF(AND(BP37=0,BP38=0),0,""))</f>
        <v>0.72727272727272718</v>
      </c>
      <c r="BQ39" s="144"/>
      <c r="BR39" s="144"/>
      <c r="BS39" s="145"/>
    </row>
    <row r="91" spans="1:77" ht="18.5" x14ac:dyDescent="0.45">
      <c r="A91" s="174" t="s">
        <v>41</v>
      </c>
      <c r="B91" s="175"/>
      <c r="C91" s="175"/>
      <c r="D91" s="175"/>
      <c r="E91" s="175"/>
      <c r="F91" s="175"/>
      <c r="G91" s="175"/>
      <c r="H91" s="175"/>
    </row>
    <row r="92" spans="1:77" ht="15" thickBot="1" x14ac:dyDescent="0.4"/>
    <row r="93" spans="1:77" ht="15.5" thickTop="1" thickBot="1" x14ac:dyDescent="0.4">
      <c r="A93" s="153" t="s">
        <v>0</v>
      </c>
      <c r="B93" s="161" t="s">
        <v>1</v>
      </c>
      <c r="C93" s="151" t="s">
        <v>2</v>
      </c>
      <c r="D93" s="164" t="s">
        <v>3</v>
      </c>
      <c r="E93" s="165"/>
      <c r="F93" s="165"/>
      <c r="G93" s="166"/>
      <c r="H93" s="158" t="s">
        <v>4</v>
      </c>
      <c r="I93" s="158"/>
      <c r="J93" s="158"/>
      <c r="K93" s="159"/>
      <c r="L93" s="153" t="s">
        <v>5</v>
      </c>
      <c r="M93" s="149"/>
      <c r="N93" s="149"/>
      <c r="O93" s="151"/>
      <c r="P93" s="153" t="s">
        <v>6</v>
      </c>
      <c r="Q93" s="149"/>
      <c r="R93" s="149"/>
      <c r="S93" s="151"/>
      <c r="T93" s="153" t="s">
        <v>7</v>
      </c>
      <c r="U93" s="149"/>
      <c r="V93" s="149"/>
      <c r="W93" s="151"/>
      <c r="X93" s="153" t="s">
        <v>8</v>
      </c>
      <c r="Y93" s="149"/>
      <c r="Z93" s="149"/>
      <c r="AA93" s="151"/>
      <c r="AB93" s="153" t="s">
        <v>9</v>
      </c>
      <c r="AC93" s="149"/>
      <c r="AD93" s="149"/>
      <c r="AE93" s="151"/>
      <c r="AF93" s="153" t="s">
        <v>10</v>
      </c>
      <c r="AG93" s="149"/>
      <c r="AH93" s="149"/>
      <c r="AI93" s="151"/>
      <c r="AJ93" s="153" t="s">
        <v>11</v>
      </c>
      <c r="AK93" s="149"/>
      <c r="AL93" s="149"/>
      <c r="AM93" s="151"/>
      <c r="AN93" s="153" t="s">
        <v>12</v>
      </c>
      <c r="AO93" s="149"/>
      <c r="AP93" s="149"/>
      <c r="AQ93" s="151"/>
      <c r="AR93" s="153" t="s">
        <v>13</v>
      </c>
      <c r="AS93" s="149"/>
      <c r="AT93" s="149"/>
      <c r="AU93" s="151"/>
      <c r="AV93" s="153" t="s">
        <v>14</v>
      </c>
      <c r="AW93" s="149"/>
      <c r="AX93" s="149"/>
      <c r="AY93" s="151"/>
      <c r="AZ93" s="153" t="s">
        <v>15</v>
      </c>
      <c r="BA93" s="149"/>
      <c r="BB93" s="149"/>
      <c r="BC93" s="151"/>
      <c r="BD93" s="153" t="s">
        <v>16</v>
      </c>
      <c r="BE93" s="149"/>
      <c r="BF93" s="149"/>
      <c r="BG93" s="151"/>
      <c r="BH93" s="153" t="s">
        <v>17</v>
      </c>
      <c r="BI93" s="149"/>
      <c r="BJ93" s="149"/>
      <c r="BK93" s="151"/>
      <c r="BL93" s="153" t="s">
        <v>18</v>
      </c>
      <c r="BM93" s="149"/>
      <c r="BN93" s="149"/>
      <c r="BO93" s="151"/>
      <c r="BP93" s="153" t="s">
        <v>19</v>
      </c>
      <c r="BQ93" s="149"/>
      <c r="BR93" s="149"/>
      <c r="BS93" s="151"/>
      <c r="BT93" s="170" t="s">
        <v>20</v>
      </c>
      <c r="BU93" s="172" t="s">
        <v>21</v>
      </c>
      <c r="BV93" s="172" t="s">
        <v>22</v>
      </c>
      <c r="BW93" s="172" t="s">
        <v>23</v>
      </c>
      <c r="BX93" s="172" t="s">
        <v>141</v>
      </c>
      <c r="BY93" s="167" t="s">
        <v>24</v>
      </c>
    </row>
    <row r="94" spans="1:77" ht="15.5" thickTop="1" thickBot="1" x14ac:dyDescent="0.4">
      <c r="A94" s="160"/>
      <c r="B94" s="162"/>
      <c r="C94" s="163"/>
      <c r="D94" s="6" t="s">
        <v>25</v>
      </c>
      <c r="E94" s="1" t="s">
        <v>20</v>
      </c>
      <c r="F94" s="1" t="s">
        <v>21</v>
      </c>
      <c r="G94" s="2" t="s">
        <v>22</v>
      </c>
      <c r="H94" s="1" t="s">
        <v>25</v>
      </c>
      <c r="I94" s="4" t="s">
        <v>20</v>
      </c>
      <c r="J94" s="4" t="s">
        <v>21</v>
      </c>
      <c r="K94" s="2" t="s">
        <v>22</v>
      </c>
      <c r="L94" s="1" t="s">
        <v>25</v>
      </c>
      <c r="M94" s="4" t="s">
        <v>20</v>
      </c>
      <c r="N94" s="4" t="s">
        <v>21</v>
      </c>
      <c r="O94" s="2" t="s">
        <v>22</v>
      </c>
      <c r="P94" s="1" t="s">
        <v>25</v>
      </c>
      <c r="Q94" s="4" t="s">
        <v>20</v>
      </c>
      <c r="R94" s="4" t="s">
        <v>21</v>
      </c>
      <c r="S94" s="2" t="s">
        <v>22</v>
      </c>
      <c r="T94" s="1" t="s">
        <v>25</v>
      </c>
      <c r="U94" s="4" t="s">
        <v>20</v>
      </c>
      <c r="V94" s="4" t="s">
        <v>21</v>
      </c>
      <c r="W94" s="2" t="s">
        <v>22</v>
      </c>
      <c r="X94" s="1" t="s">
        <v>25</v>
      </c>
      <c r="Y94" s="4" t="s">
        <v>20</v>
      </c>
      <c r="Z94" s="4" t="s">
        <v>21</v>
      </c>
      <c r="AA94" s="2" t="s">
        <v>22</v>
      </c>
      <c r="AB94" s="1" t="s">
        <v>25</v>
      </c>
      <c r="AC94" s="4" t="s">
        <v>20</v>
      </c>
      <c r="AD94" s="4" t="s">
        <v>21</v>
      </c>
      <c r="AE94" s="2" t="s">
        <v>22</v>
      </c>
      <c r="AF94" s="1" t="s">
        <v>25</v>
      </c>
      <c r="AG94" s="4" t="s">
        <v>20</v>
      </c>
      <c r="AH94" s="4" t="s">
        <v>21</v>
      </c>
      <c r="AI94" s="2" t="s">
        <v>22</v>
      </c>
      <c r="AJ94" s="1" t="s">
        <v>25</v>
      </c>
      <c r="AK94" s="4" t="s">
        <v>20</v>
      </c>
      <c r="AL94" s="4" t="s">
        <v>21</v>
      </c>
      <c r="AM94" s="2" t="s">
        <v>22</v>
      </c>
      <c r="AN94" s="1" t="s">
        <v>25</v>
      </c>
      <c r="AO94" s="4" t="s">
        <v>20</v>
      </c>
      <c r="AP94" s="4" t="s">
        <v>21</v>
      </c>
      <c r="AQ94" s="2" t="s">
        <v>22</v>
      </c>
      <c r="AR94" s="1" t="s">
        <v>25</v>
      </c>
      <c r="AS94" s="4" t="s">
        <v>20</v>
      </c>
      <c r="AT94" s="4" t="s">
        <v>21</v>
      </c>
      <c r="AU94" s="2" t="s">
        <v>22</v>
      </c>
      <c r="AV94" s="1" t="s">
        <v>25</v>
      </c>
      <c r="AW94" s="4" t="s">
        <v>20</v>
      </c>
      <c r="AX94" s="4" t="s">
        <v>21</v>
      </c>
      <c r="AY94" s="2" t="s">
        <v>22</v>
      </c>
      <c r="AZ94" s="1" t="s">
        <v>25</v>
      </c>
      <c r="BA94" s="4" t="s">
        <v>20</v>
      </c>
      <c r="BB94" s="4" t="s">
        <v>21</v>
      </c>
      <c r="BC94" s="2" t="s">
        <v>22</v>
      </c>
      <c r="BD94" s="1" t="s">
        <v>25</v>
      </c>
      <c r="BE94" s="4" t="s">
        <v>20</v>
      </c>
      <c r="BF94" s="4" t="s">
        <v>21</v>
      </c>
      <c r="BG94" s="2" t="s">
        <v>22</v>
      </c>
      <c r="BH94" s="1" t="s">
        <v>25</v>
      </c>
      <c r="BI94" s="4" t="s">
        <v>20</v>
      </c>
      <c r="BJ94" s="4" t="s">
        <v>21</v>
      </c>
      <c r="BK94" s="2" t="s">
        <v>22</v>
      </c>
      <c r="BL94" s="1" t="s">
        <v>25</v>
      </c>
      <c r="BM94" s="4" t="s">
        <v>20</v>
      </c>
      <c r="BN94" s="4" t="s">
        <v>21</v>
      </c>
      <c r="BO94" s="2" t="s">
        <v>22</v>
      </c>
      <c r="BP94" s="1" t="s">
        <v>25</v>
      </c>
      <c r="BQ94" s="4" t="s">
        <v>20</v>
      </c>
      <c r="BR94" s="4" t="s">
        <v>21</v>
      </c>
      <c r="BS94" s="2" t="s">
        <v>22</v>
      </c>
      <c r="BT94" s="171"/>
      <c r="BU94" s="173"/>
      <c r="BV94" s="173"/>
      <c r="BW94" s="173"/>
      <c r="BX94" s="173"/>
      <c r="BY94" s="168"/>
    </row>
    <row r="95" spans="1:77" ht="15" thickTop="1" x14ac:dyDescent="0.35">
      <c r="A95" s="49" t="e">
        <f>#REF!</f>
        <v>#REF!</v>
      </c>
      <c r="B95" s="147" t="e">
        <f>#REF!</f>
        <v>#REF!</v>
      </c>
      <c r="C95" s="7" t="s">
        <v>26</v>
      </c>
      <c r="D95" s="8" t="e">
        <f>#REF!</f>
        <v>#REF!</v>
      </c>
      <c r="E95" s="9" t="e">
        <f>#REF!</f>
        <v>#REF!</v>
      </c>
      <c r="F95" s="9" t="e">
        <f>D95-E95</f>
        <v>#REF!</v>
      </c>
      <c r="G95" s="7" t="e">
        <f>#REF!</f>
        <v>#REF!</v>
      </c>
      <c r="H95" s="10" t="e">
        <f>#REF!</f>
        <v>#REF!</v>
      </c>
      <c r="I95" s="9" t="e">
        <f>#REF!</f>
        <v>#REF!</v>
      </c>
      <c r="J95" s="9" t="e">
        <f>H95-I95</f>
        <v>#REF!</v>
      </c>
      <c r="K95" s="7" t="e">
        <f>#REF!</f>
        <v>#REF!</v>
      </c>
      <c r="L95" s="10" t="e">
        <f>#REF!</f>
        <v>#REF!</v>
      </c>
      <c r="M95" s="9" t="e">
        <f>#REF!</f>
        <v>#REF!</v>
      </c>
      <c r="N95" s="9" t="e">
        <f>L95-M95</f>
        <v>#REF!</v>
      </c>
      <c r="O95" s="7" t="e">
        <f>#REF!</f>
        <v>#REF!</v>
      </c>
      <c r="P95" s="10" t="e">
        <f>#REF!</f>
        <v>#REF!</v>
      </c>
      <c r="Q95" s="9" t="e">
        <f>#REF!</f>
        <v>#REF!</v>
      </c>
      <c r="R95" s="9" t="e">
        <f>P95-Q95</f>
        <v>#REF!</v>
      </c>
      <c r="S95" s="7" t="e">
        <f>#REF!</f>
        <v>#REF!</v>
      </c>
      <c r="T95" s="10" t="e">
        <f>#REF!</f>
        <v>#REF!</v>
      </c>
      <c r="U95" s="9" t="e">
        <f>#REF!</f>
        <v>#REF!</v>
      </c>
      <c r="V95" s="9" t="e">
        <f>T95-U95</f>
        <v>#REF!</v>
      </c>
      <c r="W95" s="7" t="e">
        <f>#REF!</f>
        <v>#REF!</v>
      </c>
      <c r="X95" s="10" t="e">
        <f>#REF!</f>
        <v>#REF!</v>
      </c>
      <c r="Y95" s="9" t="e">
        <f>#REF!</f>
        <v>#REF!</v>
      </c>
      <c r="Z95" s="9" t="e">
        <f>X95-Y95</f>
        <v>#REF!</v>
      </c>
      <c r="AA95" s="7" t="e">
        <f>#REF!</f>
        <v>#REF!</v>
      </c>
      <c r="AB95" s="10" t="e">
        <f>#REF!</f>
        <v>#REF!</v>
      </c>
      <c r="AC95" s="9" t="e">
        <f>#REF!</f>
        <v>#REF!</v>
      </c>
      <c r="AD95" s="9" t="e">
        <f>AB95-AC95</f>
        <v>#REF!</v>
      </c>
      <c r="AE95" s="7" t="e">
        <f>#REF!</f>
        <v>#REF!</v>
      </c>
      <c r="AF95" s="10" t="e">
        <f>#REF!</f>
        <v>#REF!</v>
      </c>
      <c r="AG95" s="9" t="e">
        <f>#REF!</f>
        <v>#REF!</v>
      </c>
      <c r="AH95" s="9" t="e">
        <f>AF95-AG95</f>
        <v>#REF!</v>
      </c>
      <c r="AI95" s="7" t="e">
        <f>#REF!</f>
        <v>#REF!</v>
      </c>
      <c r="AJ95" s="10" t="e">
        <f>#REF!</f>
        <v>#REF!</v>
      </c>
      <c r="AK95" s="9" t="e">
        <f>#REF!</f>
        <v>#REF!</v>
      </c>
      <c r="AL95" s="9" t="e">
        <f>AJ95-AK95</f>
        <v>#REF!</v>
      </c>
      <c r="AM95" s="7" t="e">
        <f>#REF!</f>
        <v>#REF!</v>
      </c>
      <c r="AN95" s="10" t="e">
        <f>#REF!</f>
        <v>#REF!</v>
      </c>
      <c r="AO95" s="9" t="e">
        <f>#REF!</f>
        <v>#REF!</v>
      </c>
      <c r="AP95" s="9" t="e">
        <f>AN95-AO95</f>
        <v>#REF!</v>
      </c>
      <c r="AQ95" s="7" t="e">
        <f>#REF!</f>
        <v>#REF!</v>
      </c>
      <c r="AR95" s="10" t="e">
        <f>#REF!</f>
        <v>#REF!</v>
      </c>
      <c r="AS95" s="9" t="e">
        <f>#REF!</f>
        <v>#REF!</v>
      </c>
      <c r="AT95" s="9" t="e">
        <f>AR95-AS95</f>
        <v>#REF!</v>
      </c>
      <c r="AU95" s="7" t="e">
        <f>#REF!</f>
        <v>#REF!</v>
      </c>
      <c r="AV95" s="10" t="e">
        <f>#REF!</f>
        <v>#REF!</v>
      </c>
      <c r="AW95" s="9" t="e">
        <f>#REF!</f>
        <v>#REF!</v>
      </c>
      <c r="AX95" s="9" t="e">
        <f>AV95-AW95</f>
        <v>#REF!</v>
      </c>
      <c r="AY95" s="7" t="e">
        <f>#REF!</f>
        <v>#REF!</v>
      </c>
      <c r="AZ95" s="10" t="e">
        <f>#REF!</f>
        <v>#REF!</v>
      </c>
      <c r="BA95" s="9" t="e">
        <f>#REF!</f>
        <v>#REF!</v>
      </c>
      <c r="BB95" s="9" t="e">
        <f>AZ95-BA95</f>
        <v>#REF!</v>
      </c>
      <c r="BC95" s="7" t="e">
        <f>#REF!</f>
        <v>#REF!</v>
      </c>
      <c r="BD95" s="10" t="e">
        <f>#REF!</f>
        <v>#REF!</v>
      </c>
      <c r="BE95" s="9" t="e">
        <f>#REF!</f>
        <v>#REF!</v>
      </c>
      <c r="BF95" s="9" t="e">
        <f>BD95-BE95</f>
        <v>#REF!</v>
      </c>
      <c r="BG95" s="7" t="e">
        <f>#REF!</f>
        <v>#REF!</v>
      </c>
      <c r="BH95" s="10" t="e">
        <f>#REF!</f>
        <v>#REF!</v>
      </c>
      <c r="BI95" s="9" t="e">
        <f>#REF!</f>
        <v>#REF!</v>
      </c>
      <c r="BJ95" s="9" t="e">
        <f>BH95-BI95</f>
        <v>#REF!</v>
      </c>
      <c r="BK95" s="7" t="e">
        <f>#REF!</f>
        <v>#REF!</v>
      </c>
      <c r="BL95" s="10" t="e">
        <f>#REF!</f>
        <v>#REF!</v>
      </c>
      <c r="BM95" s="9" t="e">
        <f>#REF!</f>
        <v>#REF!</v>
      </c>
      <c r="BN95" s="9" t="e">
        <f>BL95-BM95</f>
        <v>#REF!</v>
      </c>
      <c r="BO95" s="7" t="e">
        <f>#REF!</f>
        <v>#REF!</v>
      </c>
      <c r="BP95" s="10" t="e">
        <f>#REF!</f>
        <v>#REF!</v>
      </c>
      <c r="BQ95" s="9" t="e">
        <f>#REF!</f>
        <v>#REF!</v>
      </c>
      <c r="BR95" s="9" t="e">
        <f>BP95-BQ95</f>
        <v>#REF!</v>
      </c>
      <c r="BS95" s="7" t="e">
        <f>#REF!</f>
        <v>#REF!</v>
      </c>
      <c r="BT95" s="63" t="e">
        <f>SUM(E95,I95,M95,Q95,U95,Y95,AC95,AG95,AK95,AO95,AS95,AW95,BA95,BE95,BI95,BM95,BQ95)</f>
        <v>#REF!</v>
      </c>
      <c r="BU95" s="62" t="e">
        <f>SUM(BR95,BN95,BJ95,BF95,BB95,AX95,AT95,AP95,AL95,AH95,AD95,Z95,V95,R95,N95,J95,F95)</f>
        <v>#REF!</v>
      </c>
      <c r="BV95" s="88" t="e">
        <f>SUM(BS95,BO95,BK95,BG95,BC95,AY95,AU95,AQ95,AM95,AI95,AE95,AA95,W95,S95,O95,K95,G95)</f>
        <v>#REF!</v>
      </c>
      <c r="BW95" s="62" t="e">
        <f>BT95/(BT95+BU95)</f>
        <v>#REF!</v>
      </c>
      <c r="BX95" s="62" t="e">
        <f>BT95/(BT95+BV95)</f>
        <v>#REF!</v>
      </c>
      <c r="BY95" s="89" t="e">
        <f>2*(BX95*BW95)/(BX95+BW95)</f>
        <v>#REF!</v>
      </c>
    </row>
    <row r="96" spans="1:77" x14ac:dyDescent="0.35">
      <c r="A96" s="50" t="e">
        <f>#REF!</f>
        <v>#REF!</v>
      </c>
      <c r="B96" s="148"/>
      <c r="C96" s="11" t="s">
        <v>27</v>
      </c>
      <c r="D96" s="12" t="e">
        <f>#REF!</f>
        <v>#REF!</v>
      </c>
      <c r="E96" s="13" t="e">
        <f>#REF!</f>
        <v>#REF!</v>
      </c>
      <c r="F96" s="13" t="e">
        <f t="shared" ref="F96:F110" si="90">D96-E96</f>
        <v>#REF!</v>
      </c>
      <c r="G96" s="11" t="e">
        <f>#REF!</f>
        <v>#REF!</v>
      </c>
      <c r="H96" s="12" t="e">
        <f>#REF!</f>
        <v>#REF!</v>
      </c>
      <c r="I96" s="13" t="e">
        <f>#REF!</f>
        <v>#REF!</v>
      </c>
      <c r="J96" s="13" t="e">
        <f t="shared" ref="J96:J110" si="91">H96-I96</f>
        <v>#REF!</v>
      </c>
      <c r="K96" s="11" t="e">
        <f>#REF!</f>
        <v>#REF!</v>
      </c>
      <c r="L96" s="12" t="e">
        <f>#REF!</f>
        <v>#REF!</v>
      </c>
      <c r="M96" s="13" t="e">
        <f>#REF!</f>
        <v>#REF!</v>
      </c>
      <c r="N96" s="13" t="e">
        <f t="shared" ref="N96:N110" si="92">L96-M96</f>
        <v>#REF!</v>
      </c>
      <c r="O96" s="11" t="e">
        <f>#REF!</f>
        <v>#REF!</v>
      </c>
      <c r="P96" s="12" t="e">
        <f>#REF!</f>
        <v>#REF!</v>
      </c>
      <c r="Q96" s="13" t="e">
        <f>#REF!</f>
        <v>#REF!</v>
      </c>
      <c r="R96" s="13" t="e">
        <f t="shared" ref="R96:R110" si="93">P96-Q96</f>
        <v>#REF!</v>
      </c>
      <c r="S96" s="11" t="e">
        <f>#REF!</f>
        <v>#REF!</v>
      </c>
      <c r="T96" s="12" t="e">
        <f>#REF!</f>
        <v>#REF!</v>
      </c>
      <c r="U96" s="13" t="e">
        <f>#REF!</f>
        <v>#REF!</v>
      </c>
      <c r="V96" s="13" t="e">
        <f t="shared" ref="V96:V110" si="94">T96-U96</f>
        <v>#REF!</v>
      </c>
      <c r="W96" s="11" t="e">
        <f>#REF!</f>
        <v>#REF!</v>
      </c>
      <c r="X96" s="12" t="e">
        <f>#REF!</f>
        <v>#REF!</v>
      </c>
      <c r="Y96" s="13" t="e">
        <f>#REF!</f>
        <v>#REF!</v>
      </c>
      <c r="Z96" s="13" t="e">
        <f t="shared" ref="Z96:Z110" si="95">X96-Y96</f>
        <v>#REF!</v>
      </c>
      <c r="AA96" s="11" t="e">
        <f>#REF!</f>
        <v>#REF!</v>
      </c>
      <c r="AB96" s="12" t="e">
        <f>#REF!</f>
        <v>#REF!</v>
      </c>
      <c r="AC96" s="13" t="e">
        <f>#REF!</f>
        <v>#REF!</v>
      </c>
      <c r="AD96" s="13" t="e">
        <f t="shared" ref="AD96:AD110" si="96">AB96-AC96</f>
        <v>#REF!</v>
      </c>
      <c r="AE96" s="11" t="e">
        <f>#REF!</f>
        <v>#REF!</v>
      </c>
      <c r="AF96" s="12" t="e">
        <f>#REF!</f>
        <v>#REF!</v>
      </c>
      <c r="AG96" s="13" t="e">
        <f>#REF!</f>
        <v>#REF!</v>
      </c>
      <c r="AH96" s="13" t="e">
        <f t="shared" ref="AH96:AH110" si="97">AF96-AG96</f>
        <v>#REF!</v>
      </c>
      <c r="AI96" s="11" t="e">
        <f>#REF!</f>
        <v>#REF!</v>
      </c>
      <c r="AJ96" s="12" t="e">
        <f>#REF!</f>
        <v>#REF!</v>
      </c>
      <c r="AK96" s="13" t="e">
        <f>#REF!</f>
        <v>#REF!</v>
      </c>
      <c r="AL96" s="13" t="e">
        <f t="shared" ref="AL96:AL110" si="98">AJ96-AK96</f>
        <v>#REF!</v>
      </c>
      <c r="AM96" s="11" t="e">
        <f>#REF!</f>
        <v>#REF!</v>
      </c>
      <c r="AN96" s="12" t="e">
        <f>#REF!</f>
        <v>#REF!</v>
      </c>
      <c r="AO96" s="13" t="e">
        <f>#REF!</f>
        <v>#REF!</v>
      </c>
      <c r="AP96" s="13" t="e">
        <f t="shared" ref="AP96:AP110" si="99">AN96-AO96</f>
        <v>#REF!</v>
      </c>
      <c r="AQ96" s="11" t="e">
        <f>#REF!</f>
        <v>#REF!</v>
      </c>
      <c r="AR96" s="12" t="e">
        <f>#REF!</f>
        <v>#REF!</v>
      </c>
      <c r="AS96" s="13" t="e">
        <f>#REF!</f>
        <v>#REF!</v>
      </c>
      <c r="AT96" s="13" t="e">
        <f t="shared" ref="AT96:AT110" si="100">AR96-AS96</f>
        <v>#REF!</v>
      </c>
      <c r="AU96" s="11" t="e">
        <f>#REF!</f>
        <v>#REF!</v>
      </c>
      <c r="AV96" s="12" t="e">
        <f>#REF!</f>
        <v>#REF!</v>
      </c>
      <c r="AW96" s="13" t="e">
        <f>#REF!</f>
        <v>#REF!</v>
      </c>
      <c r="AX96" s="13" t="e">
        <f t="shared" ref="AX96:AX110" si="101">AV96-AW96</f>
        <v>#REF!</v>
      </c>
      <c r="AY96" s="11" t="e">
        <f>#REF!</f>
        <v>#REF!</v>
      </c>
      <c r="AZ96" s="12" t="e">
        <f>#REF!</f>
        <v>#REF!</v>
      </c>
      <c r="BA96" s="13" t="e">
        <f>#REF!</f>
        <v>#REF!</v>
      </c>
      <c r="BB96" s="13" t="e">
        <f t="shared" ref="BB96:BB110" si="102">AZ96-BA96</f>
        <v>#REF!</v>
      </c>
      <c r="BC96" s="11" t="e">
        <f>#REF!</f>
        <v>#REF!</v>
      </c>
      <c r="BD96" s="12" t="e">
        <f>#REF!</f>
        <v>#REF!</v>
      </c>
      <c r="BE96" s="13" t="e">
        <f>#REF!</f>
        <v>#REF!</v>
      </c>
      <c r="BF96" s="13" t="e">
        <f t="shared" ref="BF96:BF110" si="103">BD96-BE96</f>
        <v>#REF!</v>
      </c>
      <c r="BG96" s="11" t="e">
        <f>#REF!</f>
        <v>#REF!</v>
      </c>
      <c r="BH96" s="12" t="e">
        <f>#REF!</f>
        <v>#REF!</v>
      </c>
      <c r="BI96" s="13" t="e">
        <f>#REF!</f>
        <v>#REF!</v>
      </c>
      <c r="BJ96" s="13" t="e">
        <f t="shared" ref="BJ96:BJ110" si="104">BH96-BI96</f>
        <v>#REF!</v>
      </c>
      <c r="BK96" s="11" t="e">
        <f>#REF!</f>
        <v>#REF!</v>
      </c>
      <c r="BL96" s="12" t="e">
        <f>#REF!</f>
        <v>#REF!</v>
      </c>
      <c r="BM96" s="13" t="e">
        <f>#REF!</f>
        <v>#REF!</v>
      </c>
      <c r="BN96" s="13" t="e">
        <f t="shared" ref="BN96:BN110" si="105">BL96-BM96</f>
        <v>#REF!</v>
      </c>
      <c r="BO96" s="11" t="e">
        <f>#REF!</f>
        <v>#REF!</v>
      </c>
      <c r="BP96" s="12" t="e">
        <f>#REF!</f>
        <v>#REF!</v>
      </c>
      <c r="BQ96" s="13" t="e">
        <f>#REF!</f>
        <v>#REF!</v>
      </c>
      <c r="BR96" s="13" t="e">
        <f t="shared" ref="BR96:BR110" si="106">BP96-BQ96</f>
        <v>#REF!</v>
      </c>
      <c r="BS96" s="11" t="e">
        <f>#REF!</f>
        <v>#REF!</v>
      </c>
      <c r="BT96" s="65" t="e">
        <f t="shared" ref="BT96:BT100" si="107">SUM(E96,I96,M96,Q96,U96,Y96,AC96,AG96,AK96,AO96,AS96,AW96,BA96,BE96,BI96,BM96,BQ96)</f>
        <v>#REF!</v>
      </c>
      <c r="BU96" s="64" t="e">
        <f t="shared" ref="BU96:BV110" si="108">SUM(BR96,BN96,BJ96,BF96,BB96,AX96,AT96,AP96,AL96,AH96,AD96,Z96,V96,R96,N96,J96,F96)</f>
        <v>#REF!</v>
      </c>
      <c r="BV96" s="64" t="e">
        <f t="shared" si="108"/>
        <v>#REF!</v>
      </c>
      <c r="BW96" s="64" t="e">
        <f t="shared" ref="BW96:BW110" si="109">BT96/(BT96+BU96)</f>
        <v>#REF!</v>
      </c>
      <c r="BX96" s="64" t="e">
        <f t="shared" ref="BX96:BX110" si="110">BT96/(BT96+BV96)</f>
        <v>#REF!</v>
      </c>
      <c r="BY96" s="90" t="e">
        <f t="shared" ref="BY96:BY110" si="111">2*(BX96*BW96)/(BX96+BW96)</f>
        <v>#REF!</v>
      </c>
    </row>
    <row r="97" spans="1:77" x14ac:dyDescent="0.35">
      <c r="A97" s="51" t="e">
        <f>#REF!</f>
        <v>#REF!</v>
      </c>
      <c r="B97" s="148"/>
      <c r="C97" s="14" t="s">
        <v>28</v>
      </c>
      <c r="D97" s="15" t="e">
        <f>#REF!</f>
        <v>#REF!</v>
      </c>
      <c r="E97" s="16" t="e">
        <f>#REF!</f>
        <v>#REF!</v>
      </c>
      <c r="F97" s="16" t="e">
        <f t="shared" si="90"/>
        <v>#REF!</v>
      </c>
      <c r="G97" s="14" t="e">
        <f>#REF!</f>
        <v>#REF!</v>
      </c>
      <c r="H97" s="15" t="e">
        <f>#REF!</f>
        <v>#REF!</v>
      </c>
      <c r="I97" s="16" t="e">
        <f>#REF!</f>
        <v>#REF!</v>
      </c>
      <c r="J97" s="16" t="e">
        <f t="shared" si="91"/>
        <v>#REF!</v>
      </c>
      <c r="K97" s="14" t="e">
        <f>#REF!</f>
        <v>#REF!</v>
      </c>
      <c r="L97" s="15" t="e">
        <f>#REF!</f>
        <v>#REF!</v>
      </c>
      <c r="M97" s="16" t="e">
        <f>#REF!</f>
        <v>#REF!</v>
      </c>
      <c r="N97" s="16" t="e">
        <f t="shared" si="92"/>
        <v>#REF!</v>
      </c>
      <c r="O97" s="14" t="e">
        <f>#REF!</f>
        <v>#REF!</v>
      </c>
      <c r="P97" s="15" t="e">
        <f>#REF!</f>
        <v>#REF!</v>
      </c>
      <c r="Q97" s="16" t="e">
        <f>#REF!</f>
        <v>#REF!</v>
      </c>
      <c r="R97" s="16" t="e">
        <f t="shared" si="93"/>
        <v>#REF!</v>
      </c>
      <c r="S97" s="14" t="e">
        <f>#REF!</f>
        <v>#REF!</v>
      </c>
      <c r="T97" s="15" t="e">
        <f>#REF!</f>
        <v>#REF!</v>
      </c>
      <c r="U97" s="16" t="e">
        <f>#REF!</f>
        <v>#REF!</v>
      </c>
      <c r="V97" s="16" t="e">
        <f t="shared" si="94"/>
        <v>#REF!</v>
      </c>
      <c r="W97" s="14" t="e">
        <f>#REF!</f>
        <v>#REF!</v>
      </c>
      <c r="X97" s="15" t="e">
        <f>#REF!</f>
        <v>#REF!</v>
      </c>
      <c r="Y97" s="16" t="e">
        <f>#REF!</f>
        <v>#REF!</v>
      </c>
      <c r="Z97" s="16" t="e">
        <f t="shared" si="95"/>
        <v>#REF!</v>
      </c>
      <c r="AA97" s="14" t="e">
        <f>#REF!</f>
        <v>#REF!</v>
      </c>
      <c r="AB97" s="15" t="e">
        <f>#REF!</f>
        <v>#REF!</v>
      </c>
      <c r="AC97" s="16" t="e">
        <f>#REF!</f>
        <v>#REF!</v>
      </c>
      <c r="AD97" s="16" t="e">
        <f t="shared" si="96"/>
        <v>#REF!</v>
      </c>
      <c r="AE97" s="14" t="e">
        <f>#REF!</f>
        <v>#REF!</v>
      </c>
      <c r="AF97" s="15" t="e">
        <f>#REF!</f>
        <v>#REF!</v>
      </c>
      <c r="AG97" s="16" t="e">
        <f>#REF!</f>
        <v>#REF!</v>
      </c>
      <c r="AH97" s="16" t="e">
        <f t="shared" si="97"/>
        <v>#REF!</v>
      </c>
      <c r="AI97" s="14" t="e">
        <f>#REF!</f>
        <v>#REF!</v>
      </c>
      <c r="AJ97" s="15" t="e">
        <f>#REF!</f>
        <v>#REF!</v>
      </c>
      <c r="AK97" s="16" t="e">
        <f>#REF!</f>
        <v>#REF!</v>
      </c>
      <c r="AL97" s="16" t="e">
        <f t="shared" si="98"/>
        <v>#REF!</v>
      </c>
      <c r="AM97" s="14" t="e">
        <f>#REF!</f>
        <v>#REF!</v>
      </c>
      <c r="AN97" s="15" t="e">
        <f>#REF!</f>
        <v>#REF!</v>
      </c>
      <c r="AO97" s="16" t="e">
        <f>#REF!</f>
        <v>#REF!</v>
      </c>
      <c r="AP97" s="16" t="e">
        <f t="shared" si="99"/>
        <v>#REF!</v>
      </c>
      <c r="AQ97" s="14" t="e">
        <f>#REF!</f>
        <v>#REF!</v>
      </c>
      <c r="AR97" s="15" t="e">
        <f>#REF!</f>
        <v>#REF!</v>
      </c>
      <c r="AS97" s="16" t="e">
        <f>#REF!</f>
        <v>#REF!</v>
      </c>
      <c r="AT97" s="16" t="e">
        <f t="shared" si="100"/>
        <v>#REF!</v>
      </c>
      <c r="AU97" s="14" t="e">
        <f>#REF!</f>
        <v>#REF!</v>
      </c>
      <c r="AV97" s="15" t="e">
        <f>#REF!</f>
        <v>#REF!</v>
      </c>
      <c r="AW97" s="16" t="e">
        <f>#REF!</f>
        <v>#REF!</v>
      </c>
      <c r="AX97" s="16" t="e">
        <f t="shared" si="101"/>
        <v>#REF!</v>
      </c>
      <c r="AY97" s="14" t="e">
        <f>#REF!</f>
        <v>#REF!</v>
      </c>
      <c r="AZ97" s="15" t="e">
        <f>#REF!</f>
        <v>#REF!</v>
      </c>
      <c r="BA97" s="16" t="e">
        <f>#REF!</f>
        <v>#REF!</v>
      </c>
      <c r="BB97" s="16" t="e">
        <f t="shared" si="102"/>
        <v>#REF!</v>
      </c>
      <c r="BC97" s="14" t="e">
        <f>#REF!</f>
        <v>#REF!</v>
      </c>
      <c r="BD97" s="15" t="e">
        <f>#REF!</f>
        <v>#REF!</v>
      </c>
      <c r="BE97" s="16" t="e">
        <f>#REF!</f>
        <v>#REF!</v>
      </c>
      <c r="BF97" s="16" t="e">
        <f t="shared" si="103"/>
        <v>#REF!</v>
      </c>
      <c r="BG97" s="14" t="e">
        <f>#REF!</f>
        <v>#REF!</v>
      </c>
      <c r="BH97" s="15" t="e">
        <f>#REF!</f>
        <v>#REF!</v>
      </c>
      <c r="BI97" s="16" t="e">
        <f>#REF!</f>
        <v>#REF!</v>
      </c>
      <c r="BJ97" s="16" t="e">
        <f t="shared" si="104"/>
        <v>#REF!</v>
      </c>
      <c r="BK97" s="14" t="e">
        <f>#REF!</f>
        <v>#REF!</v>
      </c>
      <c r="BL97" s="15" t="e">
        <f>#REF!</f>
        <v>#REF!</v>
      </c>
      <c r="BM97" s="16" t="e">
        <f>#REF!</f>
        <v>#REF!</v>
      </c>
      <c r="BN97" s="16" t="e">
        <f t="shared" si="105"/>
        <v>#REF!</v>
      </c>
      <c r="BO97" s="14" t="e">
        <f>#REF!</f>
        <v>#REF!</v>
      </c>
      <c r="BP97" s="15" t="e">
        <f>#REF!</f>
        <v>#REF!</v>
      </c>
      <c r="BQ97" s="16" t="e">
        <f>#REF!</f>
        <v>#REF!</v>
      </c>
      <c r="BR97" s="16" t="e">
        <f t="shared" si="106"/>
        <v>#REF!</v>
      </c>
      <c r="BS97" s="14" t="e">
        <f>#REF!</f>
        <v>#REF!</v>
      </c>
      <c r="BT97" s="67" t="e">
        <f t="shared" si="107"/>
        <v>#REF!</v>
      </c>
      <c r="BU97" s="66" t="e">
        <f t="shared" si="108"/>
        <v>#REF!</v>
      </c>
      <c r="BV97" s="66" t="e">
        <f t="shared" si="108"/>
        <v>#REF!</v>
      </c>
      <c r="BW97" s="66" t="e">
        <f t="shared" si="109"/>
        <v>#REF!</v>
      </c>
      <c r="BX97" s="66" t="e">
        <f t="shared" si="110"/>
        <v>#REF!</v>
      </c>
      <c r="BY97" s="91" t="e">
        <f t="shared" si="111"/>
        <v>#REF!</v>
      </c>
    </row>
    <row r="98" spans="1:77" x14ac:dyDescent="0.35">
      <c r="A98" s="52" t="e">
        <f>#REF!</f>
        <v>#REF!</v>
      </c>
      <c r="B98" s="148"/>
      <c r="C98" s="17" t="s">
        <v>29</v>
      </c>
      <c r="D98" s="18" t="e">
        <f>#REF!</f>
        <v>#REF!</v>
      </c>
      <c r="E98" s="19" t="e">
        <f>#REF!</f>
        <v>#REF!</v>
      </c>
      <c r="F98" s="19" t="e">
        <f t="shared" si="90"/>
        <v>#REF!</v>
      </c>
      <c r="G98" s="17" t="e">
        <f>#REF!</f>
        <v>#REF!</v>
      </c>
      <c r="H98" s="18" t="e">
        <f>#REF!</f>
        <v>#REF!</v>
      </c>
      <c r="I98" s="19" t="e">
        <f>#REF!</f>
        <v>#REF!</v>
      </c>
      <c r="J98" s="19" t="e">
        <f t="shared" si="91"/>
        <v>#REF!</v>
      </c>
      <c r="K98" s="17" t="e">
        <f>#REF!</f>
        <v>#REF!</v>
      </c>
      <c r="L98" s="18" t="e">
        <f>#REF!</f>
        <v>#REF!</v>
      </c>
      <c r="M98" s="19" t="e">
        <f>#REF!</f>
        <v>#REF!</v>
      </c>
      <c r="N98" s="19" t="e">
        <f t="shared" si="92"/>
        <v>#REF!</v>
      </c>
      <c r="O98" s="17" t="e">
        <f>#REF!</f>
        <v>#REF!</v>
      </c>
      <c r="P98" s="18" t="e">
        <f>#REF!</f>
        <v>#REF!</v>
      </c>
      <c r="Q98" s="19" t="e">
        <f>#REF!</f>
        <v>#REF!</v>
      </c>
      <c r="R98" s="19" t="e">
        <f t="shared" si="93"/>
        <v>#REF!</v>
      </c>
      <c r="S98" s="17" t="e">
        <f>#REF!</f>
        <v>#REF!</v>
      </c>
      <c r="T98" s="18" t="e">
        <f>#REF!</f>
        <v>#REF!</v>
      </c>
      <c r="U98" s="19" t="e">
        <f>#REF!</f>
        <v>#REF!</v>
      </c>
      <c r="V98" s="19" t="e">
        <f t="shared" si="94"/>
        <v>#REF!</v>
      </c>
      <c r="W98" s="17" t="e">
        <f>#REF!</f>
        <v>#REF!</v>
      </c>
      <c r="X98" s="18" t="e">
        <f>#REF!</f>
        <v>#REF!</v>
      </c>
      <c r="Y98" s="19" t="e">
        <f>#REF!</f>
        <v>#REF!</v>
      </c>
      <c r="Z98" s="19" t="e">
        <f t="shared" si="95"/>
        <v>#REF!</v>
      </c>
      <c r="AA98" s="17" t="e">
        <f>#REF!</f>
        <v>#REF!</v>
      </c>
      <c r="AB98" s="18" t="e">
        <f>#REF!</f>
        <v>#REF!</v>
      </c>
      <c r="AC98" s="19" t="e">
        <f>#REF!</f>
        <v>#REF!</v>
      </c>
      <c r="AD98" s="19" t="e">
        <f t="shared" si="96"/>
        <v>#REF!</v>
      </c>
      <c r="AE98" s="17" t="e">
        <f>#REF!</f>
        <v>#REF!</v>
      </c>
      <c r="AF98" s="18" t="e">
        <f>#REF!</f>
        <v>#REF!</v>
      </c>
      <c r="AG98" s="19" t="e">
        <f>#REF!</f>
        <v>#REF!</v>
      </c>
      <c r="AH98" s="19" t="e">
        <f t="shared" si="97"/>
        <v>#REF!</v>
      </c>
      <c r="AI98" s="17" t="e">
        <f>#REF!</f>
        <v>#REF!</v>
      </c>
      <c r="AJ98" s="18" t="e">
        <f>#REF!</f>
        <v>#REF!</v>
      </c>
      <c r="AK98" s="19" t="e">
        <f>#REF!</f>
        <v>#REF!</v>
      </c>
      <c r="AL98" s="19" t="e">
        <f t="shared" si="98"/>
        <v>#REF!</v>
      </c>
      <c r="AM98" s="17" t="e">
        <f>#REF!</f>
        <v>#REF!</v>
      </c>
      <c r="AN98" s="18" t="e">
        <f>#REF!</f>
        <v>#REF!</v>
      </c>
      <c r="AO98" s="19" t="e">
        <f>#REF!</f>
        <v>#REF!</v>
      </c>
      <c r="AP98" s="19" t="e">
        <f t="shared" si="99"/>
        <v>#REF!</v>
      </c>
      <c r="AQ98" s="17" t="e">
        <f>#REF!</f>
        <v>#REF!</v>
      </c>
      <c r="AR98" s="18" t="e">
        <f>#REF!</f>
        <v>#REF!</v>
      </c>
      <c r="AS98" s="19" t="e">
        <f>#REF!</f>
        <v>#REF!</v>
      </c>
      <c r="AT98" s="19" t="e">
        <f t="shared" si="100"/>
        <v>#REF!</v>
      </c>
      <c r="AU98" s="17" t="e">
        <f>#REF!</f>
        <v>#REF!</v>
      </c>
      <c r="AV98" s="18" t="e">
        <f>#REF!</f>
        <v>#REF!</v>
      </c>
      <c r="AW98" s="19" t="e">
        <f>#REF!</f>
        <v>#REF!</v>
      </c>
      <c r="AX98" s="19" t="e">
        <f t="shared" si="101"/>
        <v>#REF!</v>
      </c>
      <c r="AY98" s="17" t="e">
        <f>#REF!</f>
        <v>#REF!</v>
      </c>
      <c r="AZ98" s="18" t="e">
        <f>#REF!</f>
        <v>#REF!</v>
      </c>
      <c r="BA98" s="19" t="e">
        <f>#REF!</f>
        <v>#REF!</v>
      </c>
      <c r="BB98" s="19" t="e">
        <f t="shared" si="102"/>
        <v>#REF!</v>
      </c>
      <c r="BC98" s="17" t="e">
        <f>#REF!</f>
        <v>#REF!</v>
      </c>
      <c r="BD98" s="18" t="e">
        <f>#REF!</f>
        <v>#REF!</v>
      </c>
      <c r="BE98" s="19" t="e">
        <f>#REF!</f>
        <v>#REF!</v>
      </c>
      <c r="BF98" s="19" t="e">
        <f t="shared" si="103"/>
        <v>#REF!</v>
      </c>
      <c r="BG98" s="17" t="e">
        <f>#REF!</f>
        <v>#REF!</v>
      </c>
      <c r="BH98" s="18" t="e">
        <f>#REF!</f>
        <v>#REF!</v>
      </c>
      <c r="BI98" s="19" t="e">
        <f>#REF!</f>
        <v>#REF!</v>
      </c>
      <c r="BJ98" s="19" t="e">
        <f t="shared" si="104"/>
        <v>#REF!</v>
      </c>
      <c r="BK98" s="17" t="e">
        <f>#REF!</f>
        <v>#REF!</v>
      </c>
      <c r="BL98" s="18" t="e">
        <f>#REF!</f>
        <v>#REF!</v>
      </c>
      <c r="BM98" s="19" t="e">
        <f>#REF!</f>
        <v>#REF!</v>
      </c>
      <c r="BN98" s="19" t="e">
        <f t="shared" si="105"/>
        <v>#REF!</v>
      </c>
      <c r="BO98" s="17" t="e">
        <f>#REF!</f>
        <v>#REF!</v>
      </c>
      <c r="BP98" s="18" t="e">
        <f>#REF!</f>
        <v>#REF!</v>
      </c>
      <c r="BQ98" s="19" t="e">
        <f>#REF!</f>
        <v>#REF!</v>
      </c>
      <c r="BR98" s="19" t="e">
        <f t="shared" si="106"/>
        <v>#REF!</v>
      </c>
      <c r="BS98" s="17" t="e">
        <f>#REF!</f>
        <v>#REF!</v>
      </c>
      <c r="BT98" s="69" t="e">
        <f t="shared" si="107"/>
        <v>#REF!</v>
      </c>
      <c r="BU98" s="68" t="e">
        <f t="shared" si="108"/>
        <v>#REF!</v>
      </c>
      <c r="BV98" s="68" t="e">
        <f t="shared" si="108"/>
        <v>#REF!</v>
      </c>
      <c r="BW98" s="68" t="e">
        <f t="shared" si="109"/>
        <v>#REF!</v>
      </c>
      <c r="BX98" s="68" t="e">
        <f t="shared" si="110"/>
        <v>#REF!</v>
      </c>
      <c r="BY98" s="92" t="e">
        <f t="shared" si="111"/>
        <v>#REF!</v>
      </c>
    </row>
    <row r="99" spans="1:77" x14ac:dyDescent="0.35">
      <c r="A99" s="53" t="e">
        <f>#REF!</f>
        <v>#REF!</v>
      </c>
      <c r="B99" s="148"/>
      <c r="C99" s="20" t="s">
        <v>30</v>
      </c>
      <c r="D99" s="21" t="e">
        <f>#REF!</f>
        <v>#REF!</v>
      </c>
      <c r="E99" s="22" t="e">
        <f>#REF!</f>
        <v>#REF!</v>
      </c>
      <c r="F99" s="22" t="e">
        <f t="shared" si="90"/>
        <v>#REF!</v>
      </c>
      <c r="G99" s="20" t="e">
        <f>#REF!</f>
        <v>#REF!</v>
      </c>
      <c r="H99" s="21" t="e">
        <f>#REF!</f>
        <v>#REF!</v>
      </c>
      <c r="I99" s="22" t="e">
        <f>#REF!</f>
        <v>#REF!</v>
      </c>
      <c r="J99" s="22" t="e">
        <f t="shared" si="91"/>
        <v>#REF!</v>
      </c>
      <c r="K99" s="20" t="e">
        <f>#REF!</f>
        <v>#REF!</v>
      </c>
      <c r="L99" s="21" t="e">
        <f>#REF!</f>
        <v>#REF!</v>
      </c>
      <c r="M99" s="22" t="e">
        <f>#REF!</f>
        <v>#REF!</v>
      </c>
      <c r="N99" s="22" t="e">
        <f t="shared" si="92"/>
        <v>#REF!</v>
      </c>
      <c r="O99" s="20" t="e">
        <f>#REF!</f>
        <v>#REF!</v>
      </c>
      <c r="P99" s="21" t="e">
        <f>#REF!</f>
        <v>#REF!</v>
      </c>
      <c r="Q99" s="22" t="e">
        <f>#REF!</f>
        <v>#REF!</v>
      </c>
      <c r="R99" s="22" t="e">
        <f t="shared" si="93"/>
        <v>#REF!</v>
      </c>
      <c r="S99" s="20" t="e">
        <f>#REF!</f>
        <v>#REF!</v>
      </c>
      <c r="T99" s="21" t="e">
        <f>#REF!</f>
        <v>#REF!</v>
      </c>
      <c r="U99" s="22" t="e">
        <f>#REF!</f>
        <v>#REF!</v>
      </c>
      <c r="V99" s="22" t="e">
        <f t="shared" si="94"/>
        <v>#REF!</v>
      </c>
      <c r="W99" s="20" t="e">
        <f>#REF!</f>
        <v>#REF!</v>
      </c>
      <c r="X99" s="21" t="e">
        <f>#REF!</f>
        <v>#REF!</v>
      </c>
      <c r="Y99" s="22" t="e">
        <f>#REF!</f>
        <v>#REF!</v>
      </c>
      <c r="Z99" s="22" t="e">
        <f t="shared" si="95"/>
        <v>#REF!</v>
      </c>
      <c r="AA99" s="20" t="e">
        <f>#REF!</f>
        <v>#REF!</v>
      </c>
      <c r="AB99" s="21" t="e">
        <f>#REF!</f>
        <v>#REF!</v>
      </c>
      <c r="AC99" s="22" t="e">
        <f>#REF!</f>
        <v>#REF!</v>
      </c>
      <c r="AD99" s="22" t="e">
        <f t="shared" si="96"/>
        <v>#REF!</v>
      </c>
      <c r="AE99" s="20" t="e">
        <f>#REF!</f>
        <v>#REF!</v>
      </c>
      <c r="AF99" s="21" t="e">
        <f>#REF!</f>
        <v>#REF!</v>
      </c>
      <c r="AG99" s="22" t="e">
        <f>#REF!</f>
        <v>#REF!</v>
      </c>
      <c r="AH99" s="22" t="e">
        <f t="shared" si="97"/>
        <v>#REF!</v>
      </c>
      <c r="AI99" s="20" t="e">
        <f>#REF!</f>
        <v>#REF!</v>
      </c>
      <c r="AJ99" s="21" t="e">
        <f>#REF!</f>
        <v>#REF!</v>
      </c>
      <c r="AK99" s="22" t="e">
        <f>#REF!</f>
        <v>#REF!</v>
      </c>
      <c r="AL99" s="22" t="e">
        <f t="shared" si="98"/>
        <v>#REF!</v>
      </c>
      <c r="AM99" s="20" t="e">
        <f>#REF!</f>
        <v>#REF!</v>
      </c>
      <c r="AN99" s="21" t="e">
        <f>#REF!</f>
        <v>#REF!</v>
      </c>
      <c r="AO99" s="22" t="e">
        <f>#REF!</f>
        <v>#REF!</v>
      </c>
      <c r="AP99" s="22" t="e">
        <f t="shared" si="99"/>
        <v>#REF!</v>
      </c>
      <c r="AQ99" s="20" t="e">
        <f>#REF!</f>
        <v>#REF!</v>
      </c>
      <c r="AR99" s="21" t="e">
        <f>#REF!</f>
        <v>#REF!</v>
      </c>
      <c r="AS99" s="22" t="e">
        <f>#REF!</f>
        <v>#REF!</v>
      </c>
      <c r="AT99" s="22" t="e">
        <f t="shared" si="100"/>
        <v>#REF!</v>
      </c>
      <c r="AU99" s="20" t="e">
        <f>#REF!</f>
        <v>#REF!</v>
      </c>
      <c r="AV99" s="21" t="e">
        <f>#REF!</f>
        <v>#REF!</v>
      </c>
      <c r="AW99" s="22" t="e">
        <f>#REF!</f>
        <v>#REF!</v>
      </c>
      <c r="AX99" s="22" t="e">
        <f t="shared" si="101"/>
        <v>#REF!</v>
      </c>
      <c r="AY99" s="20" t="e">
        <f>#REF!</f>
        <v>#REF!</v>
      </c>
      <c r="AZ99" s="21" t="e">
        <f>#REF!</f>
        <v>#REF!</v>
      </c>
      <c r="BA99" s="22" t="e">
        <f>#REF!</f>
        <v>#REF!</v>
      </c>
      <c r="BB99" s="22" t="e">
        <f t="shared" si="102"/>
        <v>#REF!</v>
      </c>
      <c r="BC99" s="20" t="e">
        <f>#REF!</f>
        <v>#REF!</v>
      </c>
      <c r="BD99" s="21" t="e">
        <f>#REF!</f>
        <v>#REF!</v>
      </c>
      <c r="BE99" s="22" t="e">
        <f>#REF!</f>
        <v>#REF!</v>
      </c>
      <c r="BF99" s="22" t="e">
        <f t="shared" si="103"/>
        <v>#REF!</v>
      </c>
      <c r="BG99" s="20" t="e">
        <f>#REF!</f>
        <v>#REF!</v>
      </c>
      <c r="BH99" s="21" t="e">
        <f>#REF!</f>
        <v>#REF!</v>
      </c>
      <c r="BI99" s="22" t="e">
        <f>#REF!</f>
        <v>#REF!</v>
      </c>
      <c r="BJ99" s="22" t="e">
        <f t="shared" si="104"/>
        <v>#REF!</v>
      </c>
      <c r="BK99" s="20" t="e">
        <f>#REF!</f>
        <v>#REF!</v>
      </c>
      <c r="BL99" s="21" t="e">
        <f>#REF!</f>
        <v>#REF!</v>
      </c>
      <c r="BM99" s="22" t="e">
        <f>#REF!</f>
        <v>#REF!</v>
      </c>
      <c r="BN99" s="22" t="e">
        <f t="shared" si="105"/>
        <v>#REF!</v>
      </c>
      <c r="BO99" s="20" t="e">
        <f>#REF!</f>
        <v>#REF!</v>
      </c>
      <c r="BP99" s="21" t="e">
        <f>#REF!</f>
        <v>#REF!</v>
      </c>
      <c r="BQ99" s="22" t="e">
        <f>#REF!</f>
        <v>#REF!</v>
      </c>
      <c r="BR99" s="22" t="e">
        <f t="shared" si="106"/>
        <v>#REF!</v>
      </c>
      <c r="BS99" s="20" t="e">
        <f>#REF!</f>
        <v>#REF!</v>
      </c>
      <c r="BT99" s="71" t="e">
        <f t="shared" si="107"/>
        <v>#REF!</v>
      </c>
      <c r="BU99" s="70" t="e">
        <f t="shared" si="108"/>
        <v>#REF!</v>
      </c>
      <c r="BV99" s="70" t="e">
        <f t="shared" si="108"/>
        <v>#REF!</v>
      </c>
      <c r="BW99" s="70" t="e">
        <f t="shared" si="109"/>
        <v>#REF!</v>
      </c>
      <c r="BX99" s="70" t="e">
        <f t="shared" si="110"/>
        <v>#REF!</v>
      </c>
      <c r="BY99" s="93" t="e">
        <f t="shared" si="111"/>
        <v>#REF!</v>
      </c>
    </row>
    <row r="100" spans="1:77" x14ac:dyDescent="0.35">
      <c r="A100" s="54" t="e">
        <f>#REF!</f>
        <v>#REF!</v>
      </c>
      <c r="B100" s="148"/>
      <c r="C100" s="23" t="s">
        <v>31</v>
      </c>
      <c r="D100" s="24" t="e">
        <f>#REF!</f>
        <v>#REF!</v>
      </c>
      <c r="E100" s="25" t="e">
        <f>#REF!</f>
        <v>#REF!</v>
      </c>
      <c r="F100" s="25" t="e">
        <f t="shared" si="90"/>
        <v>#REF!</v>
      </c>
      <c r="G100" s="23" t="e">
        <f>#REF!</f>
        <v>#REF!</v>
      </c>
      <c r="H100" s="24" t="e">
        <f>#REF!</f>
        <v>#REF!</v>
      </c>
      <c r="I100" s="25" t="e">
        <f>#REF!</f>
        <v>#REF!</v>
      </c>
      <c r="J100" s="25" t="e">
        <f t="shared" si="91"/>
        <v>#REF!</v>
      </c>
      <c r="K100" s="23" t="e">
        <f>#REF!</f>
        <v>#REF!</v>
      </c>
      <c r="L100" s="24" t="e">
        <f>#REF!</f>
        <v>#REF!</v>
      </c>
      <c r="M100" s="25" t="e">
        <f>#REF!</f>
        <v>#REF!</v>
      </c>
      <c r="N100" s="25" t="e">
        <f t="shared" si="92"/>
        <v>#REF!</v>
      </c>
      <c r="O100" s="23" t="e">
        <f>#REF!</f>
        <v>#REF!</v>
      </c>
      <c r="P100" s="24" t="e">
        <f>#REF!</f>
        <v>#REF!</v>
      </c>
      <c r="Q100" s="25" t="e">
        <f>#REF!</f>
        <v>#REF!</v>
      </c>
      <c r="R100" s="25" t="e">
        <f t="shared" si="93"/>
        <v>#REF!</v>
      </c>
      <c r="S100" s="23" t="e">
        <f>#REF!</f>
        <v>#REF!</v>
      </c>
      <c r="T100" s="24" t="e">
        <f>#REF!</f>
        <v>#REF!</v>
      </c>
      <c r="U100" s="25" t="e">
        <f>#REF!</f>
        <v>#REF!</v>
      </c>
      <c r="V100" s="25" t="e">
        <f t="shared" si="94"/>
        <v>#REF!</v>
      </c>
      <c r="W100" s="23" t="e">
        <f>#REF!</f>
        <v>#REF!</v>
      </c>
      <c r="X100" s="24" t="e">
        <f>#REF!</f>
        <v>#REF!</v>
      </c>
      <c r="Y100" s="25" t="e">
        <f>#REF!</f>
        <v>#REF!</v>
      </c>
      <c r="Z100" s="25" t="e">
        <f t="shared" si="95"/>
        <v>#REF!</v>
      </c>
      <c r="AA100" s="23" t="e">
        <f>#REF!</f>
        <v>#REF!</v>
      </c>
      <c r="AB100" s="24" t="e">
        <f>#REF!</f>
        <v>#REF!</v>
      </c>
      <c r="AC100" s="25" t="e">
        <f>#REF!</f>
        <v>#REF!</v>
      </c>
      <c r="AD100" s="25" t="e">
        <f t="shared" si="96"/>
        <v>#REF!</v>
      </c>
      <c r="AE100" s="23" t="e">
        <f>#REF!</f>
        <v>#REF!</v>
      </c>
      <c r="AF100" s="24" t="e">
        <f>#REF!</f>
        <v>#REF!</v>
      </c>
      <c r="AG100" s="25" t="e">
        <f>#REF!</f>
        <v>#REF!</v>
      </c>
      <c r="AH100" s="25" t="e">
        <f t="shared" si="97"/>
        <v>#REF!</v>
      </c>
      <c r="AI100" s="23" t="e">
        <f>#REF!</f>
        <v>#REF!</v>
      </c>
      <c r="AJ100" s="24" t="e">
        <f>#REF!</f>
        <v>#REF!</v>
      </c>
      <c r="AK100" s="25" t="e">
        <f>#REF!</f>
        <v>#REF!</v>
      </c>
      <c r="AL100" s="25" t="e">
        <f t="shared" si="98"/>
        <v>#REF!</v>
      </c>
      <c r="AM100" s="23" t="e">
        <f>#REF!</f>
        <v>#REF!</v>
      </c>
      <c r="AN100" s="24" t="e">
        <f>#REF!</f>
        <v>#REF!</v>
      </c>
      <c r="AO100" s="25" t="e">
        <f>#REF!</f>
        <v>#REF!</v>
      </c>
      <c r="AP100" s="25" t="e">
        <f t="shared" si="99"/>
        <v>#REF!</v>
      </c>
      <c r="AQ100" s="23" t="e">
        <f>#REF!</f>
        <v>#REF!</v>
      </c>
      <c r="AR100" s="24" t="e">
        <f>#REF!</f>
        <v>#REF!</v>
      </c>
      <c r="AS100" s="25" t="e">
        <f>#REF!</f>
        <v>#REF!</v>
      </c>
      <c r="AT100" s="25" t="e">
        <f t="shared" si="100"/>
        <v>#REF!</v>
      </c>
      <c r="AU100" s="23" t="e">
        <f>#REF!</f>
        <v>#REF!</v>
      </c>
      <c r="AV100" s="24" t="e">
        <f>#REF!</f>
        <v>#REF!</v>
      </c>
      <c r="AW100" s="25" t="e">
        <f>#REF!</f>
        <v>#REF!</v>
      </c>
      <c r="AX100" s="25" t="e">
        <f t="shared" si="101"/>
        <v>#REF!</v>
      </c>
      <c r="AY100" s="23" t="e">
        <f>#REF!</f>
        <v>#REF!</v>
      </c>
      <c r="AZ100" s="24" t="e">
        <f>#REF!</f>
        <v>#REF!</v>
      </c>
      <c r="BA100" s="25" t="e">
        <f>#REF!</f>
        <v>#REF!</v>
      </c>
      <c r="BB100" s="25" t="e">
        <f t="shared" si="102"/>
        <v>#REF!</v>
      </c>
      <c r="BC100" s="23" t="e">
        <f>#REF!</f>
        <v>#REF!</v>
      </c>
      <c r="BD100" s="24" t="e">
        <f>#REF!</f>
        <v>#REF!</v>
      </c>
      <c r="BE100" s="25" t="e">
        <f>#REF!</f>
        <v>#REF!</v>
      </c>
      <c r="BF100" s="25" t="e">
        <f t="shared" si="103"/>
        <v>#REF!</v>
      </c>
      <c r="BG100" s="23" t="e">
        <f>#REF!</f>
        <v>#REF!</v>
      </c>
      <c r="BH100" s="24" t="e">
        <f>#REF!</f>
        <v>#REF!</v>
      </c>
      <c r="BI100" s="25" t="e">
        <f>#REF!</f>
        <v>#REF!</v>
      </c>
      <c r="BJ100" s="25" t="e">
        <f t="shared" si="104"/>
        <v>#REF!</v>
      </c>
      <c r="BK100" s="23" t="e">
        <f>#REF!</f>
        <v>#REF!</v>
      </c>
      <c r="BL100" s="24" t="e">
        <f>#REF!</f>
        <v>#REF!</v>
      </c>
      <c r="BM100" s="25" t="e">
        <f>#REF!</f>
        <v>#REF!</v>
      </c>
      <c r="BN100" s="25" t="e">
        <f t="shared" si="105"/>
        <v>#REF!</v>
      </c>
      <c r="BO100" s="23" t="e">
        <f>#REF!</f>
        <v>#REF!</v>
      </c>
      <c r="BP100" s="24" t="e">
        <f>#REF!</f>
        <v>#REF!</v>
      </c>
      <c r="BQ100" s="25" t="e">
        <f>#REF!</f>
        <v>#REF!</v>
      </c>
      <c r="BR100" s="25" t="e">
        <f t="shared" si="106"/>
        <v>#REF!</v>
      </c>
      <c r="BS100" s="23" t="e">
        <f>#REF!</f>
        <v>#REF!</v>
      </c>
      <c r="BT100" s="73" t="e">
        <f t="shared" si="107"/>
        <v>#REF!</v>
      </c>
      <c r="BU100" s="72" t="e">
        <f t="shared" si="108"/>
        <v>#REF!</v>
      </c>
      <c r="BV100" s="72" t="e">
        <f t="shared" si="108"/>
        <v>#REF!</v>
      </c>
      <c r="BW100" s="72" t="e">
        <f t="shared" si="109"/>
        <v>#REF!</v>
      </c>
      <c r="BX100" s="72" t="e">
        <f t="shared" si="110"/>
        <v>#REF!</v>
      </c>
      <c r="BY100" s="94" t="e">
        <f t="shared" si="111"/>
        <v>#REF!</v>
      </c>
    </row>
    <row r="101" spans="1:77" x14ac:dyDescent="0.35">
      <c r="A101" s="55" t="e">
        <f>#REF!</f>
        <v>#REF!</v>
      </c>
      <c r="B101" s="148"/>
      <c r="C101" s="26" t="s">
        <v>32</v>
      </c>
      <c r="D101" s="27" t="e">
        <f>#REF!</f>
        <v>#REF!</v>
      </c>
      <c r="E101" s="28" t="e">
        <f>#REF!</f>
        <v>#REF!</v>
      </c>
      <c r="F101" s="28" t="e">
        <f t="shared" si="90"/>
        <v>#REF!</v>
      </c>
      <c r="G101" s="26" t="e">
        <f>#REF!</f>
        <v>#REF!</v>
      </c>
      <c r="H101" s="27" t="e">
        <f>#REF!</f>
        <v>#REF!</v>
      </c>
      <c r="I101" s="27" t="e">
        <f>#REF!</f>
        <v>#REF!</v>
      </c>
      <c r="J101" s="27" t="e">
        <f t="shared" si="91"/>
        <v>#REF!</v>
      </c>
      <c r="K101" s="26" t="e">
        <f>#REF!</f>
        <v>#REF!</v>
      </c>
      <c r="L101" s="27" t="e">
        <f>#REF!</f>
        <v>#REF!</v>
      </c>
      <c r="M101" s="27" t="e">
        <f>#REF!</f>
        <v>#REF!</v>
      </c>
      <c r="N101" s="27" t="e">
        <f t="shared" si="92"/>
        <v>#REF!</v>
      </c>
      <c r="O101" s="26" t="e">
        <f>#REF!</f>
        <v>#REF!</v>
      </c>
      <c r="P101" s="27" t="e">
        <f>#REF!</f>
        <v>#REF!</v>
      </c>
      <c r="Q101" s="28" t="e">
        <f>#REF!</f>
        <v>#REF!</v>
      </c>
      <c r="R101" s="28" t="e">
        <f t="shared" si="93"/>
        <v>#REF!</v>
      </c>
      <c r="S101" s="26" t="e">
        <f>#REF!</f>
        <v>#REF!</v>
      </c>
      <c r="T101" s="27" t="e">
        <f>#REF!</f>
        <v>#REF!</v>
      </c>
      <c r="U101" s="28" t="e">
        <f>#REF!</f>
        <v>#REF!</v>
      </c>
      <c r="V101" s="28" t="e">
        <f t="shared" si="94"/>
        <v>#REF!</v>
      </c>
      <c r="W101" s="26" t="e">
        <f>#REF!</f>
        <v>#REF!</v>
      </c>
      <c r="X101" s="27" t="e">
        <f>#REF!</f>
        <v>#REF!</v>
      </c>
      <c r="Y101" s="27" t="e">
        <f>#REF!</f>
        <v>#REF!</v>
      </c>
      <c r="Z101" s="27" t="e">
        <f t="shared" si="95"/>
        <v>#REF!</v>
      </c>
      <c r="AA101" s="26" t="e">
        <f>#REF!</f>
        <v>#REF!</v>
      </c>
      <c r="AB101" s="27" t="e">
        <f>#REF!</f>
        <v>#REF!</v>
      </c>
      <c r="AC101" s="27" t="e">
        <f>#REF!</f>
        <v>#REF!</v>
      </c>
      <c r="AD101" s="27" t="e">
        <f t="shared" si="96"/>
        <v>#REF!</v>
      </c>
      <c r="AE101" s="26" t="e">
        <f>#REF!</f>
        <v>#REF!</v>
      </c>
      <c r="AF101" s="27" t="e">
        <f>#REF!</f>
        <v>#REF!</v>
      </c>
      <c r="AG101" s="27" t="e">
        <f>#REF!</f>
        <v>#REF!</v>
      </c>
      <c r="AH101" s="27" t="e">
        <f t="shared" si="97"/>
        <v>#REF!</v>
      </c>
      <c r="AI101" s="26" t="e">
        <f>#REF!</f>
        <v>#REF!</v>
      </c>
      <c r="AJ101" s="27" t="e">
        <f>#REF!</f>
        <v>#REF!</v>
      </c>
      <c r="AK101" s="27" t="e">
        <f>#REF!</f>
        <v>#REF!</v>
      </c>
      <c r="AL101" s="27" t="e">
        <f t="shared" si="98"/>
        <v>#REF!</v>
      </c>
      <c r="AM101" s="26" t="e">
        <f>#REF!</f>
        <v>#REF!</v>
      </c>
      <c r="AN101" s="27" t="e">
        <f>#REF!</f>
        <v>#REF!</v>
      </c>
      <c r="AO101" s="27" t="e">
        <f>#REF!</f>
        <v>#REF!</v>
      </c>
      <c r="AP101" s="27" t="e">
        <f t="shared" si="99"/>
        <v>#REF!</v>
      </c>
      <c r="AQ101" s="26" t="e">
        <f>#REF!</f>
        <v>#REF!</v>
      </c>
      <c r="AR101" s="27" t="e">
        <f>#REF!</f>
        <v>#REF!</v>
      </c>
      <c r="AS101" s="28" t="e">
        <f>#REF!</f>
        <v>#REF!</v>
      </c>
      <c r="AT101" s="28" t="e">
        <f t="shared" si="100"/>
        <v>#REF!</v>
      </c>
      <c r="AU101" s="26" t="e">
        <f>#REF!</f>
        <v>#REF!</v>
      </c>
      <c r="AV101" s="27" t="e">
        <f>#REF!</f>
        <v>#REF!</v>
      </c>
      <c r="AW101" s="28" t="e">
        <f>#REF!</f>
        <v>#REF!</v>
      </c>
      <c r="AX101" s="28" t="e">
        <f t="shared" si="101"/>
        <v>#REF!</v>
      </c>
      <c r="AY101" s="26" t="e">
        <f>#REF!</f>
        <v>#REF!</v>
      </c>
      <c r="AZ101" s="27" t="e">
        <f>#REF!</f>
        <v>#REF!</v>
      </c>
      <c r="BA101" s="28" t="e">
        <f>#REF!</f>
        <v>#REF!</v>
      </c>
      <c r="BB101" s="28" t="e">
        <f t="shared" si="102"/>
        <v>#REF!</v>
      </c>
      <c r="BC101" s="26" t="e">
        <f>#REF!</f>
        <v>#REF!</v>
      </c>
      <c r="BD101" s="27" t="e">
        <f>#REF!</f>
        <v>#REF!</v>
      </c>
      <c r="BE101" s="28" t="e">
        <f>#REF!</f>
        <v>#REF!</v>
      </c>
      <c r="BF101" s="28" t="e">
        <f t="shared" si="103"/>
        <v>#REF!</v>
      </c>
      <c r="BG101" s="26" t="e">
        <f>#REF!</f>
        <v>#REF!</v>
      </c>
      <c r="BH101" s="27" t="e">
        <f>#REF!</f>
        <v>#REF!</v>
      </c>
      <c r="BI101" s="28" t="e">
        <f>#REF!</f>
        <v>#REF!</v>
      </c>
      <c r="BJ101" s="28" t="e">
        <f t="shared" si="104"/>
        <v>#REF!</v>
      </c>
      <c r="BK101" s="26" t="e">
        <f>#REF!</f>
        <v>#REF!</v>
      </c>
      <c r="BL101" s="27" t="e">
        <f>#REF!</f>
        <v>#REF!</v>
      </c>
      <c r="BM101" s="28" t="e">
        <f>#REF!</f>
        <v>#REF!</v>
      </c>
      <c r="BN101" s="28" t="e">
        <f t="shared" si="105"/>
        <v>#REF!</v>
      </c>
      <c r="BO101" s="26" t="e">
        <f>#REF!</f>
        <v>#REF!</v>
      </c>
      <c r="BP101" s="27" t="e">
        <f>#REF!</f>
        <v>#REF!</v>
      </c>
      <c r="BQ101" s="28" t="e">
        <f>#REF!</f>
        <v>#REF!</v>
      </c>
      <c r="BR101" s="28" t="e">
        <f t="shared" si="106"/>
        <v>#REF!</v>
      </c>
      <c r="BS101" s="26" t="e">
        <f>#REF!</f>
        <v>#REF!</v>
      </c>
      <c r="BT101" s="75" t="e">
        <f>SUM(E101,I101,M101,Q101,U101,Y101,AC101,AG101,AK101,AO101,AS101,AW101,BA101,BE101,BI101,BM101,BQ101)</f>
        <v>#REF!</v>
      </c>
      <c r="BU101" s="74" t="e">
        <f t="shared" si="108"/>
        <v>#REF!</v>
      </c>
      <c r="BV101" s="74" t="e">
        <f t="shared" si="108"/>
        <v>#REF!</v>
      </c>
      <c r="BW101" s="74" t="e">
        <f t="shared" si="109"/>
        <v>#REF!</v>
      </c>
      <c r="BX101" s="74" t="e">
        <f t="shared" si="110"/>
        <v>#REF!</v>
      </c>
      <c r="BY101" s="95" t="e">
        <f t="shared" si="111"/>
        <v>#REF!</v>
      </c>
    </row>
    <row r="102" spans="1:77" x14ac:dyDescent="0.35">
      <c r="A102" s="56" t="e">
        <f>#REF!</f>
        <v>#REF!</v>
      </c>
      <c r="B102" s="148"/>
      <c r="C102" s="29" t="s">
        <v>33</v>
      </c>
      <c r="D102" s="30" t="e">
        <f>#REF!</f>
        <v>#REF!</v>
      </c>
      <c r="E102" s="31" t="e">
        <f>#REF!</f>
        <v>#REF!</v>
      </c>
      <c r="F102" s="31" t="e">
        <f t="shared" si="90"/>
        <v>#REF!</v>
      </c>
      <c r="G102" s="29" t="e">
        <f>#REF!</f>
        <v>#REF!</v>
      </c>
      <c r="H102" s="30" t="e">
        <f>#REF!</f>
        <v>#REF!</v>
      </c>
      <c r="I102" s="31" t="e">
        <f>#REF!</f>
        <v>#REF!</v>
      </c>
      <c r="J102" s="31" t="e">
        <f t="shared" si="91"/>
        <v>#REF!</v>
      </c>
      <c r="K102" s="29" t="e">
        <f>#REF!</f>
        <v>#REF!</v>
      </c>
      <c r="L102" s="30" t="e">
        <f>#REF!</f>
        <v>#REF!</v>
      </c>
      <c r="M102" s="31" t="e">
        <f>#REF!</f>
        <v>#REF!</v>
      </c>
      <c r="N102" s="31" t="e">
        <f t="shared" si="92"/>
        <v>#REF!</v>
      </c>
      <c r="O102" s="29" t="e">
        <f>#REF!</f>
        <v>#REF!</v>
      </c>
      <c r="P102" s="30" t="e">
        <f>#REF!</f>
        <v>#REF!</v>
      </c>
      <c r="Q102" s="31" t="e">
        <f>#REF!</f>
        <v>#REF!</v>
      </c>
      <c r="R102" s="31" t="e">
        <f t="shared" si="93"/>
        <v>#REF!</v>
      </c>
      <c r="S102" s="29" t="e">
        <f>#REF!</f>
        <v>#REF!</v>
      </c>
      <c r="T102" s="30" t="e">
        <f>#REF!</f>
        <v>#REF!</v>
      </c>
      <c r="U102" s="31" t="e">
        <f>#REF!</f>
        <v>#REF!</v>
      </c>
      <c r="V102" s="31" t="e">
        <f t="shared" si="94"/>
        <v>#REF!</v>
      </c>
      <c r="W102" s="29" t="e">
        <f>#REF!</f>
        <v>#REF!</v>
      </c>
      <c r="X102" s="30" t="e">
        <f>#REF!</f>
        <v>#REF!</v>
      </c>
      <c r="Y102" s="31" t="e">
        <f>#REF!</f>
        <v>#REF!</v>
      </c>
      <c r="Z102" s="31" t="e">
        <f t="shared" si="95"/>
        <v>#REF!</v>
      </c>
      <c r="AA102" s="29" t="e">
        <f>#REF!</f>
        <v>#REF!</v>
      </c>
      <c r="AB102" s="30" t="e">
        <f>#REF!</f>
        <v>#REF!</v>
      </c>
      <c r="AC102" s="31" t="e">
        <f>#REF!</f>
        <v>#REF!</v>
      </c>
      <c r="AD102" s="31" t="e">
        <f t="shared" si="96"/>
        <v>#REF!</v>
      </c>
      <c r="AE102" s="29" t="e">
        <f>#REF!</f>
        <v>#REF!</v>
      </c>
      <c r="AF102" s="30" t="e">
        <f>#REF!</f>
        <v>#REF!</v>
      </c>
      <c r="AG102" s="31" t="e">
        <f>#REF!</f>
        <v>#REF!</v>
      </c>
      <c r="AH102" s="31" t="e">
        <f t="shared" si="97"/>
        <v>#REF!</v>
      </c>
      <c r="AI102" s="29" t="e">
        <f>#REF!</f>
        <v>#REF!</v>
      </c>
      <c r="AJ102" s="30" t="e">
        <f>#REF!</f>
        <v>#REF!</v>
      </c>
      <c r="AK102" s="31" t="e">
        <f>#REF!</f>
        <v>#REF!</v>
      </c>
      <c r="AL102" s="31" t="e">
        <f t="shared" si="98"/>
        <v>#REF!</v>
      </c>
      <c r="AM102" s="29" t="e">
        <f>#REF!</f>
        <v>#REF!</v>
      </c>
      <c r="AN102" s="30" t="e">
        <f>#REF!</f>
        <v>#REF!</v>
      </c>
      <c r="AO102" s="31" t="e">
        <f>#REF!</f>
        <v>#REF!</v>
      </c>
      <c r="AP102" s="31" t="e">
        <f t="shared" si="99"/>
        <v>#REF!</v>
      </c>
      <c r="AQ102" s="29" t="e">
        <f>#REF!</f>
        <v>#REF!</v>
      </c>
      <c r="AR102" s="30" t="e">
        <f>#REF!</f>
        <v>#REF!</v>
      </c>
      <c r="AS102" s="31" t="e">
        <f>#REF!</f>
        <v>#REF!</v>
      </c>
      <c r="AT102" s="31" t="e">
        <f t="shared" si="100"/>
        <v>#REF!</v>
      </c>
      <c r="AU102" s="29" t="e">
        <f>#REF!</f>
        <v>#REF!</v>
      </c>
      <c r="AV102" s="30" t="e">
        <f>#REF!</f>
        <v>#REF!</v>
      </c>
      <c r="AW102" s="31" t="e">
        <f>#REF!</f>
        <v>#REF!</v>
      </c>
      <c r="AX102" s="31" t="e">
        <f t="shared" si="101"/>
        <v>#REF!</v>
      </c>
      <c r="AY102" s="29" t="e">
        <f>#REF!</f>
        <v>#REF!</v>
      </c>
      <c r="AZ102" s="30" t="e">
        <f>#REF!</f>
        <v>#REF!</v>
      </c>
      <c r="BA102" s="31" t="e">
        <f>#REF!</f>
        <v>#REF!</v>
      </c>
      <c r="BB102" s="31" t="e">
        <f t="shared" si="102"/>
        <v>#REF!</v>
      </c>
      <c r="BC102" s="29" t="e">
        <f>#REF!</f>
        <v>#REF!</v>
      </c>
      <c r="BD102" s="30" t="e">
        <f>#REF!</f>
        <v>#REF!</v>
      </c>
      <c r="BE102" s="31" t="e">
        <f>#REF!</f>
        <v>#REF!</v>
      </c>
      <c r="BF102" s="31" t="e">
        <f t="shared" si="103"/>
        <v>#REF!</v>
      </c>
      <c r="BG102" s="29" t="e">
        <f>#REF!</f>
        <v>#REF!</v>
      </c>
      <c r="BH102" s="30" t="e">
        <f>#REF!</f>
        <v>#REF!</v>
      </c>
      <c r="BI102" s="31" t="e">
        <f>#REF!</f>
        <v>#REF!</v>
      </c>
      <c r="BJ102" s="31" t="e">
        <f t="shared" si="104"/>
        <v>#REF!</v>
      </c>
      <c r="BK102" s="29" t="e">
        <f>#REF!</f>
        <v>#REF!</v>
      </c>
      <c r="BL102" s="30" t="e">
        <f>#REF!</f>
        <v>#REF!</v>
      </c>
      <c r="BM102" s="31" t="e">
        <f>#REF!</f>
        <v>#REF!</v>
      </c>
      <c r="BN102" s="31" t="e">
        <f t="shared" si="105"/>
        <v>#REF!</v>
      </c>
      <c r="BO102" s="29" t="e">
        <f>#REF!</f>
        <v>#REF!</v>
      </c>
      <c r="BP102" s="30" t="e">
        <f>#REF!</f>
        <v>#REF!</v>
      </c>
      <c r="BQ102" s="31" t="e">
        <f>#REF!</f>
        <v>#REF!</v>
      </c>
      <c r="BR102" s="31" t="e">
        <f t="shared" si="106"/>
        <v>#REF!</v>
      </c>
      <c r="BS102" s="29" t="e">
        <f>#REF!</f>
        <v>#REF!</v>
      </c>
      <c r="BT102" s="77" t="e">
        <f t="shared" ref="BT102:BT105" si="112">SUM(E102,I102,M102,Q102,U102,Y102,AC102,AG102,AK102,AO102,AS102,AW102,BA102,BE102,BI102,BM102,BQ102)</f>
        <v>#REF!</v>
      </c>
      <c r="BU102" s="76" t="e">
        <f t="shared" si="108"/>
        <v>#REF!</v>
      </c>
      <c r="BV102" s="76" t="e">
        <f t="shared" si="108"/>
        <v>#REF!</v>
      </c>
      <c r="BW102" s="76" t="e">
        <f t="shared" si="109"/>
        <v>#REF!</v>
      </c>
      <c r="BX102" s="76" t="e">
        <f t="shared" si="110"/>
        <v>#REF!</v>
      </c>
      <c r="BY102" s="96" t="e">
        <f t="shared" si="111"/>
        <v>#REF!</v>
      </c>
    </row>
    <row r="103" spans="1:77" x14ac:dyDescent="0.35">
      <c r="A103" s="57" t="e">
        <f>#REF!</f>
        <v>#REF!</v>
      </c>
      <c r="B103" s="148"/>
      <c r="C103" s="32" t="s">
        <v>34</v>
      </c>
      <c r="D103" s="33" t="e">
        <f>#REF!</f>
        <v>#REF!</v>
      </c>
      <c r="E103" s="34" t="e">
        <f>#REF!</f>
        <v>#REF!</v>
      </c>
      <c r="F103" s="34" t="e">
        <f t="shared" si="90"/>
        <v>#REF!</v>
      </c>
      <c r="G103" s="32" t="e">
        <f>#REF!</f>
        <v>#REF!</v>
      </c>
      <c r="H103" s="33" t="e">
        <f>#REF!</f>
        <v>#REF!</v>
      </c>
      <c r="I103" s="34" t="e">
        <f>#REF!</f>
        <v>#REF!</v>
      </c>
      <c r="J103" s="34" t="e">
        <f t="shared" si="91"/>
        <v>#REF!</v>
      </c>
      <c r="K103" s="32" t="e">
        <f>#REF!</f>
        <v>#REF!</v>
      </c>
      <c r="L103" s="33" t="e">
        <f>#REF!</f>
        <v>#REF!</v>
      </c>
      <c r="M103" s="34" t="e">
        <f>#REF!</f>
        <v>#REF!</v>
      </c>
      <c r="N103" s="34" t="e">
        <f t="shared" si="92"/>
        <v>#REF!</v>
      </c>
      <c r="O103" s="32" t="e">
        <f>#REF!</f>
        <v>#REF!</v>
      </c>
      <c r="P103" s="33" t="e">
        <f>#REF!</f>
        <v>#REF!</v>
      </c>
      <c r="Q103" s="34" t="e">
        <f>#REF!</f>
        <v>#REF!</v>
      </c>
      <c r="R103" s="34" t="e">
        <f t="shared" si="93"/>
        <v>#REF!</v>
      </c>
      <c r="S103" s="32" t="e">
        <f>#REF!</f>
        <v>#REF!</v>
      </c>
      <c r="T103" s="33" t="e">
        <f>#REF!</f>
        <v>#REF!</v>
      </c>
      <c r="U103" s="34" t="e">
        <f>#REF!</f>
        <v>#REF!</v>
      </c>
      <c r="V103" s="34" t="e">
        <f t="shared" si="94"/>
        <v>#REF!</v>
      </c>
      <c r="W103" s="32" t="e">
        <f>#REF!</f>
        <v>#REF!</v>
      </c>
      <c r="X103" s="33" t="e">
        <f>#REF!</f>
        <v>#REF!</v>
      </c>
      <c r="Y103" s="34" t="e">
        <f>#REF!</f>
        <v>#REF!</v>
      </c>
      <c r="Z103" s="34" t="e">
        <f t="shared" si="95"/>
        <v>#REF!</v>
      </c>
      <c r="AA103" s="32" t="e">
        <f>#REF!</f>
        <v>#REF!</v>
      </c>
      <c r="AB103" s="33" t="e">
        <f>#REF!</f>
        <v>#REF!</v>
      </c>
      <c r="AC103" s="34" t="e">
        <f>#REF!</f>
        <v>#REF!</v>
      </c>
      <c r="AD103" s="34" t="e">
        <f t="shared" si="96"/>
        <v>#REF!</v>
      </c>
      <c r="AE103" s="32" t="e">
        <f>#REF!</f>
        <v>#REF!</v>
      </c>
      <c r="AF103" s="33" t="e">
        <f>#REF!</f>
        <v>#REF!</v>
      </c>
      <c r="AG103" s="34" t="e">
        <f>#REF!</f>
        <v>#REF!</v>
      </c>
      <c r="AH103" s="34" t="e">
        <f t="shared" si="97"/>
        <v>#REF!</v>
      </c>
      <c r="AI103" s="32" t="e">
        <f>#REF!</f>
        <v>#REF!</v>
      </c>
      <c r="AJ103" s="33" t="e">
        <f>#REF!</f>
        <v>#REF!</v>
      </c>
      <c r="AK103" s="34" t="e">
        <f>#REF!</f>
        <v>#REF!</v>
      </c>
      <c r="AL103" s="34" t="e">
        <f t="shared" si="98"/>
        <v>#REF!</v>
      </c>
      <c r="AM103" s="32" t="e">
        <f>#REF!</f>
        <v>#REF!</v>
      </c>
      <c r="AN103" s="33" t="e">
        <f>#REF!</f>
        <v>#REF!</v>
      </c>
      <c r="AO103" s="34" t="e">
        <f>#REF!</f>
        <v>#REF!</v>
      </c>
      <c r="AP103" s="34" t="e">
        <f t="shared" si="99"/>
        <v>#REF!</v>
      </c>
      <c r="AQ103" s="32" t="e">
        <f>#REF!</f>
        <v>#REF!</v>
      </c>
      <c r="AR103" s="33" t="e">
        <f>#REF!</f>
        <v>#REF!</v>
      </c>
      <c r="AS103" s="34" t="e">
        <f>#REF!</f>
        <v>#REF!</v>
      </c>
      <c r="AT103" s="34" t="e">
        <f t="shared" si="100"/>
        <v>#REF!</v>
      </c>
      <c r="AU103" s="32" t="e">
        <f>#REF!</f>
        <v>#REF!</v>
      </c>
      <c r="AV103" s="33" t="e">
        <f>#REF!</f>
        <v>#REF!</v>
      </c>
      <c r="AW103" s="34" t="e">
        <f>#REF!</f>
        <v>#REF!</v>
      </c>
      <c r="AX103" s="34" t="e">
        <f t="shared" si="101"/>
        <v>#REF!</v>
      </c>
      <c r="AY103" s="32" t="e">
        <f>#REF!</f>
        <v>#REF!</v>
      </c>
      <c r="AZ103" s="33" t="e">
        <f>#REF!</f>
        <v>#REF!</v>
      </c>
      <c r="BA103" s="34" t="e">
        <f>#REF!</f>
        <v>#REF!</v>
      </c>
      <c r="BB103" s="34" t="e">
        <f t="shared" si="102"/>
        <v>#REF!</v>
      </c>
      <c r="BC103" s="32" t="e">
        <f>#REF!</f>
        <v>#REF!</v>
      </c>
      <c r="BD103" s="33" t="e">
        <f>#REF!</f>
        <v>#REF!</v>
      </c>
      <c r="BE103" s="34" t="e">
        <f>#REF!</f>
        <v>#REF!</v>
      </c>
      <c r="BF103" s="34" t="e">
        <f t="shared" si="103"/>
        <v>#REF!</v>
      </c>
      <c r="BG103" s="32" t="e">
        <f>#REF!</f>
        <v>#REF!</v>
      </c>
      <c r="BH103" s="33" t="e">
        <f>#REF!</f>
        <v>#REF!</v>
      </c>
      <c r="BI103" s="34" t="e">
        <f>#REF!</f>
        <v>#REF!</v>
      </c>
      <c r="BJ103" s="34" t="e">
        <f t="shared" si="104"/>
        <v>#REF!</v>
      </c>
      <c r="BK103" s="32" t="e">
        <f>#REF!</f>
        <v>#REF!</v>
      </c>
      <c r="BL103" s="33" t="e">
        <f>#REF!</f>
        <v>#REF!</v>
      </c>
      <c r="BM103" s="34" t="e">
        <f>#REF!</f>
        <v>#REF!</v>
      </c>
      <c r="BN103" s="34" t="e">
        <f t="shared" si="105"/>
        <v>#REF!</v>
      </c>
      <c r="BO103" s="32" t="e">
        <f>#REF!</f>
        <v>#REF!</v>
      </c>
      <c r="BP103" s="33" t="e">
        <f>#REF!</f>
        <v>#REF!</v>
      </c>
      <c r="BQ103" s="34" t="e">
        <f>#REF!</f>
        <v>#REF!</v>
      </c>
      <c r="BR103" s="34" t="e">
        <f t="shared" si="106"/>
        <v>#REF!</v>
      </c>
      <c r="BS103" s="32" t="e">
        <f>#REF!</f>
        <v>#REF!</v>
      </c>
      <c r="BT103" s="79" t="e">
        <f t="shared" si="112"/>
        <v>#REF!</v>
      </c>
      <c r="BU103" s="78" t="e">
        <f t="shared" si="108"/>
        <v>#REF!</v>
      </c>
      <c r="BV103" s="78" t="e">
        <f t="shared" si="108"/>
        <v>#REF!</v>
      </c>
      <c r="BW103" s="78" t="e">
        <f t="shared" si="109"/>
        <v>#REF!</v>
      </c>
      <c r="BX103" s="78" t="e">
        <f t="shared" si="110"/>
        <v>#REF!</v>
      </c>
      <c r="BY103" s="97" t="e">
        <f t="shared" si="111"/>
        <v>#REF!</v>
      </c>
    </row>
    <row r="104" spans="1:77" x14ac:dyDescent="0.35">
      <c r="A104" s="58" t="e">
        <f>#REF!</f>
        <v>#REF!</v>
      </c>
      <c r="B104" s="148"/>
      <c r="C104" s="35" t="s">
        <v>35</v>
      </c>
      <c r="D104" s="36" t="e">
        <f>#REF!</f>
        <v>#REF!</v>
      </c>
      <c r="E104" s="37" t="e">
        <f>#REF!</f>
        <v>#REF!</v>
      </c>
      <c r="F104" s="37" t="e">
        <f t="shared" si="90"/>
        <v>#REF!</v>
      </c>
      <c r="G104" s="35" t="e">
        <f>#REF!</f>
        <v>#REF!</v>
      </c>
      <c r="H104" s="36" t="e">
        <f>#REF!</f>
        <v>#REF!</v>
      </c>
      <c r="I104" s="37" t="e">
        <f>#REF!</f>
        <v>#REF!</v>
      </c>
      <c r="J104" s="37" t="e">
        <f t="shared" si="91"/>
        <v>#REF!</v>
      </c>
      <c r="K104" s="35" t="e">
        <f>#REF!</f>
        <v>#REF!</v>
      </c>
      <c r="L104" s="36" t="e">
        <f>#REF!</f>
        <v>#REF!</v>
      </c>
      <c r="M104" s="37" t="e">
        <f>#REF!</f>
        <v>#REF!</v>
      </c>
      <c r="N104" s="37" t="e">
        <f t="shared" si="92"/>
        <v>#REF!</v>
      </c>
      <c r="O104" s="35" t="e">
        <f>#REF!</f>
        <v>#REF!</v>
      </c>
      <c r="P104" s="36" t="e">
        <f>#REF!</f>
        <v>#REF!</v>
      </c>
      <c r="Q104" s="37" t="e">
        <f>#REF!</f>
        <v>#REF!</v>
      </c>
      <c r="R104" s="37" t="e">
        <f t="shared" si="93"/>
        <v>#REF!</v>
      </c>
      <c r="S104" s="35" t="e">
        <f>#REF!</f>
        <v>#REF!</v>
      </c>
      <c r="T104" s="36" t="e">
        <f>#REF!</f>
        <v>#REF!</v>
      </c>
      <c r="U104" s="37" t="e">
        <f>#REF!</f>
        <v>#REF!</v>
      </c>
      <c r="V104" s="37" t="e">
        <f t="shared" si="94"/>
        <v>#REF!</v>
      </c>
      <c r="W104" s="35" t="e">
        <f>#REF!</f>
        <v>#REF!</v>
      </c>
      <c r="X104" s="36" t="e">
        <f>#REF!</f>
        <v>#REF!</v>
      </c>
      <c r="Y104" s="37" t="e">
        <f>#REF!</f>
        <v>#REF!</v>
      </c>
      <c r="Z104" s="37" t="e">
        <f t="shared" si="95"/>
        <v>#REF!</v>
      </c>
      <c r="AA104" s="35" t="e">
        <f>#REF!</f>
        <v>#REF!</v>
      </c>
      <c r="AB104" s="36" t="e">
        <f>#REF!</f>
        <v>#REF!</v>
      </c>
      <c r="AC104" s="37" t="e">
        <f>#REF!</f>
        <v>#REF!</v>
      </c>
      <c r="AD104" s="37" t="e">
        <f t="shared" si="96"/>
        <v>#REF!</v>
      </c>
      <c r="AE104" s="35" t="e">
        <f>#REF!</f>
        <v>#REF!</v>
      </c>
      <c r="AF104" s="36" t="e">
        <f>#REF!</f>
        <v>#REF!</v>
      </c>
      <c r="AG104" s="37" t="e">
        <f>#REF!</f>
        <v>#REF!</v>
      </c>
      <c r="AH104" s="37" t="e">
        <f t="shared" si="97"/>
        <v>#REF!</v>
      </c>
      <c r="AI104" s="35" t="e">
        <f>#REF!</f>
        <v>#REF!</v>
      </c>
      <c r="AJ104" s="36" t="e">
        <f>#REF!</f>
        <v>#REF!</v>
      </c>
      <c r="AK104" s="37" t="e">
        <f>#REF!</f>
        <v>#REF!</v>
      </c>
      <c r="AL104" s="37" t="e">
        <f t="shared" si="98"/>
        <v>#REF!</v>
      </c>
      <c r="AM104" s="35" t="e">
        <f>#REF!</f>
        <v>#REF!</v>
      </c>
      <c r="AN104" s="36" t="e">
        <f>#REF!</f>
        <v>#REF!</v>
      </c>
      <c r="AO104" s="37" t="e">
        <f>#REF!</f>
        <v>#REF!</v>
      </c>
      <c r="AP104" s="37" t="e">
        <f t="shared" si="99"/>
        <v>#REF!</v>
      </c>
      <c r="AQ104" s="35" t="e">
        <f>#REF!</f>
        <v>#REF!</v>
      </c>
      <c r="AR104" s="36" t="e">
        <f>#REF!</f>
        <v>#REF!</v>
      </c>
      <c r="AS104" s="37" t="e">
        <f>#REF!</f>
        <v>#REF!</v>
      </c>
      <c r="AT104" s="37" t="e">
        <f t="shared" si="100"/>
        <v>#REF!</v>
      </c>
      <c r="AU104" s="35" t="e">
        <f>#REF!</f>
        <v>#REF!</v>
      </c>
      <c r="AV104" s="36" t="e">
        <f>#REF!</f>
        <v>#REF!</v>
      </c>
      <c r="AW104" s="37" t="e">
        <f>#REF!</f>
        <v>#REF!</v>
      </c>
      <c r="AX104" s="37" t="e">
        <f t="shared" si="101"/>
        <v>#REF!</v>
      </c>
      <c r="AY104" s="35" t="e">
        <f>#REF!</f>
        <v>#REF!</v>
      </c>
      <c r="AZ104" s="36" t="e">
        <f>#REF!</f>
        <v>#REF!</v>
      </c>
      <c r="BA104" s="37" t="e">
        <f>#REF!</f>
        <v>#REF!</v>
      </c>
      <c r="BB104" s="37" t="e">
        <f t="shared" si="102"/>
        <v>#REF!</v>
      </c>
      <c r="BC104" s="35" t="e">
        <f>#REF!</f>
        <v>#REF!</v>
      </c>
      <c r="BD104" s="36" t="e">
        <f>#REF!</f>
        <v>#REF!</v>
      </c>
      <c r="BE104" s="37" t="e">
        <f>#REF!</f>
        <v>#REF!</v>
      </c>
      <c r="BF104" s="37" t="e">
        <f t="shared" si="103"/>
        <v>#REF!</v>
      </c>
      <c r="BG104" s="35" t="e">
        <f>#REF!</f>
        <v>#REF!</v>
      </c>
      <c r="BH104" s="36" t="e">
        <f>#REF!</f>
        <v>#REF!</v>
      </c>
      <c r="BI104" s="37" t="e">
        <f>#REF!</f>
        <v>#REF!</v>
      </c>
      <c r="BJ104" s="37" t="e">
        <f t="shared" si="104"/>
        <v>#REF!</v>
      </c>
      <c r="BK104" s="35" t="e">
        <f>#REF!</f>
        <v>#REF!</v>
      </c>
      <c r="BL104" s="36" t="e">
        <f>#REF!</f>
        <v>#REF!</v>
      </c>
      <c r="BM104" s="37" t="e">
        <f>#REF!</f>
        <v>#REF!</v>
      </c>
      <c r="BN104" s="37" t="e">
        <f t="shared" si="105"/>
        <v>#REF!</v>
      </c>
      <c r="BO104" s="35" t="e">
        <f>#REF!</f>
        <v>#REF!</v>
      </c>
      <c r="BP104" s="36" t="e">
        <f>#REF!</f>
        <v>#REF!</v>
      </c>
      <c r="BQ104" s="37" t="e">
        <f>#REF!</f>
        <v>#REF!</v>
      </c>
      <c r="BR104" s="37" t="e">
        <f t="shared" si="106"/>
        <v>#REF!</v>
      </c>
      <c r="BS104" s="35" t="e">
        <f>#REF!</f>
        <v>#REF!</v>
      </c>
      <c r="BT104" s="81" t="e">
        <f t="shared" si="112"/>
        <v>#REF!</v>
      </c>
      <c r="BU104" s="80" t="e">
        <f t="shared" si="108"/>
        <v>#REF!</v>
      </c>
      <c r="BV104" s="80" t="e">
        <f t="shared" si="108"/>
        <v>#REF!</v>
      </c>
      <c r="BW104" s="80" t="e">
        <f t="shared" si="109"/>
        <v>#REF!</v>
      </c>
      <c r="BX104" s="80" t="e">
        <f t="shared" si="110"/>
        <v>#REF!</v>
      </c>
      <c r="BY104" s="98" t="e">
        <f t="shared" si="111"/>
        <v>#REF!</v>
      </c>
    </row>
    <row r="105" spans="1:77" x14ac:dyDescent="0.35">
      <c r="A105" s="59" t="e">
        <f>#REF!</f>
        <v>#REF!</v>
      </c>
      <c r="B105" s="148"/>
      <c r="C105" s="38" t="s">
        <v>36</v>
      </c>
      <c r="D105" s="39" t="e">
        <f>#REF!</f>
        <v>#REF!</v>
      </c>
      <c r="E105" s="40" t="e">
        <f>#REF!</f>
        <v>#REF!</v>
      </c>
      <c r="F105" s="40" t="e">
        <f t="shared" si="90"/>
        <v>#REF!</v>
      </c>
      <c r="G105" s="38" t="e">
        <f>#REF!</f>
        <v>#REF!</v>
      </c>
      <c r="H105" s="39" t="e">
        <f>#REF!</f>
        <v>#REF!</v>
      </c>
      <c r="I105" s="40" t="e">
        <f>#REF!</f>
        <v>#REF!</v>
      </c>
      <c r="J105" s="40" t="e">
        <f t="shared" si="91"/>
        <v>#REF!</v>
      </c>
      <c r="K105" s="38" t="e">
        <f>#REF!</f>
        <v>#REF!</v>
      </c>
      <c r="L105" s="39" t="e">
        <f>#REF!</f>
        <v>#REF!</v>
      </c>
      <c r="M105" s="40" t="e">
        <f>#REF!</f>
        <v>#REF!</v>
      </c>
      <c r="N105" s="40" t="e">
        <f t="shared" si="92"/>
        <v>#REF!</v>
      </c>
      <c r="O105" s="38" t="e">
        <f>#REF!</f>
        <v>#REF!</v>
      </c>
      <c r="P105" s="39" t="e">
        <f>#REF!</f>
        <v>#REF!</v>
      </c>
      <c r="Q105" s="40" t="e">
        <f>#REF!</f>
        <v>#REF!</v>
      </c>
      <c r="R105" s="40" t="e">
        <f t="shared" si="93"/>
        <v>#REF!</v>
      </c>
      <c r="S105" s="38" t="e">
        <f>#REF!</f>
        <v>#REF!</v>
      </c>
      <c r="T105" s="39" t="e">
        <f>#REF!</f>
        <v>#REF!</v>
      </c>
      <c r="U105" s="40" t="e">
        <f>#REF!</f>
        <v>#REF!</v>
      </c>
      <c r="V105" s="40" t="e">
        <f t="shared" si="94"/>
        <v>#REF!</v>
      </c>
      <c r="W105" s="38" t="e">
        <f>#REF!</f>
        <v>#REF!</v>
      </c>
      <c r="X105" s="39" t="e">
        <f>#REF!</f>
        <v>#REF!</v>
      </c>
      <c r="Y105" s="40" t="e">
        <f>#REF!</f>
        <v>#REF!</v>
      </c>
      <c r="Z105" s="40" t="e">
        <f t="shared" si="95"/>
        <v>#REF!</v>
      </c>
      <c r="AA105" s="38" t="e">
        <f>#REF!</f>
        <v>#REF!</v>
      </c>
      <c r="AB105" s="39" t="e">
        <f>#REF!</f>
        <v>#REF!</v>
      </c>
      <c r="AC105" s="40" t="e">
        <f>#REF!</f>
        <v>#REF!</v>
      </c>
      <c r="AD105" s="40" t="e">
        <f t="shared" si="96"/>
        <v>#REF!</v>
      </c>
      <c r="AE105" s="38" t="e">
        <f>#REF!</f>
        <v>#REF!</v>
      </c>
      <c r="AF105" s="39" t="e">
        <f>#REF!</f>
        <v>#REF!</v>
      </c>
      <c r="AG105" s="40" t="e">
        <f>#REF!</f>
        <v>#REF!</v>
      </c>
      <c r="AH105" s="40" t="e">
        <f t="shared" si="97"/>
        <v>#REF!</v>
      </c>
      <c r="AI105" s="38" t="e">
        <f>#REF!</f>
        <v>#REF!</v>
      </c>
      <c r="AJ105" s="39" t="e">
        <f>#REF!</f>
        <v>#REF!</v>
      </c>
      <c r="AK105" s="40" t="e">
        <f>#REF!</f>
        <v>#REF!</v>
      </c>
      <c r="AL105" s="40" t="e">
        <f t="shared" si="98"/>
        <v>#REF!</v>
      </c>
      <c r="AM105" s="38" t="e">
        <f>#REF!</f>
        <v>#REF!</v>
      </c>
      <c r="AN105" s="39" t="e">
        <f>#REF!</f>
        <v>#REF!</v>
      </c>
      <c r="AO105" s="40" t="e">
        <f>#REF!</f>
        <v>#REF!</v>
      </c>
      <c r="AP105" s="40" t="e">
        <f t="shared" si="99"/>
        <v>#REF!</v>
      </c>
      <c r="AQ105" s="38" t="e">
        <f>#REF!</f>
        <v>#REF!</v>
      </c>
      <c r="AR105" s="39" t="e">
        <f>#REF!</f>
        <v>#REF!</v>
      </c>
      <c r="AS105" s="40" t="e">
        <f>#REF!</f>
        <v>#REF!</v>
      </c>
      <c r="AT105" s="40" t="e">
        <f t="shared" si="100"/>
        <v>#REF!</v>
      </c>
      <c r="AU105" s="38" t="e">
        <f>#REF!</f>
        <v>#REF!</v>
      </c>
      <c r="AV105" s="39" t="e">
        <f>#REF!</f>
        <v>#REF!</v>
      </c>
      <c r="AW105" s="40" t="e">
        <f>#REF!</f>
        <v>#REF!</v>
      </c>
      <c r="AX105" s="40" t="e">
        <f t="shared" si="101"/>
        <v>#REF!</v>
      </c>
      <c r="AY105" s="38" t="e">
        <f>#REF!</f>
        <v>#REF!</v>
      </c>
      <c r="AZ105" s="39" t="e">
        <f>#REF!</f>
        <v>#REF!</v>
      </c>
      <c r="BA105" s="40" t="e">
        <f>#REF!</f>
        <v>#REF!</v>
      </c>
      <c r="BB105" s="40" t="e">
        <f t="shared" si="102"/>
        <v>#REF!</v>
      </c>
      <c r="BC105" s="38" t="e">
        <f>#REF!</f>
        <v>#REF!</v>
      </c>
      <c r="BD105" s="39" t="e">
        <f>#REF!</f>
        <v>#REF!</v>
      </c>
      <c r="BE105" s="40" t="e">
        <f>#REF!</f>
        <v>#REF!</v>
      </c>
      <c r="BF105" s="40" t="e">
        <f t="shared" si="103"/>
        <v>#REF!</v>
      </c>
      <c r="BG105" s="38" t="e">
        <f>#REF!</f>
        <v>#REF!</v>
      </c>
      <c r="BH105" s="39" t="e">
        <f>#REF!</f>
        <v>#REF!</v>
      </c>
      <c r="BI105" s="40" t="e">
        <f>#REF!</f>
        <v>#REF!</v>
      </c>
      <c r="BJ105" s="40" t="e">
        <f t="shared" si="104"/>
        <v>#REF!</v>
      </c>
      <c r="BK105" s="38" t="e">
        <f>#REF!</f>
        <v>#REF!</v>
      </c>
      <c r="BL105" s="39" t="e">
        <f>#REF!</f>
        <v>#REF!</v>
      </c>
      <c r="BM105" s="40" t="e">
        <f>#REF!</f>
        <v>#REF!</v>
      </c>
      <c r="BN105" s="40" t="e">
        <f t="shared" si="105"/>
        <v>#REF!</v>
      </c>
      <c r="BO105" s="38" t="e">
        <f>#REF!</f>
        <v>#REF!</v>
      </c>
      <c r="BP105" s="39" t="e">
        <f>#REF!</f>
        <v>#REF!</v>
      </c>
      <c r="BQ105" s="40" t="e">
        <f>#REF!</f>
        <v>#REF!</v>
      </c>
      <c r="BR105" s="40" t="e">
        <f t="shared" si="106"/>
        <v>#REF!</v>
      </c>
      <c r="BS105" s="38" t="e">
        <f>#REF!</f>
        <v>#REF!</v>
      </c>
      <c r="BT105" s="83" t="e">
        <f t="shared" si="112"/>
        <v>#REF!</v>
      </c>
      <c r="BU105" s="82" t="e">
        <f t="shared" si="108"/>
        <v>#REF!</v>
      </c>
      <c r="BV105" s="82" t="e">
        <f t="shared" si="108"/>
        <v>#REF!</v>
      </c>
      <c r="BW105" s="82" t="e">
        <f t="shared" si="109"/>
        <v>#REF!</v>
      </c>
      <c r="BX105" s="82" t="e">
        <f t="shared" si="110"/>
        <v>#REF!</v>
      </c>
      <c r="BY105" s="99" t="e">
        <f t="shared" si="111"/>
        <v>#REF!</v>
      </c>
    </row>
    <row r="106" spans="1:77" x14ac:dyDescent="0.35">
      <c r="A106" s="60" t="e">
        <f>#REF!</f>
        <v>#REF!</v>
      </c>
      <c r="B106" s="148"/>
      <c r="C106" s="41" t="s">
        <v>37</v>
      </c>
      <c r="D106" s="42" t="e">
        <f>#REF!</f>
        <v>#REF!</v>
      </c>
      <c r="E106" s="43" t="e">
        <f>#REF!</f>
        <v>#REF!</v>
      </c>
      <c r="F106" s="43" t="e">
        <f t="shared" si="90"/>
        <v>#REF!</v>
      </c>
      <c r="G106" s="41" t="e">
        <f>#REF!</f>
        <v>#REF!</v>
      </c>
      <c r="H106" s="42" t="e">
        <f>#REF!</f>
        <v>#REF!</v>
      </c>
      <c r="I106" s="43" t="e">
        <f>#REF!</f>
        <v>#REF!</v>
      </c>
      <c r="J106" s="43" t="e">
        <f t="shared" si="91"/>
        <v>#REF!</v>
      </c>
      <c r="K106" s="41" t="e">
        <f>#REF!</f>
        <v>#REF!</v>
      </c>
      <c r="L106" s="42" t="e">
        <f>#REF!</f>
        <v>#REF!</v>
      </c>
      <c r="M106" s="43" t="e">
        <f>#REF!</f>
        <v>#REF!</v>
      </c>
      <c r="N106" s="43" t="e">
        <f t="shared" si="92"/>
        <v>#REF!</v>
      </c>
      <c r="O106" s="41" t="e">
        <f>#REF!</f>
        <v>#REF!</v>
      </c>
      <c r="P106" s="42" t="e">
        <f>#REF!</f>
        <v>#REF!</v>
      </c>
      <c r="Q106" s="43" t="e">
        <f>#REF!</f>
        <v>#REF!</v>
      </c>
      <c r="R106" s="43" t="e">
        <f t="shared" si="93"/>
        <v>#REF!</v>
      </c>
      <c r="S106" s="41" t="e">
        <f>#REF!</f>
        <v>#REF!</v>
      </c>
      <c r="T106" s="42" t="e">
        <f>#REF!</f>
        <v>#REF!</v>
      </c>
      <c r="U106" s="43" t="e">
        <f>#REF!</f>
        <v>#REF!</v>
      </c>
      <c r="V106" s="43" t="e">
        <f t="shared" si="94"/>
        <v>#REF!</v>
      </c>
      <c r="W106" s="41" t="e">
        <f>#REF!</f>
        <v>#REF!</v>
      </c>
      <c r="X106" s="42" t="e">
        <f>#REF!</f>
        <v>#REF!</v>
      </c>
      <c r="Y106" s="43" t="e">
        <f>#REF!</f>
        <v>#REF!</v>
      </c>
      <c r="Z106" s="43" t="e">
        <f t="shared" si="95"/>
        <v>#REF!</v>
      </c>
      <c r="AA106" s="41" t="e">
        <f>#REF!</f>
        <v>#REF!</v>
      </c>
      <c r="AB106" s="42" t="e">
        <f>#REF!</f>
        <v>#REF!</v>
      </c>
      <c r="AC106" s="43" t="e">
        <f>#REF!</f>
        <v>#REF!</v>
      </c>
      <c r="AD106" s="43" t="e">
        <f t="shared" si="96"/>
        <v>#REF!</v>
      </c>
      <c r="AE106" s="41" t="e">
        <f>#REF!</f>
        <v>#REF!</v>
      </c>
      <c r="AF106" s="42" t="e">
        <f>#REF!</f>
        <v>#REF!</v>
      </c>
      <c r="AG106" s="43" t="e">
        <f>#REF!</f>
        <v>#REF!</v>
      </c>
      <c r="AH106" s="43" t="e">
        <f t="shared" si="97"/>
        <v>#REF!</v>
      </c>
      <c r="AI106" s="41" t="e">
        <f>#REF!</f>
        <v>#REF!</v>
      </c>
      <c r="AJ106" s="42" t="e">
        <f>#REF!</f>
        <v>#REF!</v>
      </c>
      <c r="AK106" s="43" t="e">
        <f>#REF!</f>
        <v>#REF!</v>
      </c>
      <c r="AL106" s="43" t="e">
        <f t="shared" si="98"/>
        <v>#REF!</v>
      </c>
      <c r="AM106" s="41" t="e">
        <f>#REF!</f>
        <v>#REF!</v>
      </c>
      <c r="AN106" s="42" t="e">
        <f>#REF!</f>
        <v>#REF!</v>
      </c>
      <c r="AO106" s="43" t="e">
        <f>#REF!</f>
        <v>#REF!</v>
      </c>
      <c r="AP106" s="43" t="e">
        <f t="shared" si="99"/>
        <v>#REF!</v>
      </c>
      <c r="AQ106" s="41" t="e">
        <f>#REF!</f>
        <v>#REF!</v>
      </c>
      <c r="AR106" s="42" t="e">
        <f>#REF!</f>
        <v>#REF!</v>
      </c>
      <c r="AS106" s="43" t="e">
        <f>#REF!</f>
        <v>#REF!</v>
      </c>
      <c r="AT106" s="43" t="e">
        <f t="shared" si="100"/>
        <v>#REF!</v>
      </c>
      <c r="AU106" s="41" t="e">
        <f>#REF!</f>
        <v>#REF!</v>
      </c>
      <c r="AV106" s="42" t="e">
        <f>#REF!</f>
        <v>#REF!</v>
      </c>
      <c r="AW106" s="43" t="e">
        <f>#REF!</f>
        <v>#REF!</v>
      </c>
      <c r="AX106" s="43" t="e">
        <f t="shared" si="101"/>
        <v>#REF!</v>
      </c>
      <c r="AY106" s="41" t="e">
        <f>#REF!</f>
        <v>#REF!</v>
      </c>
      <c r="AZ106" s="42" t="e">
        <f>#REF!</f>
        <v>#REF!</v>
      </c>
      <c r="BA106" s="43" t="e">
        <f>#REF!</f>
        <v>#REF!</v>
      </c>
      <c r="BB106" s="43" t="e">
        <f t="shared" si="102"/>
        <v>#REF!</v>
      </c>
      <c r="BC106" s="41" t="e">
        <f>#REF!</f>
        <v>#REF!</v>
      </c>
      <c r="BD106" s="42" t="e">
        <f>#REF!</f>
        <v>#REF!</v>
      </c>
      <c r="BE106" s="43" t="e">
        <f>#REF!</f>
        <v>#REF!</v>
      </c>
      <c r="BF106" s="43" t="e">
        <f t="shared" si="103"/>
        <v>#REF!</v>
      </c>
      <c r="BG106" s="41" t="e">
        <f>#REF!</f>
        <v>#REF!</v>
      </c>
      <c r="BH106" s="42" t="e">
        <f>#REF!</f>
        <v>#REF!</v>
      </c>
      <c r="BI106" s="43" t="e">
        <f>#REF!</f>
        <v>#REF!</v>
      </c>
      <c r="BJ106" s="43" t="e">
        <f t="shared" si="104"/>
        <v>#REF!</v>
      </c>
      <c r="BK106" s="41" t="e">
        <f>#REF!</f>
        <v>#REF!</v>
      </c>
      <c r="BL106" s="42" t="e">
        <f>#REF!</f>
        <v>#REF!</v>
      </c>
      <c r="BM106" s="43" t="e">
        <f>#REF!</f>
        <v>#REF!</v>
      </c>
      <c r="BN106" s="43" t="e">
        <f t="shared" si="105"/>
        <v>#REF!</v>
      </c>
      <c r="BO106" s="41" t="e">
        <f>#REF!</f>
        <v>#REF!</v>
      </c>
      <c r="BP106" s="42" t="e">
        <f>#REF!</f>
        <v>#REF!</v>
      </c>
      <c r="BQ106" s="43" t="e">
        <f>#REF!</f>
        <v>#REF!</v>
      </c>
      <c r="BR106" s="43" t="e">
        <f t="shared" si="106"/>
        <v>#REF!</v>
      </c>
      <c r="BS106" s="41" t="e">
        <f>#REF!</f>
        <v>#REF!</v>
      </c>
      <c r="BT106" s="85" t="e">
        <f>SUM(E106,I106,M106,Q106,U106,Y106,AC106,AG106,AK106,AO106,AS106,AW106,BA106,BE106,BI106,BM106,BQ106)</f>
        <v>#REF!</v>
      </c>
      <c r="BU106" s="84" t="e">
        <f t="shared" si="108"/>
        <v>#REF!</v>
      </c>
      <c r="BV106" s="84" t="e">
        <f t="shared" si="108"/>
        <v>#REF!</v>
      </c>
      <c r="BW106" s="84" t="e">
        <f t="shared" si="109"/>
        <v>#REF!</v>
      </c>
      <c r="BX106" s="84" t="e">
        <f t="shared" si="110"/>
        <v>#REF!</v>
      </c>
      <c r="BY106" s="100" t="e">
        <f t="shared" si="111"/>
        <v>#REF!</v>
      </c>
    </row>
    <row r="107" spans="1:77" x14ac:dyDescent="0.35">
      <c r="A107" s="47" t="e">
        <f>#REF!</f>
        <v>#REF!</v>
      </c>
      <c r="B107" s="148"/>
      <c r="C107" s="44" t="s">
        <v>38</v>
      </c>
      <c r="D107" s="45" t="e">
        <f>#REF!</f>
        <v>#REF!</v>
      </c>
      <c r="E107" s="46" t="e">
        <f>#REF!</f>
        <v>#REF!</v>
      </c>
      <c r="F107" s="46" t="e">
        <f t="shared" si="90"/>
        <v>#REF!</v>
      </c>
      <c r="G107" s="44" t="e">
        <f>#REF!</f>
        <v>#REF!</v>
      </c>
      <c r="H107" s="45" t="e">
        <f>#REF!</f>
        <v>#REF!</v>
      </c>
      <c r="I107" s="46" t="e">
        <f>#REF!</f>
        <v>#REF!</v>
      </c>
      <c r="J107" s="46" t="e">
        <f t="shared" si="91"/>
        <v>#REF!</v>
      </c>
      <c r="K107" s="44" t="e">
        <f>#REF!</f>
        <v>#REF!</v>
      </c>
      <c r="L107" s="45" t="e">
        <f>#REF!</f>
        <v>#REF!</v>
      </c>
      <c r="M107" s="46" t="e">
        <f>#REF!</f>
        <v>#REF!</v>
      </c>
      <c r="N107" s="46" t="e">
        <f t="shared" si="92"/>
        <v>#REF!</v>
      </c>
      <c r="O107" s="44" t="e">
        <f>#REF!</f>
        <v>#REF!</v>
      </c>
      <c r="P107" s="45" t="e">
        <f>#REF!</f>
        <v>#REF!</v>
      </c>
      <c r="Q107" s="46" t="e">
        <f>#REF!</f>
        <v>#REF!</v>
      </c>
      <c r="R107" s="46" t="e">
        <f t="shared" si="93"/>
        <v>#REF!</v>
      </c>
      <c r="S107" s="44" t="e">
        <f>#REF!</f>
        <v>#REF!</v>
      </c>
      <c r="T107" s="45" t="e">
        <f>#REF!</f>
        <v>#REF!</v>
      </c>
      <c r="U107" s="46" t="e">
        <f>#REF!</f>
        <v>#REF!</v>
      </c>
      <c r="V107" s="46" t="e">
        <f t="shared" si="94"/>
        <v>#REF!</v>
      </c>
      <c r="W107" s="44" t="e">
        <f>#REF!</f>
        <v>#REF!</v>
      </c>
      <c r="X107" s="45" t="e">
        <f>#REF!</f>
        <v>#REF!</v>
      </c>
      <c r="Y107" s="46" t="e">
        <f>#REF!</f>
        <v>#REF!</v>
      </c>
      <c r="Z107" s="46" t="e">
        <f t="shared" si="95"/>
        <v>#REF!</v>
      </c>
      <c r="AA107" s="44" t="e">
        <f>#REF!</f>
        <v>#REF!</v>
      </c>
      <c r="AB107" s="45" t="e">
        <f>#REF!</f>
        <v>#REF!</v>
      </c>
      <c r="AC107" s="46" t="e">
        <f>#REF!</f>
        <v>#REF!</v>
      </c>
      <c r="AD107" s="46" t="e">
        <f t="shared" si="96"/>
        <v>#REF!</v>
      </c>
      <c r="AE107" s="44" t="e">
        <f>#REF!</f>
        <v>#REF!</v>
      </c>
      <c r="AF107" s="45" t="e">
        <f>#REF!</f>
        <v>#REF!</v>
      </c>
      <c r="AG107" s="46" t="e">
        <f>#REF!</f>
        <v>#REF!</v>
      </c>
      <c r="AH107" s="46" t="e">
        <f t="shared" si="97"/>
        <v>#REF!</v>
      </c>
      <c r="AI107" s="44" t="e">
        <f>#REF!</f>
        <v>#REF!</v>
      </c>
      <c r="AJ107" s="45" t="e">
        <f>#REF!</f>
        <v>#REF!</v>
      </c>
      <c r="AK107" s="46" t="e">
        <f>#REF!</f>
        <v>#REF!</v>
      </c>
      <c r="AL107" s="46" t="e">
        <f t="shared" si="98"/>
        <v>#REF!</v>
      </c>
      <c r="AM107" s="44" t="e">
        <f>#REF!</f>
        <v>#REF!</v>
      </c>
      <c r="AN107" s="45" t="e">
        <f>#REF!</f>
        <v>#REF!</v>
      </c>
      <c r="AO107" s="46" t="e">
        <f>#REF!</f>
        <v>#REF!</v>
      </c>
      <c r="AP107" s="46" t="e">
        <f t="shared" si="99"/>
        <v>#REF!</v>
      </c>
      <c r="AQ107" s="44" t="e">
        <f>#REF!</f>
        <v>#REF!</v>
      </c>
      <c r="AR107" s="45" t="e">
        <f>#REF!</f>
        <v>#REF!</v>
      </c>
      <c r="AS107" s="46" t="e">
        <f>#REF!</f>
        <v>#REF!</v>
      </c>
      <c r="AT107" s="46" t="e">
        <f t="shared" si="100"/>
        <v>#REF!</v>
      </c>
      <c r="AU107" s="44" t="e">
        <f>#REF!</f>
        <v>#REF!</v>
      </c>
      <c r="AV107" s="45" t="e">
        <f>#REF!</f>
        <v>#REF!</v>
      </c>
      <c r="AW107" s="46" t="e">
        <f>#REF!</f>
        <v>#REF!</v>
      </c>
      <c r="AX107" s="46" t="e">
        <f t="shared" si="101"/>
        <v>#REF!</v>
      </c>
      <c r="AY107" s="44" t="e">
        <f>#REF!</f>
        <v>#REF!</v>
      </c>
      <c r="AZ107" s="45" t="e">
        <f>#REF!</f>
        <v>#REF!</v>
      </c>
      <c r="BA107" s="46" t="e">
        <f>#REF!</f>
        <v>#REF!</v>
      </c>
      <c r="BB107" s="46" t="e">
        <f t="shared" si="102"/>
        <v>#REF!</v>
      </c>
      <c r="BC107" s="44" t="e">
        <f>#REF!</f>
        <v>#REF!</v>
      </c>
      <c r="BD107" s="45" t="e">
        <f>#REF!</f>
        <v>#REF!</v>
      </c>
      <c r="BE107" s="46" t="e">
        <f>#REF!</f>
        <v>#REF!</v>
      </c>
      <c r="BF107" s="46" t="e">
        <f t="shared" si="103"/>
        <v>#REF!</v>
      </c>
      <c r="BG107" s="44" t="e">
        <f>#REF!</f>
        <v>#REF!</v>
      </c>
      <c r="BH107" s="45" t="e">
        <f>#REF!</f>
        <v>#REF!</v>
      </c>
      <c r="BI107" s="46" t="e">
        <f>#REF!</f>
        <v>#REF!</v>
      </c>
      <c r="BJ107" s="46" t="e">
        <f t="shared" si="104"/>
        <v>#REF!</v>
      </c>
      <c r="BK107" s="44" t="e">
        <f>#REF!</f>
        <v>#REF!</v>
      </c>
      <c r="BL107" s="45" t="e">
        <f>#REF!</f>
        <v>#REF!</v>
      </c>
      <c r="BM107" s="46" t="e">
        <f>#REF!</f>
        <v>#REF!</v>
      </c>
      <c r="BN107" s="46" t="e">
        <f t="shared" si="105"/>
        <v>#REF!</v>
      </c>
      <c r="BO107" s="44" t="e">
        <f>#REF!</f>
        <v>#REF!</v>
      </c>
      <c r="BP107" s="45" t="e">
        <f>#REF!</f>
        <v>#REF!</v>
      </c>
      <c r="BQ107" s="46" t="e">
        <f>#REF!</f>
        <v>#REF!</v>
      </c>
      <c r="BR107" s="46" t="e">
        <f t="shared" si="106"/>
        <v>#REF!</v>
      </c>
      <c r="BS107" s="44" t="e">
        <f>#REF!</f>
        <v>#REF!</v>
      </c>
      <c r="BT107" s="87" t="e">
        <f t="shared" ref="BT107:BT110" si="113">SUM(E107,I107,M107,Q107,U107,Y107,AC107,AG107,AK107,AO107,AS107,AW107,BA107,BE107,BI107,BM107,BQ107)</f>
        <v>#REF!</v>
      </c>
      <c r="BU107" s="86" t="e">
        <f t="shared" si="108"/>
        <v>#REF!</v>
      </c>
      <c r="BV107" s="86" t="e">
        <f t="shared" si="108"/>
        <v>#REF!</v>
      </c>
      <c r="BW107" s="86" t="e">
        <f t="shared" si="109"/>
        <v>#REF!</v>
      </c>
      <c r="BX107" s="86" t="e">
        <f t="shared" si="110"/>
        <v>#REF!</v>
      </c>
      <c r="BY107" s="101" t="e">
        <f t="shared" si="111"/>
        <v>#REF!</v>
      </c>
    </row>
    <row r="108" spans="1:77" x14ac:dyDescent="0.35">
      <c r="A108" s="61" t="e">
        <f>#REF!</f>
        <v>#REF!</v>
      </c>
      <c r="B108" s="148"/>
      <c r="C108" s="104" t="s">
        <v>39</v>
      </c>
      <c r="D108" s="107" t="e">
        <f>#REF!</f>
        <v>#REF!</v>
      </c>
      <c r="E108" s="61" t="e">
        <f>#REF!</f>
        <v>#REF!</v>
      </c>
      <c r="F108" s="61" t="e">
        <f t="shared" si="90"/>
        <v>#REF!</v>
      </c>
      <c r="G108" s="104" t="e">
        <f>#REF!</f>
        <v>#REF!</v>
      </c>
      <c r="H108" s="107" t="e">
        <f>#REF!</f>
        <v>#REF!</v>
      </c>
      <c r="I108" s="61" t="e">
        <f>#REF!</f>
        <v>#REF!</v>
      </c>
      <c r="J108" s="61" t="e">
        <f t="shared" si="91"/>
        <v>#REF!</v>
      </c>
      <c r="K108" s="104" t="e">
        <f>#REF!</f>
        <v>#REF!</v>
      </c>
      <c r="L108" s="107" t="e">
        <f>#REF!</f>
        <v>#REF!</v>
      </c>
      <c r="M108" s="61" t="e">
        <f>#REF!</f>
        <v>#REF!</v>
      </c>
      <c r="N108" s="61" t="e">
        <f t="shared" si="92"/>
        <v>#REF!</v>
      </c>
      <c r="O108" s="104" t="e">
        <f>#REF!</f>
        <v>#REF!</v>
      </c>
      <c r="P108" s="107" t="e">
        <f>#REF!</f>
        <v>#REF!</v>
      </c>
      <c r="Q108" s="61" t="e">
        <f>#REF!</f>
        <v>#REF!</v>
      </c>
      <c r="R108" s="61" t="e">
        <f t="shared" si="93"/>
        <v>#REF!</v>
      </c>
      <c r="S108" s="104" t="e">
        <f>#REF!</f>
        <v>#REF!</v>
      </c>
      <c r="T108" s="107" t="e">
        <f>#REF!</f>
        <v>#REF!</v>
      </c>
      <c r="U108" s="61" t="e">
        <f>#REF!</f>
        <v>#REF!</v>
      </c>
      <c r="V108" s="61" t="e">
        <f t="shared" si="94"/>
        <v>#REF!</v>
      </c>
      <c r="W108" s="104" t="e">
        <f>#REF!</f>
        <v>#REF!</v>
      </c>
      <c r="X108" s="107" t="e">
        <f>#REF!</f>
        <v>#REF!</v>
      </c>
      <c r="Y108" s="61" t="e">
        <f>#REF!</f>
        <v>#REF!</v>
      </c>
      <c r="Z108" s="61" t="e">
        <f t="shared" si="95"/>
        <v>#REF!</v>
      </c>
      <c r="AA108" s="104" t="e">
        <f>#REF!</f>
        <v>#REF!</v>
      </c>
      <c r="AB108" s="107" t="e">
        <f>#REF!</f>
        <v>#REF!</v>
      </c>
      <c r="AC108" s="61" t="e">
        <f>#REF!</f>
        <v>#REF!</v>
      </c>
      <c r="AD108" s="61" t="e">
        <f t="shared" si="96"/>
        <v>#REF!</v>
      </c>
      <c r="AE108" s="104" t="e">
        <f>#REF!</f>
        <v>#REF!</v>
      </c>
      <c r="AF108" s="107" t="e">
        <f>#REF!</f>
        <v>#REF!</v>
      </c>
      <c r="AG108" s="61" t="e">
        <f>#REF!</f>
        <v>#REF!</v>
      </c>
      <c r="AH108" s="61" t="e">
        <f t="shared" si="97"/>
        <v>#REF!</v>
      </c>
      <c r="AI108" s="104" t="e">
        <f>#REF!</f>
        <v>#REF!</v>
      </c>
      <c r="AJ108" s="107" t="e">
        <f>#REF!</f>
        <v>#REF!</v>
      </c>
      <c r="AK108" s="61" t="e">
        <f>#REF!</f>
        <v>#REF!</v>
      </c>
      <c r="AL108" s="61" t="e">
        <f t="shared" si="98"/>
        <v>#REF!</v>
      </c>
      <c r="AM108" s="104" t="e">
        <f>#REF!</f>
        <v>#REF!</v>
      </c>
      <c r="AN108" s="107" t="e">
        <f>#REF!</f>
        <v>#REF!</v>
      </c>
      <c r="AO108" s="61" t="e">
        <f>#REF!</f>
        <v>#REF!</v>
      </c>
      <c r="AP108" s="61" t="e">
        <f t="shared" si="99"/>
        <v>#REF!</v>
      </c>
      <c r="AQ108" s="104" t="e">
        <f>#REF!</f>
        <v>#REF!</v>
      </c>
      <c r="AR108" s="107" t="e">
        <f>#REF!</f>
        <v>#REF!</v>
      </c>
      <c r="AS108" s="61" t="e">
        <f>#REF!</f>
        <v>#REF!</v>
      </c>
      <c r="AT108" s="61" t="e">
        <f t="shared" si="100"/>
        <v>#REF!</v>
      </c>
      <c r="AU108" s="104" t="e">
        <f>#REF!</f>
        <v>#REF!</v>
      </c>
      <c r="AV108" s="107" t="e">
        <f>#REF!</f>
        <v>#REF!</v>
      </c>
      <c r="AW108" s="61" t="e">
        <f>#REF!</f>
        <v>#REF!</v>
      </c>
      <c r="AX108" s="61" t="e">
        <f t="shared" si="101"/>
        <v>#REF!</v>
      </c>
      <c r="AY108" s="104" t="e">
        <f>#REF!</f>
        <v>#REF!</v>
      </c>
      <c r="AZ108" s="107" t="e">
        <f>#REF!</f>
        <v>#REF!</v>
      </c>
      <c r="BA108" s="61" t="e">
        <f>#REF!</f>
        <v>#REF!</v>
      </c>
      <c r="BB108" s="61" t="e">
        <f t="shared" si="102"/>
        <v>#REF!</v>
      </c>
      <c r="BC108" s="104" t="e">
        <f>#REF!</f>
        <v>#REF!</v>
      </c>
      <c r="BD108" s="107" t="e">
        <f>#REF!</f>
        <v>#REF!</v>
      </c>
      <c r="BE108" s="61" t="e">
        <f>#REF!</f>
        <v>#REF!</v>
      </c>
      <c r="BF108" s="61" t="e">
        <f t="shared" si="103"/>
        <v>#REF!</v>
      </c>
      <c r="BG108" s="104" t="e">
        <f>#REF!</f>
        <v>#REF!</v>
      </c>
      <c r="BH108" s="107" t="e">
        <f>#REF!</f>
        <v>#REF!</v>
      </c>
      <c r="BI108" s="61" t="e">
        <f>#REF!</f>
        <v>#REF!</v>
      </c>
      <c r="BJ108" s="61" t="e">
        <f t="shared" si="104"/>
        <v>#REF!</v>
      </c>
      <c r="BK108" s="104" t="e">
        <f>#REF!</f>
        <v>#REF!</v>
      </c>
      <c r="BL108" s="107" t="e">
        <f>#REF!</f>
        <v>#REF!</v>
      </c>
      <c r="BM108" s="61" t="e">
        <f>#REF!</f>
        <v>#REF!</v>
      </c>
      <c r="BN108" s="61" t="e">
        <f t="shared" si="105"/>
        <v>#REF!</v>
      </c>
      <c r="BO108" s="104" t="e">
        <f>#REF!</f>
        <v>#REF!</v>
      </c>
      <c r="BP108" s="107" t="e">
        <f>#REF!</f>
        <v>#REF!</v>
      </c>
      <c r="BQ108" s="61" t="e">
        <f>#REF!</f>
        <v>#REF!</v>
      </c>
      <c r="BR108" s="61" t="e">
        <f t="shared" si="106"/>
        <v>#REF!</v>
      </c>
      <c r="BS108" s="104" t="e">
        <f>#REF!</f>
        <v>#REF!</v>
      </c>
      <c r="BT108" s="106" t="e">
        <f t="shared" si="113"/>
        <v>#REF!</v>
      </c>
      <c r="BU108" s="105" t="e">
        <f t="shared" si="108"/>
        <v>#REF!</v>
      </c>
      <c r="BV108" s="105" t="e">
        <f>SUM(BS108,BO108,BK108,BG108,BC108,AY108,AU108,AQ108,AM108,AI108,AE108,AA108,W108,S108,O108,K108,G108)</f>
        <v>#REF!</v>
      </c>
      <c r="BW108" s="106" t="e">
        <f t="shared" si="109"/>
        <v>#REF!</v>
      </c>
      <c r="BX108" s="105" t="e">
        <f t="shared" si="110"/>
        <v>#REF!</v>
      </c>
      <c r="BY108" s="110" t="e">
        <f t="shared" si="111"/>
        <v>#REF!</v>
      </c>
    </row>
    <row r="109" spans="1:77" x14ac:dyDescent="0.35">
      <c r="A109" s="108" t="e">
        <f>#REF!</f>
        <v>#REF!</v>
      </c>
      <c r="B109" s="148"/>
      <c r="C109" s="112" t="s">
        <v>42</v>
      </c>
      <c r="D109" s="114" t="e">
        <f>#REF!</f>
        <v>#REF!</v>
      </c>
      <c r="E109" s="108" t="e">
        <f>#REF!</f>
        <v>#REF!</v>
      </c>
      <c r="F109" s="108" t="e">
        <f t="shared" si="90"/>
        <v>#REF!</v>
      </c>
      <c r="G109" s="112" t="e">
        <f>#REF!</f>
        <v>#REF!</v>
      </c>
      <c r="H109" s="114" t="e">
        <f>#REF!</f>
        <v>#REF!</v>
      </c>
      <c r="I109" s="108" t="e">
        <f>#REF!</f>
        <v>#REF!</v>
      </c>
      <c r="J109" s="108" t="e">
        <f t="shared" si="91"/>
        <v>#REF!</v>
      </c>
      <c r="K109" s="112" t="e">
        <f>#REF!</f>
        <v>#REF!</v>
      </c>
      <c r="L109" s="114" t="e">
        <f>#REF!</f>
        <v>#REF!</v>
      </c>
      <c r="M109" s="108" t="e">
        <f>#REF!</f>
        <v>#REF!</v>
      </c>
      <c r="N109" s="108" t="e">
        <f t="shared" si="92"/>
        <v>#REF!</v>
      </c>
      <c r="O109" s="112" t="e">
        <f>#REF!</f>
        <v>#REF!</v>
      </c>
      <c r="P109" s="114" t="e">
        <f>#REF!</f>
        <v>#REF!</v>
      </c>
      <c r="Q109" s="108" t="e">
        <f>#REF!</f>
        <v>#REF!</v>
      </c>
      <c r="R109" s="108" t="e">
        <f t="shared" si="93"/>
        <v>#REF!</v>
      </c>
      <c r="S109" s="112" t="e">
        <f>#REF!</f>
        <v>#REF!</v>
      </c>
      <c r="T109" s="114" t="e">
        <f>#REF!</f>
        <v>#REF!</v>
      </c>
      <c r="U109" s="108" t="e">
        <f>#REF!</f>
        <v>#REF!</v>
      </c>
      <c r="V109" s="108" t="e">
        <f t="shared" si="94"/>
        <v>#REF!</v>
      </c>
      <c r="W109" s="112" t="e">
        <f>#REF!</f>
        <v>#REF!</v>
      </c>
      <c r="X109" s="114" t="e">
        <f>#REF!</f>
        <v>#REF!</v>
      </c>
      <c r="Y109" s="108" t="e">
        <f>#REF!</f>
        <v>#REF!</v>
      </c>
      <c r="Z109" s="108" t="e">
        <f t="shared" si="95"/>
        <v>#REF!</v>
      </c>
      <c r="AA109" s="112" t="e">
        <f>#REF!</f>
        <v>#REF!</v>
      </c>
      <c r="AB109" s="114" t="e">
        <f>#REF!</f>
        <v>#REF!</v>
      </c>
      <c r="AC109" s="108" t="e">
        <f>#REF!</f>
        <v>#REF!</v>
      </c>
      <c r="AD109" s="108" t="e">
        <f t="shared" si="96"/>
        <v>#REF!</v>
      </c>
      <c r="AE109" s="112" t="e">
        <f>#REF!</f>
        <v>#REF!</v>
      </c>
      <c r="AF109" s="114" t="e">
        <f>#REF!</f>
        <v>#REF!</v>
      </c>
      <c r="AG109" s="108" t="e">
        <f>#REF!</f>
        <v>#REF!</v>
      </c>
      <c r="AH109" s="108" t="e">
        <f t="shared" si="97"/>
        <v>#REF!</v>
      </c>
      <c r="AI109" s="112" t="e">
        <f>#REF!</f>
        <v>#REF!</v>
      </c>
      <c r="AJ109" s="114" t="e">
        <f>#REF!</f>
        <v>#REF!</v>
      </c>
      <c r="AK109" s="108" t="e">
        <f>#REF!</f>
        <v>#REF!</v>
      </c>
      <c r="AL109" s="108" t="e">
        <f t="shared" si="98"/>
        <v>#REF!</v>
      </c>
      <c r="AM109" s="112" t="e">
        <f>#REF!</f>
        <v>#REF!</v>
      </c>
      <c r="AN109" s="114" t="e">
        <f>#REF!</f>
        <v>#REF!</v>
      </c>
      <c r="AO109" s="108" t="e">
        <f>#REF!</f>
        <v>#REF!</v>
      </c>
      <c r="AP109" s="108" t="e">
        <f t="shared" si="99"/>
        <v>#REF!</v>
      </c>
      <c r="AQ109" s="112" t="e">
        <f>#REF!</f>
        <v>#REF!</v>
      </c>
      <c r="AR109" s="114" t="e">
        <f>#REF!</f>
        <v>#REF!</v>
      </c>
      <c r="AS109" s="108" t="e">
        <f>#REF!</f>
        <v>#REF!</v>
      </c>
      <c r="AT109" s="108" t="e">
        <f t="shared" si="100"/>
        <v>#REF!</v>
      </c>
      <c r="AU109" s="112" t="e">
        <f>#REF!</f>
        <v>#REF!</v>
      </c>
      <c r="AV109" s="114" t="e">
        <f>#REF!</f>
        <v>#REF!</v>
      </c>
      <c r="AW109" s="108" t="e">
        <f>#REF!</f>
        <v>#REF!</v>
      </c>
      <c r="AX109" s="108" t="e">
        <f t="shared" si="101"/>
        <v>#REF!</v>
      </c>
      <c r="AY109" s="112" t="e">
        <f>#REF!</f>
        <v>#REF!</v>
      </c>
      <c r="AZ109" s="114" t="e">
        <f>#REF!</f>
        <v>#REF!</v>
      </c>
      <c r="BA109" s="108" t="e">
        <f>#REF!</f>
        <v>#REF!</v>
      </c>
      <c r="BB109" s="108" t="e">
        <f t="shared" si="102"/>
        <v>#REF!</v>
      </c>
      <c r="BC109" s="112" t="e">
        <f>#REF!</f>
        <v>#REF!</v>
      </c>
      <c r="BD109" s="114" t="e">
        <f>#REF!</f>
        <v>#REF!</v>
      </c>
      <c r="BE109" s="108" t="e">
        <f>#REF!</f>
        <v>#REF!</v>
      </c>
      <c r="BF109" s="108" t="e">
        <f t="shared" si="103"/>
        <v>#REF!</v>
      </c>
      <c r="BG109" s="112" t="e">
        <f>#REF!</f>
        <v>#REF!</v>
      </c>
      <c r="BH109" s="114" t="e">
        <f>#REF!</f>
        <v>#REF!</v>
      </c>
      <c r="BI109" s="108" t="e">
        <f>#REF!</f>
        <v>#REF!</v>
      </c>
      <c r="BJ109" s="108" t="e">
        <f t="shared" si="104"/>
        <v>#REF!</v>
      </c>
      <c r="BK109" s="112" t="e">
        <f>#REF!</f>
        <v>#REF!</v>
      </c>
      <c r="BL109" s="114" t="e">
        <f>#REF!</f>
        <v>#REF!</v>
      </c>
      <c r="BM109" s="108" t="e">
        <f>#REF!</f>
        <v>#REF!</v>
      </c>
      <c r="BN109" s="108" t="e">
        <f t="shared" si="105"/>
        <v>#REF!</v>
      </c>
      <c r="BO109" s="112" t="e">
        <f>#REF!</f>
        <v>#REF!</v>
      </c>
      <c r="BP109" s="114" t="e">
        <f>#REF!</f>
        <v>#REF!</v>
      </c>
      <c r="BQ109" s="108" t="e">
        <f>#REF!</f>
        <v>#REF!</v>
      </c>
      <c r="BR109" s="108" t="e">
        <f t="shared" si="106"/>
        <v>#REF!</v>
      </c>
      <c r="BS109" s="112" t="e">
        <f>#REF!</f>
        <v>#REF!</v>
      </c>
      <c r="BT109" s="117" t="e">
        <f t="shared" si="113"/>
        <v>#REF!</v>
      </c>
      <c r="BU109" s="118" t="e">
        <f t="shared" si="108"/>
        <v>#REF!</v>
      </c>
      <c r="BV109" s="117" t="e">
        <f t="shared" si="108"/>
        <v>#REF!</v>
      </c>
      <c r="BW109" s="118" t="e">
        <f t="shared" si="109"/>
        <v>#REF!</v>
      </c>
      <c r="BX109" s="117" t="e">
        <f t="shared" si="110"/>
        <v>#REF!</v>
      </c>
      <c r="BY109" s="114" t="e">
        <f t="shared" si="111"/>
        <v>#REF!</v>
      </c>
    </row>
    <row r="110" spans="1:77" x14ac:dyDescent="0.35">
      <c r="A110" s="109" t="e">
        <f>#REF!</f>
        <v>#REF!</v>
      </c>
      <c r="B110" s="169"/>
      <c r="C110" s="113" t="s">
        <v>43</v>
      </c>
      <c r="D110" s="115" t="e">
        <f>#REF!</f>
        <v>#REF!</v>
      </c>
      <c r="E110" s="109" t="e">
        <f>#REF!</f>
        <v>#REF!</v>
      </c>
      <c r="F110" s="109" t="e">
        <f t="shared" si="90"/>
        <v>#REF!</v>
      </c>
      <c r="G110" s="113" t="e">
        <f>#REF!</f>
        <v>#REF!</v>
      </c>
      <c r="H110" s="115" t="e">
        <f>#REF!</f>
        <v>#REF!</v>
      </c>
      <c r="I110" s="109" t="e">
        <f>#REF!</f>
        <v>#REF!</v>
      </c>
      <c r="J110" s="109" t="e">
        <f t="shared" si="91"/>
        <v>#REF!</v>
      </c>
      <c r="K110" s="113" t="e">
        <f>#REF!</f>
        <v>#REF!</v>
      </c>
      <c r="L110" s="115" t="e">
        <f>#REF!</f>
        <v>#REF!</v>
      </c>
      <c r="M110" s="109" t="e">
        <f>#REF!</f>
        <v>#REF!</v>
      </c>
      <c r="N110" s="109" t="e">
        <f t="shared" si="92"/>
        <v>#REF!</v>
      </c>
      <c r="O110" s="113" t="e">
        <f>#REF!</f>
        <v>#REF!</v>
      </c>
      <c r="P110" s="115" t="e">
        <f>#REF!</f>
        <v>#REF!</v>
      </c>
      <c r="Q110" s="109" t="e">
        <f>#REF!</f>
        <v>#REF!</v>
      </c>
      <c r="R110" s="109" t="e">
        <f t="shared" si="93"/>
        <v>#REF!</v>
      </c>
      <c r="S110" s="113" t="e">
        <f>#REF!</f>
        <v>#REF!</v>
      </c>
      <c r="T110" s="115" t="e">
        <f>#REF!</f>
        <v>#REF!</v>
      </c>
      <c r="U110" s="109" t="e">
        <f>#REF!</f>
        <v>#REF!</v>
      </c>
      <c r="V110" s="109" t="e">
        <f t="shared" si="94"/>
        <v>#REF!</v>
      </c>
      <c r="W110" s="113" t="e">
        <f>#REF!</f>
        <v>#REF!</v>
      </c>
      <c r="X110" s="115" t="e">
        <f>#REF!</f>
        <v>#REF!</v>
      </c>
      <c r="Y110" s="109" t="e">
        <f>#REF!</f>
        <v>#REF!</v>
      </c>
      <c r="Z110" s="109" t="e">
        <f t="shared" si="95"/>
        <v>#REF!</v>
      </c>
      <c r="AA110" s="113" t="e">
        <f>#REF!</f>
        <v>#REF!</v>
      </c>
      <c r="AB110" s="115" t="e">
        <f>#REF!</f>
        <v>#REF!</v>
      </c>
      <c r="AC110" s="109" t="e">
        <f>#REF!</f>
        <v>#REF!</v>
      </c>
      <c r="AD110" s="109" t="e">
        <f t="shared" si="96"/>
        <v>#REF!</v>
      </c>
      <c r="AE110" s="113" t="e">
        <f>#REF!</f>
        <v>#REF!</v>
      </c>
      <c r="AF110" s="115" t="e">
        <f>#REF!</f>
        <v>#REF!</v>
      </c>
      <c r="AG110" s="109" t="e">
        <f>#REF!</f>
        <v>#REF!</v>
      </c>
      <c r="AH110" s="109" t="e">
        <f t="shared" si="97"/>
        <v>#REF!</v>
      </c>
      <c r="AI110" s="113" t="e">
        <f>#REF!</f>
        <v>#REF!</v>
      </c>
      <c r="AJ110" s="115" t="e">
        <f>#REF!</f>
        <v>#REF!</v>
      </c>
      <c r="AK110" s="109" t="e">
        <f>#REF!</f>
        <v>#REF!</v>
      </c>
      <c r="AL110" s="109" t="e">
        <f t="shared" si="98"/>
        <v>#REF!</v>
      </c>
      <c r="AM110" s="113" t="e">
        <f>#REF!</f>
        <v>#REF!</v>
      </c>
      <c r="AN110" s="115" t="e">
        <f>#REF!</f>
        <v>#REF!</v>
      </c>
      <c r="AO110" s="109" t="e">
        <f>#REF!</f>
        <v>#REF!</v>
      </c>
      <c r="AP110" s="109" t="e">
        <f t="shared" si="99"/>
        <v>#REF!</v>
      </c>
      <c r="AQ110" s="113" t="e">
        <f>#REF!</f>
        <v>#REF!</v>
      </c>
      <c r="AR110" s="115" t="e">
        <f>#REF!</f>
        <v>#REF!</v>
      </c>
      <c r="AS110" s="109" t="e">
        <f>#REF!</f>
        <v>#REF!</v>
      </c>
      <c r="AT110" s="109" t="e">
        <f t="shared" si="100"/>
        <v>#REF!</v>
      </c>
      <c r="AU110" s="113" t="e">
        <f>#REF!</f>
        <v>#REF!</v>
      </c>
      <c r="AV110" s="115" t="e">
        <f>#REF!</f>
        <v>#REF!</v>
      </c>
      <c r="AW110" s="109" t="e">
        <f>#REF!</f>
        <v>#REF!</v>
      </c>
      <c r="AX110" s="109" t="e">
        <f t="shared" si="101"/>
        <v>#REF!</v>
      </c>
      <c r="AY110" s="113" t="e">
        <f>#REF!</f>
        <v>#REF!</v>
      </c>
      <c r="AZ110" s="115" t="e">
        <f>#REF!</f>
        <v>#REF!</v>
      </c>
      <c r="BA110" s="109" t="e">
        <f>#REF!</f>
        <v>#REF!</v>
      </c>
      <c r="BB110" s="109" t="e">
        <f t="shared" si="102"/>
        <v>#REF!</v>
      </c>
      <c r="BC110" s="113" t="e">
        <f>#REF!</f>
        <v>#REF!</v>
      </c>
      <c r="BD110" s="115" t="e">
        <f>#REF!</f>
        <v>#REF!</v>
      </c>
      <c r="BE110" s="109" t="e">
        <f>#REF!</f>
        <v>#REF!</v>
      </c>
      <c r="BF110" s="109" t="e">
        <f t="shared" si="103"/>
        <v>#REF!</v>
      </c>
      <c r="BG110" s="113" t="e">
        <f>#REF!</f>
        <v>#REF!</v>
      </c>
      <c r="BH110" s="115" t="e">
        <f>#REF!</f>
        <v>#REF!</v>
      </c>
      <c r="BI110" s="109" t="e">
        <f>#REF!</f>
        <v>#REF!</v>
      </c>
      <c r="BJ110" s="109" t="e">
        <f t="shared" si="104"/>
        <v>#REF!</v>
      </c>
      <c r="BK110" s="113" t="e">
        <f>#REF!</f>
        <v>#REF!</v>
      </c>
      <c r="BL110" s="115" t="e">
        <f>#REF!</f>
        <v>#REF!</v>
      </c>
      <c r="BM110" s="109" t="e">
        <f>#REF!</f>
        <v>#REF!</v>
      </c>
      <c r="BN110" s="109" t="e">
        <f t="shared" si="105"/>
        <v>#REF!</v>
      </c>
      <c r="BO110" s="113" t="e">
        <f>#REF!</f>
        <v>#REF!</v>
      </c>
      <c r="BP110" s="115" t="e">
        <f>#REF!</f>
        <v>#REF!</v>
      </c>
      <c r="BQ110" s="109" t="e">
        <f>#REF!</f>
        <v>#REF!</v>
      </c>
      <c r="BR110" s="109" t="e">
        <f t="shared" si="106"/>
        <v>#REF!</v>
      </c>
      <c r="BS110" s="113" t="e">
        <f>#REF!</f>
        <v>#REF!</v>
      </c>
      <c r="BT110" s="119" t="e">
        <f t="shared" si="113"/>
        <v>#REF!</v>
      </c>
      <c r="BU110" s="120" t="e">
        <f t="shared" si="108"/>
        <v>#REF!</v>
      </c>
      <c r="BV110" s="119" t="e">
        <f t="shared" si="108"/>
        <v>#REF!</v>
      </c>
      <c r="BW110" s="120" t="e">
        <f t="shared" si="109"/>
        <v>#REF!</v>
      </c>
      <c r="BX110" s="119" t="e">
        <f t="shared" si="110"/>
        <v>#REF!</v>
      </c>
      <c r="BY110" s="115" t="e">
        <f t="shared" si="111"/>
        <v>#REF!</v>
      </c>
    </row>
    <row r="111" spans="1:77" ht="15" thickBot="1" x14ac:dyDescent="0.4">
      <c r="C111" s="5" t="s">
        <v>40</v>
      </c>
      <c r="D111" s="116" t="e">
        <f t="shared" ref="D111:BO111" si="114">AVERAGE(D95:D108)</f>
        <v>#REF!</v>
      </c>
      <c r="E111" s="48" t="e">
        <f t="shared" si="114"/>
        <v>#REF!</v>
      </c>
      <c r="F111" s="48" t="e">
        <f t="shared" si="114"/>
        <v>#REF!</v>
      </c>
      <c r="G111" s="5" t="e">
        <f t="shared" si="114"/>
        <v>#REF!</v>
      </c>
      <c r="H111" s="116" t="e">
        <f t="shared" si="114"/>
        <v>#REF!</v>
      </c>
      <c r="I111" s="48" t="e">
        <f t="shared" si="114"/>
        <v>#REF!</v>
      </c>
      <c r="J111" s="48" t="e">
        <f t="shared" si="114"/>
        <v>#REF!</v>
      </c>
      <c r="K111" s="5" t="e">
        <f t="shared" si="114"/>
        <v>#REF!</v>
      </c>
      <c r="L111" s="116" t="e">
        <f t="shared" si="114"/>
        <v>#REF!</v>
      </c>
      <c r="M111" s="48" t="e">
        <f t="shared" si="114"/>
        <v>#REF!</v>
      </c>
      <c r="N111" s="48" t="e">
        <f t="shared" si="114"/>
        <v>#REF!</v>
      </c>
      <c r="O111" s="5" t="e">
        <f t="shared" si="114"/>
        <v>#REF!</v>
      </c>
      <c r="P111" s="116" t="e">
        <f t="shared" si="114"/>
        <v>#REF!</v>
      </c>
      <c r="Q111" s="48" t="e">
        <f t="shared" si="114"/>
        <v>#REF!</v>
      </c>
      <c r="R111" s="48" t="e">
        <f t="shared" si="114"/>
        <v>#REF!</v>
      </c>
      <c r="S111" s="5" t="e">
        <f t="shared" si="114"/>
        <v>#REF!</v>
      </c>
      <c r="T111" s="116" t="e">
        <f t="shared" si="114"/>
        <v>#REF!</v>
      </c>
      <c r="U111" s="48" t="e">
        <f t="shared" si="114"/>
        <v>#REF!</v>
      </c>
      <c r="V111" s="48" t="e">
        <f t="shared" si="114"/>
        <v>#REF!</v>
      </c>
      <c r="W111" s="5" t="e">
        <f t="shared" si="114"/>
        <v>#REF!</v>
      </c>
      <c r="X111" s="116" t="e">
        <f t="shared" si="114"/>
        <v>#REF!</v>
      </c>
      <c r="Y111" s="48" t="e">
        <f t="shared" si="114"/>
        <v>#REF!</v>
      </c>
      <c r="Z111" s="48" t="e">
        <f t="shared" si="114"/>
        <v>#REF!</v>
      </c>
      <c r="AA111" s="5" t="e">
        <f t="shared" si="114"/>
        <v>#REF!</v>
      </c>
      <c r="AB111" s="116" t="e">
        <f t="shared" si="114"/>
        <v>#REF!</v>
      </c>
      <c r="AC111" s="48" t="e">
        <f t="shared" si="114"/>
        <v>#REF!</v>
      </c>
      <c r="AD111" s="48" t="e">
        <f t="shared" si="114"/>
        <v>#REF!</v>
      </c>
      <c r="AE111" s="5" t="e">
        <f t="shared" si="114"/>
        <v>#REF!</v>
      </c>
      <c r="AF111" s="116" t="e">
        <f t="shared" si="114"/>
        <v>#REF!</v>
      </c>
      <c r="AG111" s="48" t="e">
        <f t="shared" si="114"/>
        <v>#REF!</v>
      </c>
      <c r="AH111" s="48" t="e">
        <f t="shared" si="114"/>
        <v>#REF!</v>
      </c>
      <c r="AI111" s="5" t="e">
        <f t="shared" si="114"/>
        <v>#REF!</v>
      </c>
      <c r="AJ111" s="116" t="e">
        <f t="shared" si="114"/>
        <v>#REF!</v>
      </c>
      <c r="AK111" s="48" t="e">
        <f t="shared" si="114"/>
        <v>#REF!</v>
      </c>
      <c r="AL111" s="48" t="e">
        <f t="shared" si="114"/>
        <v>#REF!</v>
      </c>
      <c r="AM111" s="5" t="e">
        <f t="shared" si="114"/>
        <v>#REF!</v>
      </c>
      <c r="AN111" s="116" t="e">
        <f t="shared" si="114"/>
        <v>#REF!</v>
      </c>
      <c r="AO111" s="48" t="e">
        <f t="shared" si="114"/>
        <v>#REF!</v>
      </c>
      <c r="AP111" s="48" t="e">
        <f t="shared" si="114"/>
        <v>#REF!</v>
      </c>
      <c r="AQ111" s="5" t="e">
        <f t="shared" si="114"/>
        <v>#REF!</v>
      </c>
      <c r="AR111" s="116" t="e">
        <f t="shared" si="114"/>
        <v>#REF!</v>
      </c>
      <c r="AS111" s="48" t="e">
        <f t="shared" si="114"/>
        <v>#REF!</v>
      </c>
      <c r="AT111" s="48" t="e">
        <f t="shared" si="114"/>
        <v>#REF!</v>
      </c>
      <c r="AU111" s="5" t="e">
        <f t="shared" si="114"/>
        <v>#REF!</v>
      </c>
      <c r="AV111" s="116" t="e">
        <f t="shared" si="114"/>
        <v>#REF!</v>
      </c>
      <c r="AW111" s="48" t="e">
        <f t="shared" si="114"/>
        <v>#REF!</v>
      </c>
      <c r="AX111" s="48" t="e">
        <f t="shared" si="114"/>
        <v>#REF!</v>
      </c>
      <c r="AY111" s="5" t="e">
        <f t="shared" si="114"/>
        <v>#REF!</v>
      </c>
      <c r="AZ111" s="116" t="e">
        <f t="shared" si="114"/>
        <v>#REF!</v>
      </c>
      <c r="BA111" s="48" t="e">
        <f t="shared" si="114"/>
        <v>#REF!</v>
      </c>
      <c r="BB111" s="48" t="e">
        <f t="shared" si="114"/>
        <v>#REF!</v>
      </c>
      <c r="BC111" s="5" t="e">
        <f t="shared" si="114"/>
        <v>#REF!</v>
      </c>
      <c r="BD111" s="116" t="e">
        <f t="shared" si="114"/>
        <v>#REF!</v>
      </c>
      <c r="BE111" s="48" t="e">
        <f t="shared" si="114"/>
        <v>#REF!</v>
      </c>
      <c r="BF111" s="48" t="e">
        <f t="shared" si="114"/>
        <v>#REF!</v>
      </c>
      <c r="BG111" s="5" t="e">
        <f t="shared" si="114"/>
        <v>#REF!</v>
      </c>
      <c r="BH111" s="116" t="e">
        <f t="shared" si="114"/>
        <v>#REF!</v>
      </c>
      <c r="BI111" s="48" t="e">
        <f t="shared" si="114"/>
        <v>#REF!</v>
      </c>
      <c r="BJ111" s="48" t="e">
        <f t="shared" si="114"/>
        <v>#REF!</v>
      </c>
      <c r="BK111" s="5" t="e">
        <f t="shared" si="114"/>
        <v>#REF!</v>
      </c>
      <c r="BL111" s="116" t="e">
        <f t="shared" si="114"/>
        <v>#REF!</v>
      </c>
      <c r="BM111" s="48" t="e">
        <f t="shared" si="114"/>
        <v>#REF!</v>
      </c>
      <c r="BN111" s="48" t="e">
        <f t="shared" si="114"/>
        <v>#REF!</v>
      </c>
      <c r="BO111" s="5" t="e">
        <f t="shared" si="114"/>
        <v>#REF!</v>
      </c>
      <c r="BP111" s="116" t="e">
        <f t="shared" ref="BP111:BY111" si="115">AVERAGE(BP95:BP108)</f>
        <v>#REF!</v>
      </c>
      <c r="BQ111" s="48" t="e">
        <f t="shared" si="115"/>
        <v>#REF!</v>
      </c>
      <c r="BR111" s="48" t="e">
        <f t="shared" si="115"/>
        <v>#REF!</v>
      </c>
      <c r="BS111" s="5" t="e">
        <f t="shared" si="115"/>
        <v>#REF!</v>
      </c>
      <c r="BT111" s="102" t="e">
        <f t="shared" si="115"/>
        <v>#REF!</v>
      </c>
      <c r="BU111" s="111" t="e">
        <f t="shared" si="115"/>
        <v>#REF!</v>
      </c>
      <c r="BV111" s="111" t="e">
        <f t="shared" si="115"/>
        <v>#REF!</v>
      </c>
      <c r="BW111" s="102" t="e">
        <f t="shared" si="115"/>
        <v>#REF!</v>
      </c>
      <c r="BX111" s="102" t="e">
        <f t="shared" si="115"/>
        <v>#REF!</v>
      </c>
      <c r="BY111" s="103" t="e">
        <f t="shared" si="115"/>
        <v>#REF!</v>
      </c>
    </row>
  </sheetData>
  <mergeCells count="110">
    <mergeCell ref="AR93:AU93"/>
    <mergeCell ref="AV93:AY93"/>
    <mergeCell ref="AZ93:BC93"/>
    <mergeCell ref="BY93:BY94"/>
    <mergeCell ref="BD93:BG93"/>
    <mergeCell ref="BH93:BK93"/>
    <mergeCell ref="BL93:BO93"/>
    <mergeCell ref="BP93:BS93"/>
    <mergeCell ref="BT93:BT94"/>
    <mergeCell ref="BU93:BU94"/>
    <mergeCell ref="BV93:BV94"/>
    <mergeCell ref="BW93:BW94"/>
    <mergeCell ref="BX93:BX94"/>
    <mergeCell ref="L93:O93"/>
    <mergeCell ref="B95:B110"/>
    <mergeCell ref="P93:S93"/>
    <mergeCell ref="T93:W93"/>
    <mergeCell ref="X93:AA93"/>
    <mergeCell ref="AB93:AE93"/>
    <mergeCell ref="AF93:AI93"/>
    <mergeCell ref="AJ93:AM93"/>
    <mergeCell ref="AN93:AQ93"/>
    <mergeCell ref="A1:A2"/>
    <mergeCell ref="B1:B2"/>
    <mergeCell ref="C1:C2"/>
    <mergeCell ref="D1:G1"/>
    <mergeCell ref="H1:K1"/>
    <mergeCell ref="A91:H91"/>
    <mergeCell ref="A93:A94"/>
    <mergeCell ref="B93:B94"/>
    <mergeCell ref="C93:C94"/>
    <mergeCell ref="D93:G93"/>
    <mergeCell ref="H93:K93"/>
    <mergeCell ref="D38:G38"/>
    <mergeCell ref="H38:K38"/>
    <mergeCell ref="D37:G37"/>
    <mergeCell ref="H37:K37"/>
    <mergeCell ref="CE1:CE2"/>
    <mergeCell ref="CF1:CF2"/>
    <mergeCell ref="BY1:BY2"/>
    <mergeCell ref="B3:B34"/>
    <mergeCell ref="BT1:BT2"/>
    <mergeCell ref="BU1:BU2"/>
    <mergeCell ref="BV1:BV2"/>
    <mergeCell ref="BW1:BW2"/>
    <mergeCell ref="AF1:AI1"/>
    <mergeCell ref="AJ1:AM1"/>
    <mergeCell ref="AN1:AQ1"/>
    <mergeCell ref="AR1:AU1"/>
    <mergeCell ref="AV1:AY1"/>
    <mergeCell ref="L1:O1"/>
    <mergeCell ref="P1:S1"/>
    <mergeCell ref="T1:W1"/>
    <mergeCell ref="X1:AA1"/>
    <mergeCell ref="AB1:AE1"/>
    <mergeCell ref="BX1:BX2"/>
    <mergeCell ref="AZ1:BC1"/>
    <mergeCell ref="BD1:BG1"/>
    <mergeCell ref="BH1:BK1"/>
    <mergeCell ref="BL1:BO1"/>
    <mergeCell ref="BP1:BS1"/>
    <mergeCell ref="CC1:CC2"/>
    <mergeCell ref="CD1:CD2"/>
    <mergeCell ref="BL37:BO37"/>
    <mergeCell ref="BP37:BS37"/>
    <mergeCell ref="AR37:AU37"/>
    <mergeCell ref="AV37:AY37"/>
    <mergeCell ref="AZ37:BC37"/>
    <mergeCell ref="BD37:BG37"/>
    <mergeCell ref="BH37:BK37"/>
    <mergeCell ref="P38:S38"/>
    <mergeCell ref="T38:W38"/>
    <mergeCell ref="X38:AA38"/>
    <mergeCell ref="AB38:AE38"/>
    <mergeCell ref="AF38:AI38"/>
    <mergeCell ref="AJ38:AM38"/>
    <mergeCell ref="AN38:AQ38"/>
    <mergeCell ref="AR38:AU38"/>
    <mergeCell ref="L37:O37"/>
    <mergeCell ref="P37:S37"/>
    <mergeCell ref="T37:W37"/>
    <mergeCell ref="X37:AA37"/>
    <mergeCell ref="AB37:AE37"/>
    <mergeCell ref="AF37:AI37"/>
    <mergeCell ref="AJ37:AM37"/>
    <mergeCell ref="AN37:AQ37"/>
    <mergeCell ref="BD39:BG39"/>
    <mergeCell ref="BH39:BK39"/>
    <mergeCell ref="BL39:BO39"/>
    <mergeCell ref="BP39:BS39"/>
    <mergeCell ref="BH38:BK38"/>
    <mergeCell ref="BL38:BO38"/>
    <mergeCell ref="BP38:BS38"/>
    <mergeCell ref="D39:G39"/>
    <mergeCell ref="H39:K39"/>
    <mergeCell ref="L39:O39"/>
    <mergeCell ref="P39:S39"/>
    <mergeCell ref="T39:W39"/>
    <mergeCell ref="X39:AA39"/>
    <mergeCell ref="AB39:AE39"/>
    <mergeCell ref="AF39:AI39"/>
    <mergeCell ref="AJ39:AM39"/>
    <mergeCell ref="AN39:AQ39"/>
    <mergeCell ref="AR39:AU39"/>
    <mergeCell ref="AV39:AY39"/>
    <mergeCell ref="AZ39:BC39"/>
    <mergeCell ref="AV38:AY38"/>
    <mergeCell ref="AZ38:BC38"/>
    <mergeCell ref="BD38:BG38"/>
    <mergeCell ref="L38:O38"/>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62600-7190-421C-AB98-6D36CC77D393}">
  <dimension ref="A1:CF39"/>
  <sheetViews>
    <sheetView topLeftCell="BG1" zoomScale="75" zoomScaleNormal="75" workbookViewId="0">
      <pane ySplit="2" topLeftCell="A3" activePane="bottomLeft" state="frozen"/>
      <selection activeCell="E37" sqref="E37:BT39"/>
      <selection pane="bottomLeft" activeCell="BX1" sqref="BX1:BX2"/>
    </sheetView>
  </sheetViews>
  <sheetFormatPr defaultRowHeight="14.5" x14ac:dyDescent="0.35"/>
  <cols>
    <col min="2" max="2" width="26.7265625" customWidth="1"/>
    <col min="3" max="3" width="13.1796875" bestFit="1" customWidth="1"/>
    <col min="71" max="71" width="5.453125" customWidth="1"/>
    <col min="76" max="76" width="13.08984375" bestFit="1" customWidth="1"/>
    <col min="81" max="81" width="13.1796875" bestFit="1" customWidth="1"/>
    <col min="83" max="83" width="13.08984375" bestFit="1" customWidth="1"/>
  </cols>
  <sheetData>
    <row r="1" spans="1:84" ht="15.5" thickTop="1" thickBot="1" x14ac:dyDescent="0.4">
      <c r="A1" s="153" t="s">
        <v>0</v>
      </c>
      <c r="B1" s="161" t="s">
        <v>1</v>
      </c>
      <c r="C1" s="151" t="s">
        <v>2</v>
      </c>
      <c r="D1" s="164" t="s">
        <v>3</v>
      </c>
      <c r="E1" s="165"/>
      <c r="F1" s="165"/>
      <c r="G1" s="166"/>
      <c r="H1" s="158" t="s">
        <v>95</v>
      </c>
      <c r="I1" s="158"/>
      <c r="J1" s="158"/>
      <c r="K1" s="159"/>
      <c r="L1" s="153" t="s">
        <v>96</v>
      </c>
      <c r="M1" s="149"/>
      <c r="N1" s="149"/>
      <c r="O1" s="151"/>
      <c r="P1" s="153" t="s">
        <v>97</v>
      </c>
      <c r="Q1" s="149"/>
      <c r="R1" s="149"/>
      <c r="S1" s="151"/>
      <c r="T1" s="153" t="s">
        <v>98</v>
      </c>
      <c r="U1" s="149"/>
      <c r="V1" s="149"/>
      <c r="W1" s="151"/>
      <c r="X1" s="153" t="s">
        <v>99</v>
      </c>
      <c r="Y1" s="149"/>
      <c r="Z1" s="149"/>
      <c r="AA1" s="151"/>
      <c r="AB1" s="153" t="s">
        <v>100</v>
      </c>
      <c r="AC1" s="149"/>
      <c r="AD1" s="149"/>
      <c r="AE1" s="151"/>
      <c r="AF1" s="153" t="s">
        <v>101</v>
      </c>
      <c r="AG1" s="149"/>
      <c r="AH1" s="149"/>
      <c r="AI1" s="151"/>
      <c r="AJ1" s="153" t="s">
        <v>102</v>
      </c>
      <c r="AK1" s="149"/>
      <c r="AL1" s="149"/>
      <c r="AM1" s="151"/>
      <c r="AN1" s="153" t="s">
        <v>103</v>
      </c>
      <c r="AO1" s="149"/>
      <c r="AP1" s="149"/>
      <c r="AQ1" s="151"/>
      <c r="AR1" s="153" t="s">
        <v>104</v>
      </c>
      <c r="AS1" s="149"/>
      <c r="AT1" s="149"/>
      <c r="AU1" s="151"/>
      <c r="AV1" s="153" t="s">
        <v>105</v>
      </c>
      <c r="AW1" s="149"/>
      <c r="AX1" s="149"/>
      <c r="AY1" s="156"/>
      <c r="AZ1" s="157" t="s">
        <v>106</v>
      </c>
      <c r="BA1" s="158"/>
      <c r="BB1" s="158"/>
      <c r="BC1" s="159"/>
      <c r="BD1" s="153" t="s">
        <v>107</v>
      </c>
      <c r="BE1" s="149"/>
      <c r="BF1" s="149"/>
      <c r="BG1" s="151"/>
      <c r="BH1" s="153" t="s">
        <v>108</v>
      </c>
      <c r="BI1" s="149"/>
      <c r="BJ1" s="149"/>
      <c r="BK1" s="151"/>
      <c r="BL1" s="153" t="s">
        <v>109</v>
      </c>
      <c r="BM1" s="149"/>
      <c r="BN1" s="149"/>
      <c r="BO1" s="151"/>
      <c r="BP1" s="153" t="s">
        <v>110</v>
      </c>
      <c r="BQ1" s="149"/>
      <c r="BR1" s="149"/>
      <c r="BS1" s="151"/>
      <c r="BT1" s="154" t="s">
        <v>20</v>
      </c>
      <c r="BU1" s="149" t="s">
        <v>21</v>
      </c>
      <c r="BV1" s="149" t="s">
        <v>22</v>
      </c>
      <c r="BW1" s="149" t="s">
        <v>23</v>
      </c>
      <c r="BX1" s="149" t="s">
        <v>141</v>
      </c>
      <c r="BY1" s="151" t="s">
        <v>24</v>
      </c>
      <c r="CC1" s="146" t="s">
        <v>2</v>
      </c>
      <c r="CD1" s="146" t="str">
        <f>BW1</f>
        <v>Recall</v>
      </c>
      <c r="CE1" s="146" t="str">
        <f>BX1</f>
        <v>Precision</v>
      </c>
      <c r="CF1" s="146" t="str">
        <f>BY1</f>
        <v>F1</v>
      </c>
    </row>
    <row r="2" spans="1:84" ht="15.5" thickTop="1" thickBot="1" x14ac:dyDescent="0.4">
      <c r="A2" s="160"/>
      <c r="B2" s="162"/>
      <c r="C2" s="163"/>
      <c r="D2" s="6" t="s">
        <v>25</v>
      </c>
      <c r="E2" s="1" t="s">
        <v>20</v>
      </c>
      <c r="F2" s="1" t="s">
        <v>21</v>
      </c>
      <c r="G2" s="2" t="s">
        <v>22</v>
      </c>
      <c r="H2" s="1" t="s">
        <v>25</v>
      </c>
      <c r="I2" s="4" t="s">
        <v>20</v>
      </c>
      <c r="J2" s="4" t="s">
        <v>21</v>
      </c>
      <c r="K2" s="2" t="s">
        <v>22</v>
      </c>
      <c r="L2" s="1" t="s">
        <v>25</v>
      </c>
      <c r="M2" s="4" t="s">
        <v>20</v>
      </c>
      <c r="N2" s="4" t="s">
        <v>21</v>
      </c>
      <c r="O2" s="2" t="s">
        <v>22</v>
      </c>
      <c r="P2" s="1" t="s">
        <v>25</v>
      </c>
      <c r="Q2" s="4" t="s">
        <v>20</v>
      </c>
      <c r="R2" s="4" t="s">
        <v>21</v>
      </c>
      <c r="S2" s="2" t="s">
        <v>22</v>
      </c>
      <c r="T2" s="1" t="s">
        <v>25</v>
      </c>
      <c r="U2" s="4" t="s">
        <v>20</v>
      </c>
      <c r="V2" s="4" t="s">
        <v>21</v>
      </c>
      <c r="W2" s="2" t="s">
        <v>22</v>
      </c>
      <c r="X2" s="1" t="s">
        <v>25</v>
      </c>
      <c r="Y2" s="4" t="s">
        <v>20</v>
      </c>
      <c r="Z2" s="4" t="s">
        <v>21</v>
      </c>
      <c r="AA2" s="2" t="s">
        <v>22</v>
      </c>
      <c r="AB2" s="1" t="s">
        <v>25</v>
      </c>
      <c r="AC2" s="4" t="s">
        <v>20</v>
      </c>
      <c r="AD2" s="4" t="s">
        <v>21</v>
      </c>
      <c r="AE2" s="2" t="s">
        <v>22</v>
      </c>
      <c r="AF2" s="1" t="s">
        <v>25</v>
      </c>
      <c r="AG2" s="4" t="s">
        <v>20</v>
      </c>
      <c r="AH2" s="4" t="s">
        <v>21</v>
      </c>
      <c r="AI2" s="2" t="s">
        <v>22</v>
      </c>
      <c r="AJ2" s="1" t="s">
        <v>25</v>
      </c>
      <c r="AK2" s="4" t="s">
        <v>20</v>
      </c>
      <c r="AL2" s="4" t="s">
        <v>21</v>
      </c>
      <c r="AM2" s="2" t="s">
        <v>22</v>
      </c>
      <c r="AN2" s="1" t="s">
        <v>25</v>
      </c>
      <c r="AO2" s="4" t="s">
        <v>20</v>
      </c>
      <c r="AP2" s="4" t="s">
        <v>21</v>
      </c>
      <c r="AQ2" s="2" t="s">
        <v>22</v>
      </c>
      <c r="AR2" s="1" t="s">
        <v>25</v>
      </c>
      <c r="AS2" s="4" t="s">
        <v>20</v>
      </c>
      <c r="AT2" s="4" t="s">
        <v>21</v>
      </c>
      <c r="AU2" s="2" t="s">
        <v>22</v>
      </c>
      <c r="AV2" s="1" t="s">
        <v>25</v>
      </c>
      <c r="AW2" s="4" t="s">
        <v>20</v>
      </c>
      <c r="AX2" s="4" t="s">
        <v>21</v>
      </c>
      <c r="AY2" s="122" t="s">
        <v>22</v>
      </c>
      <c r="AZ2" s="121" t="s">
        <v>25</v>
      </c>
      <c r="BA2" s="3" t="s">
        <v>20</v>
      </c>
      <c r="BB2" s="3" t="s">
        <v>21</v>
      </c>
      <c r="BC2" s="122" t="s">
        <v>22</v>
      </c>
      <c r="BD2" s="6" t="s">
        <v>25</v>
      </c>
      <c r="BE2" s="4" t="s">
        <v>20</v>
      </c>
      <c r="BF2" s="4" t="s">
        <v>21</v>
      </c>
      <c r="BG2" s="2" t="s">
        <v>22</v>
      </c>
      <c r="BH2" s="1" t="s">
        <v>25</v>
      </c>
      <c r="BI2" s="4" t="s">
        <v>20</v>
      </c>
      <c r="BJ2" s="4" t="s">
        <v>21</v>
      </c>
      <c r="BK2" s="2" t="s">
        <v>22</v>
      </c>
      <c r="BL2" s="1" t="s">
        <v>25</v>
      </c>
      <c r="BM2" s="4" t="s">
        <v>20</v>
      </c>
      <c r="BN2" s="4" t="s">
        <v>21</v>
      </c>
      <c r="BO2" s="2" t="s">
        <v>22</v>
      </c>
      <c r="BP2" s="1" t="s">
        <v>25</v>
      </c>
      <c r="BQ2" s="4" t="s">
        <v>20</v>
      </c>
      <c r="BR2" s="4" t="s">
        <v>21</v>
      </c>
      <c r="BS2" s="2" t="s">
        <v>22</v>
      </c>
      <c r="BT2" s="155"/>
      <c r="BU2" s="150"/>
      <c r="BV2" s="150"/>
      <c r="BW2" s="150"/>
      <c r="BX2" s="150"/>
      <c r="BY2" s="152"/>
      <c r="CC2" s="146"/>
      <c r="CD2" s="146"/>
      <c r="CE2" s="146"/>
      <c r="CF2" s="146"/>
    </row>
    <row r="3" spans="1:84" ht="15" thickTop="1" x14ac:dyDescent="0.35">
      <c r="A3" s="49" t="s">
        <v>48</v>
      </c>
      <c r="B3" s="147" t="s">
        <v>51</v>
      </c>
      <c r="C3" s="7" t="s">
        <v>26</v>
      </c>
      <c r="D3" s="8">
        <v>3</v>
      </c>
      <c r="E3" s="9">
        <v>3</v>
      </c>
      <c r="F3" s="9">
        <f>D3-E3</f>
        <v>0</v>
      </c>
      <c r="G3" s="7">
        <v>0</v>
      </c>
      <c r="H3" s="10">
        <v>3</v>
      </c>
      <c r="I3" s="9">
        <v>3</v>
      </c>
      <c r="J3" s="9">
        <f>H3-I3</f>
        <v>0</v>
      </c>
      <c r="K3" s="7">
        <v>0</v>
      </c>
      <c r="L3" s="10">
        <v>6</v>
      </c>
      <c r="M3" s="9">
        <v>6</v>
      </c>
      <c r="N3" s="9">
        <f>L3-M3</f>
        <v>0</v>
      </c>
      <c r="O3" s="7">
        <v>0</v>
      </c>
      <c r="P3" s="10">
        <v>4</v>
      </c>
      <c r="Q3" s="9">
        <v>4</v>
      </c>
      <c r="R3" s="9">
        <f>P3-Q3</f>
        <v>0</v>
      </c>
      <c r="S3" s="7">
        <v>2</v>
      </c>
      <c r="T3" s="10">
        <v>4</v>
      </c>
      <c r="U3" s="9">
        <v>4</v>
      </c>
      <c r="V3" s="9">
        <f>T3-U3</f>
        <v>0</v>
      </c>
      <c r="W3" s="7">
        <v>2</v>
      </c>
      <c r="X3" s="10">
        <v>3</v>
      </c>
      <c r="Y3" s="9">
        <v>2</v>
      </c>
      <c r="Z3" s="9">
        <f>X3-Y3</f>
        <v>1</v>
      </c>
      <c r="AA3" s="7">
        <v>0</v>
      </c>
      <c r="AB3" s="10">
        <v>0</v>
      </c>
      <c r="AC3" s="9">
        <v>0</v>
      </c>
      <c r="AD3" s="9">
        <f>AB3-AC3</f>
        <v>0</v>
      </c>
      <c r="AE3" s="7">
        <v>0</v>
      </c>
      <c r="AF3" s="10">
        <v>3</v>
      </c>
      <c r="AG3" s="9">
        <v>2</v>
      </c>
      <c r="AH3" s="9">
        <f>AF3-AG3</f>
        <v>1</v>
      </c>
      <c r="AI3" s="7">
        <v>0</v>
      </c>
      <c r="AJ3" s="10">
        <v>2</v>
      </c>
      <c r="AK3" s="9">
        <v>2</v>
      </c>
      <c r="AL3" s="9">
        <f>AJ3-AK3</f>
        <v>0</v>
      </c>
      <c r="AM3" s="7">
        <v>0</v>
      </c>
      <c r="AN3" s="10">
        <v>0</v>
      </c>
      <c r="AO3" s="9">
        <v>0</v>
      </c>
      <c r="AP3" s="9">
        <f>AN3-AO3</f>
        <v>0</v>
      </c>
      <c r="AQ3" s="7">
        <v>0</v>
      </c>
      <c r="AR3" s="10">
        <v>0</v>
      </c>
      <c r="AS3" s="9">
        <v>0</v>
      </c>
      <c r="AT3" s="9">
        <f>AR3-AS3</f>
        <v>0</v>
      </c>
      <c r="AU3" s="7">
        <v>0</v>
      </c>
      <c r="AV3" s="10">
        <v>0</v>
      </c>
      <c r="AW3" s="9">
        <v>0</v>
      </c>
      <c r="AX3" s="9">
        <f>AV3-AW3</f>
        <v>0</v>
      </c>
      <c r="AY3" s="7">
        <v>0</v>
      </c>
      <c r="AZ3" s="8">
        <v>2</v>
      </c>
      <c r="BA3" s="124">
        <v>2</v>
      </c>
      <c r="BB3" s="124">
        <f>AZ3-BA3</f>
        <v>0</v>
      </c>
      <c r="BC3" s="123">
        <v>0</v>
      </c>
      <c r="BD3" s="8">
        <v>0</v>
      </c>
      <c r="BE3" s="9">
        <v>0</v>
      </c>
      <c r="BF3" s="9">
        <f>BD3-BE3</f>
        <v>0</v>
      </c>
      <c r="BG3" s="7">
        <v>0</v>
      </c>
      <c r="BH3" s="10">
        <v>0</v>
      </c>
      <c r="BI3" s="9">
        <v>0</v>
      </c>
      <c r="BJ3" s="9">
        <f>BH3-BI3</f>
        <v>0</v>
      </c>
      <c r="BK3" s="7">
        <v>0</v>
      </c>
      <c r="BL3" s="10">
        <v>0</v>
      </c>
      <c r="BM3" s="9">
        <v>0</v>
      </c>
      <c r="BN3" s="9">
        <f>BL3-BM3</f>
        <v>0</v>
      </c>
      <c r="BO3" s="7">
        <v>0</v>
      </c>
      <c r="BP3" s="10">
        <v>0</v>
      </c>
      <c r="BQ3" s="9">
        <v>0</v>
      </c>
      <c r="BR3" s="9">
        <f>BP3-BQ3</f>
        <v>0</v>
      </c>
      <c r="BS3" s="7">
        <v>0</v>
      </c>
      <c r="BT3" s="10">
        <f>SUM(E3,I3,M3,Q3,U3,Y3,AC3,AG3,AK3,AO3,AS3,AW3,BE3,BI3,BM3,BQ3,BA3)</f>
        <v>28</v>
      </c>
      <c r="BU3" s="9">
        <f>SUM(BR3,BN3,BJ3,BF3,AX3,AT3,AP3,AL3,AH3,AD3,Z3,V3,R3,N3,J3,F3,BB3)</f>
        <v>2</v>
      </c>
      <c r="BV3" s="124">
        <f>SUM(BS3,BO3,BK3,BG3,AY3,AU3,AQ3,AM3,AI3,AE3,AA3,W3,S3,O3,K3,G3, BC3)</f>
        <v>4</v>
      </c>
      <c r="BW3" s="9">
        <f>BT3/(BT3+BU3)</f>
        <v>0.93333333333333335</v>
      </c>
      <c r="BX3" s="9">
        <f>BT3/(BT3+BV3)</f>
        <v>0.875</v>
      </c>
      <c r="BY3" s="7">
        <f>2*(BX3*BW3)/(BX3+BW3)</f>
        <v>0.90322580645161288</v>
      </c>
      <c r="CC3" s="133" t="s">
        <v>75</v>
      </c>
      <c r="CD3">
        <f>AVERAGE(BW3:BW4)</f>
        <v>0.93333333333333335</v>
      </c>
      <c r="CE3">
        <f t="shared" ref="CE3:CF3" si="0">AVERAGE(BX3:BX4)</f>
        <v>0.875</v>
      </c>
      <c r="CF3">
        <f t="shared" si="0"/>
        <v>0.90322580645161288</v>
      </c>
    </row>
    <row r="4" spans="1:84" x14ac:dyDescent="0.35">
      <c r="A4" s="49" t="s">
        <v>48</v>
      </c>
      <c r="B4" s="148"/>
      <c r="C4" s="123" t="s">
        <v>60</v>
      </c>
      <c r="D4" s="8">
        <v>3</v>
      </c>
      <c r="E4" s="124">
        <v>3</v>
      </c>
      <c r="F4" s="124">
        <f t="shared" ref="F4:F34" si="1">D4-E4</f>
        <v>0</v>
      </c>
      <c r="G4" s="123">
        <v>0</v>
      </c>
      <c r="H4" s="8">
        <v>3</v>
      </c>
      <c r="I4" s="124">
        <v>3</v>
      </c>
      <c r="J4" s="124">
        <f t="shared" ref="J4:J34" si="2">H4-I4</f>
        <v>0</v>
      </c>
      <c r="K4" s="123">
        <v>0</v>
      </c>
      <c r="L4" s="8">
        <v>6</v>
      </c>
      <c r="M4" s="124">
        <v>6</v>
      </c>
      <c r="N4" s="124">
        <f t="shared" ref="N4:N34" si="3">L4-M4</f>
        <v>0</v>
      </c>
      <c r="O4" s="123">
        <v>0</v>
      </c>
      <c r="P4" s="8">
        <v>4</v>
      </c>
      <c r="Q4" s="124">
        <v>4</v>
      </c>
      <c r="R4" s="124">
        <f t="shared" ref="R4:R34" si="4">P4-Q4</f>
        <v>0</v>
      </c>
      <c r="S4" s="123">
        <v>2</v>
      </c>
      <c r="T4" s="8">
        <v>4</v>
      </c>
      <c r="U4" s="124">
        <v>4</v>
      </c>
      <c r="V4" s="124">
        <f t="shared" ref="V4:V34" si="5">T4-U4</f>
        <v>0</v>
      </c>
      <c r="W4" s="123">
        <v>2</v>
      </c>
      <c r="X4" s="8">
        <v>3</v>
      </c>
      <c r="Y4" s="124">
        <v>2</v>
      </c>
      <c r="Z4" s="124">
        <f t="shared" ref="Z4:Z34" si="6">X4-Y4</f>
        <v>1</v>
      </c>
      <c r="AA4" s="123">
        <v>0</v>
      </c>
      <c r="AB4" s="8">
        <v>0</v>
      </c>
      <c r="AC4" s="124">
        <v>0</v>
      </c>
      <c r="AD4" s="124">
        <f t="shared" ref="AD4:AD29" si="7">AB4-AC4</f>
        <v>0</v>
      </c>
      <c r="AE4" s="123">
        <v>0</v>
      </c>
      <c r="AF4" s="8">
        <v>3</v>
      </c>
      <c r="AG4" s="124">
        <v>2</v>
      </c>
      <c r="AH4" s="124">
        <f t="shared" ref="AH4:AH34" si="8">AF4-AG4</f>
        <v>1</v>
      </c>
      <c r="AI4" s="123">
        <v>0</v>
      </c>
      <c r="AJ4" s="8">
        <v>2</v>
      </c>
      <c r="AK4" s="124">
        <v>2</v>
      </c>
      <c r="AL4" s="124">
        <f t="shared" ref="AL4:AL34" si="9">AJ4-AK4</f>
        <v>0</v>
      </c>
      <c r="AM4" s="123">
        <v>0</v>
      </c>
      <c r="AN4" s="8">
        <v>0</v>
      </c>
      <c r="AO4" s="124">
        <v>0</v>
      </c>
      <c r="AP4" s="124">
        <f t="shared" ref="AP4:AP34" si="10">AN4-AO4</f>
        <v>0</v>
      </c>
      <c r="AQ4" s="123">
        <v>0</v>
      </c>
      <c r="AR4" s="8">
        <v>0</v>
      </c>
      <c r="AS4" s="124">
        <v>0</v>
      </c>
      <c r="AT4" s="124">
        <f t="shared" ref="AT4:AT34" si="11">AR4-AS4</f>
        <v>0</v>
      </c>
      <c r="AU4" s="123">
        <v>0</v>
      </c>
      <c r="AV4" s="8">
        <v>0</v>
      </c>
      <c r="AW4" s="124">
        <v>0</v>
      </c>
      <c r="AX4" s="124">
        <f t="shared" ref="AX4:AX34" si="12">AV4-AW4</f>
        <v>0</v>
      </c>
      <c r="AY4" s="123">
        <v>0</v>
      </c>
      <c r="AZ4" s="8">
        <v>2</v>
      </c>
      <c r="BA4" s="124">
        <v>2</v>
      </c>
      <c r="BB4" s="124">
        <f t="shared" ref="BB4:BB34" si="13">AZ4-BA4</f>
        <v>0</v>
      </c>
      <c r="BC4" s="123">
        <v>0</v>
      </c>
      <c r="BD4" s="8">
        <v>0</v>
      </c>
      <c r="BE4" s="124">
        <v>0</v>
      </c>
      <c r="BF4" s="124">
        <f t="shared" ref="BF4:BF34" si="14">BD4-BE4</f>
        <v>0</v>
      </c>
      <c r="BG4" s="123">
        <v>0</v>
      </c>
      <c r="BH4" s="8">
        <v>0</v>
      </c>
      <c r="BI4" s="124">
        <v>0</v>
      </c>
      <c r="BJ4" s="124">
        <f t="shared" ref="BJ4:BJ34" si="15">BH4-BI4</f>
        <v>0</v>
      </c>
      <c r="BK4" s="123">
        <v>0</v>
      </c>
      <c r="BL4" s="8">
        <v>0</v>
      </c>
      <c r="BM4" s="124">
        <v>0</v>
      </c>
      <c r="BN4" s="124">
        <f t="shared" ref="BN4:BN34" si="16">BL4-BM4</f>
        <v>0</v>
      </c>
      <c r="BO4" s="123">
        <v>0</v>
      </c>
      <c r="BP4" s="8">
        <v>0</v>
      </c>
      <c r="BQ4" s="124">
        <v>0</v>
      </c>
      <c r="BR4" s="124">
        <f t="shared" ref="BR4:BR34" si="17">BP4-BQ4</f>
        <v>0</v>
      </c>
      <c r="BS4" s="123">
        <v>0</v>
      </c>
      <c r="BT4" s="8">
        <f t="shared" ref="BT4:BT34" si="18">SUM(E4,I4,M4,Q4,U4,Y4,AC4,AG4,AK4,AO4,AS4,AW4,BE4,BI4,BM4,BQ4,BA4)</f>
        <v>28</v>
      </c>
      <c r="BU4" s="124">
        <f t="shared" ref="BU4:BU34" si="19">SUM(BR4,BN4,BJ4,BF4,AX4,AT4,AP4,AL4,AH4,AD4,Z4,V4,R4,N4,J4,F4,BB4)</f>
        <v>2</v>
      </c>
      <c r="BV4" s="124">
        <f t="shared" ref="BV4:BV34" si="20">SUM(BS4,BO4,BK4,BG4,AY4,AU4,AQ4,AM4,AI4,AE4,AA4,W4,S4,O4,K4,G4, BC4)</f>
        <v>4</v>
      </c>
      <c r="BW4" s="124">
        <f t="shared" ref="BW4:BW34" si="21">BT4/(BT4+BU4)</f>
        <v>0.93333333333333335</v>
      </c>
      <c r="BX4" s="124">
        <f t="shared" ref="BX4:BX34" si="22">BT4/(BT4+BV4)</f>
        <v>0.875</v>
      </c>
      <c r="BY4" s="123">
        <f t="shared" ref="BY4:BY34" si="23">2*(BX4*BW4)/(BX4+BW4)</f>
        <v>0.90322580645161288</v>
      </c>
      <c r="CC4" s="133" t="s">
        <v>76</v>
      </c>
      <c r="CD4">
        <f>AVERAGE(BW5:BW6)</f>
        <v>0.8</v>
      </c>
      <c r="CE4">
        <f t="shared" ref="CE4:CF4" si="24">AVERAGE(BX5:BX6)</f>
        <v>0.55238095238095242</v>
      </c>
      <c r="CF4">
        <f t="shared" si="24"/>
        <v>0.65333333333333332</v>
      </c>
    </row>
    <row r="5" spans="1:84" x14ac:dyDescent="0.35">
      <c r="A5" s="50" t="s">
        <v>48</v>
      </c>
      <c r="B5" s="148"/>
      <c r="C5" s="11" t="s">
        <v>27</v>
      </c>
      <c r="D5" s="12">
        <v>2</v>
      </c>
      <c r="E5" s="13">
        <v>2</v>
      </c>
      <c r="F5" s="13">
        <f t="shared" si="1"/>
        <v>0</v>
      </c>
      <c r="G5" s="11">
        <v>0</v>
      </c>
      <c r="H5" s="12">
        <v>2</v>
      </c>
      <c r="I5" s="13">
        <v>2</v>
      </c>
      <c r="J5" s="13">
        <f t="shared" si="2"/>
        <v>0</v>
      </c>
      <c r="K5" s="11">
        <v>2</v>
      </c>
      <c r="L5" s="12">
        <v>0</v>
      </c>
      <c r="M5" s="13">
        <v>0</v>
      </c>
      <c r="N5" s="13">
        <f t="shared" si="3"/>
        <v>0</v>
      </c>
      <c r="O5" s="11">
        <v>0</v>
      </c>
      <c r="P5" s="12">
        <v>0</v>
      </c>
      <c r="Q5" s="13">
        <v>0</v>
      </c>
      <c r="R5" s="13">
        <f t="shared" si="4"/>
        <v>0</v>
      </c>
      <c r="S5" s="11">
        <v>2</v>
      </c>
      <c r="T5" s="12">
        <v>0</v>
      </c>
      <c r="U5" s="13">
        <v>0</v>
      </c>
      <c r="V5" s="13">
        <f t="shared" si="5"/>
        <v>0</v>
      </c>
      <c r="W5" s="11">
        <v>0</v>
      </c>
      <c r="X5" s="12">
        <v>2</v>
      </c>
      <c r="Y5" s="13">
        <v>2</v>
      </c>
      <c r="Z5" s="13">
        <f t="shared" si="6"/>
        <v>0</v>
      </c>
      <c r="AA5" s="11">
        <v>0</v>
      </c>
      <c r="AB5" s="12">
        <v>0</v>
      </c>
      <c r="AC5" s="13">
        <v>0</v>
      </c>
      <c r="AD5" s="13">
        <f t="shared" si="7"/>
        <v>0</v>
      </c>
      <c r="AE5" s="11">
        <v>0</v>
      </c>
      <c r="AF5" s="12">
        <v>2</v>
      </c>
      <c r="AG5" s="13">
        <v>2</v>
      </c>
      <c r="AH5" s="13">
        <f t="shared" si="8"/>
        <v>0</v>
      </c>
      <c r="AI5" s="11">
        <v>0</v>
      </c>
      <c r="AJ5" s="12">
        <v>0</v>
      </c>
      <c r="AK5" s="13">
        <v>0</v>
      </c>
      <c r="AL5" s="13">
        <f t="shared" si="9"/>
        <v>0</v>
      </c>
      <c r="AM5" s="11">
        <v>0</v>
      </c>
      <c r="AN5" s="12">
        <v>0</v>
      </c>
      <c r="AO5" s="13">
        <v>0</v>
      </c>
      <c r="AP5" s="13">
        <f t="shared" si="10"/>
        <v>0</v>
      </c>
      <c r="AQ5" s="11">
        <v>0</v>
      </c>
      <c r="AR5" s="12">
        <v>0</v>
      </c>
      <c r="AS5" s="13">
        <v>0</v>
      </c>
      <c r="AT5" s="13">
        <f t="shared" si="11"/>
        <v>0</v>
      </c>
      <c r="AU5" s="11">
        <v>0</v>
      </c>
      <c r="AV5" s="12">
        <v>1</v>
      </c>
      <c r="AW5" s="13">
        <v>0</v>
      </c>
      <c r="AX5" s="13">
        <f t="shared" si="12"/>
        <v>1</v>
      </c>
      <c r="AY5" s="11">
        <v>1</v>
      </c>
      <c r="AZ5" s="12">
        <v>1</v>
      </c>
      <c r="BA5" s="13">
        <v>0</v>
      </c>
      <c r="BB5" s="13">
        <f t="shared" si="13"/>
        <v>1</v>
      </c>
      <c r="BC5" s="11">
        <v>1</v>
      </c>
      <c r="BD5" s="12">
        <v>0</v>
      </c>
      <c r="BE5" s="13">
        <v>0</v>
      </c>
      <c r="BF5" s="13">
        <f t="shared" si="14"/>
        <v>0</v>
      </c>
      <c r="BG5" s="11">
        <v>0</v>
      </c>
      <c r="BH5" s="12">
        <v>0</v>
      </c>
      <c r="BI5" s="13">
        <v>0</v>
      </c>
      <c r="BJ5" s="13">
        <f t="shared" si="15"/>
        <v>0</v>
      </c>
      <c r="BK5" s="11">
        <v>0</v>
      </c>
      <c r="BL5" s="12">
        <v>0</v>
      </c>
      <c r="BM5" s="13">
        <v>0</v>
      </c>
      <c r="BN5" s="13">
        <f t="shared" si="16"/>
        <v>0</v>
      </c>
      <c r="BO5" s="11">
        <v>1</v>
      </c>
      <c r="BP5" s="12">
        <v>0</v>
      </c>
      <c r="BQ5" s="13">
        <v>0</v>
      </c>
      <c r="BR5" s="13">
        <f t="shared" si="17"/>
        <v>0</v>
      </c>
      <c r="BS5" s="11">
        <v>0</v>
      </c>
      <c r="BT5" s="12">
        <f t="shared" si="18"/>
        <v>8</v>
      </c>
      <c r="BU5" s="13">
        <f t="shared" si="19"/>
        <v>2</v>
      </c>
      <c r="BV5" s="13">
        <f t="shared" si="20"/>
        <v>7</v>
      </c>
      <c r="BW5" s="13">
        <f t="shared" si="21"/>
        <v>0.8</v>
      </c>
      <c r="BX5" s="13">
        <f t="shared" si="22"/>
        <v>0.53333333333333333</v>
      </c>
      <c r="BY5" s="11">
        <f t="shared" si="23"/>
        <v>0.64</v>
      </c>
      <c r="CC5" s="133" t="s">
        <v>77</v>
      </c>
      <c r="CD5">
        <f>AVERAGE(BW7:BW8)</f>
        <v>0.90625</v>
      </c>
      <c r="CE5">
        <f t="shared" ref="CE5:CF5" si="25">AVERAGE(BX7:BX8)</f>
        <v>0.80650154798761609</v>
      </c>
      <c r="CF5">
        <f t="shared" si="25"/>
        <v>0.85281385281385291</v>
      </c>
    </row>
    <row r="6" spans="1:84" x14ac:dyDescent="0.35">
      <c r="A6" s="50" t="s">
        <v>48</v>
      </c>
      <c r="B6" s="148"/>
      <c r="C6" s="11" t="s">
        <v>61</v>
      </c>
      <c r="D6" s="12">
        <v>2</v>
      </c>
      <c r="E6" s="13">
        <v>2</v>
      </c>
      <c r="F6" s="13">
        <f t="shared" si="1"/>
        <v>0</v>
      </c>
      <c r="G6" s="11">
        <v>0</v>
      </c>
      <c r="H6" s="12">
        <v>2</v>
      </c>
      <c r="I6" s="13">
        <v>2</v>
      </c>
      <c r="J6" s="13">
        <f t="shared" si="2"/>
        <v>0</v>
      </c>
      <c r="K6" s="11">
        <v>2</v>
      </c>
      <c r="L6" s="12">
        <v>0</v>
      </c>
      <c r="M6" s="13">
        <v>0</v>
      </c>
      <c r="N6" s="13">
        <f t="shared" si="3"/>
        <v>0</v>
      </c>
      <c r="O6" s="11">
        <v>0</v>
      </c>
      <c r="P6" s="12">
        <v>0</v>
      </c>
      <c r="Q6" s="13">
        <v>0</v>
      </c>
      <c r="R6" s="13">
        <f t="shared" si="4"/>
        <v>0</v>
      </c>
      <c r="S6" s="11">
        <v>1</v>
      </c>
      <c r="T6" s="12">
        <v>0</v>
      </c>
      <c r="U6" s="13">
        <v>0</v>
      </c>
      <c r="V6" s="13">
        <f t="shared" si="5"/>
        <v>0</v>
      </c>
      <c r="W6" s="11">
        <v>0</v>
      </c>
      <c r="X6" s="12">
        <v>2</v>
      </c>
      <c r="Y6" s="13">
        <v>2</v>
      </c>
      <c r="Z6" s="13">
        <f t="shared" si="6"/>
        <v>0</v>
      </c>
      <c r="AA6" s="11">
        <v>0</v>
      </c>
      <c r="AB6" s="12">
        <v>0</v>
      </c>
      <c r="AC6" s="13">
        <v>0</v>
      </c>
      <c r="AD6" s="13">
        <f t="shared" si="7"/>
        <v>0</v>
      </c>
      <c r="AE6" s="11">
        <v>0</v>
      </c>
      <c r="AF6" s="12">
        <v>2</v>
      </c>
      <c r="AG6" s="13">
        <v>2</v>
      </c>
      <c r="AH6" s="13">
        <f t="shared" si="8"/>
        <v>0</v>
      </c>
      <c r="AI6" s="11">
        <v>0</v>
      </c>
      <c r="AJ6" s="12">
        <v>0</v>
      </c>
      <c r="AK6" s="13">
        <v>0</v>
      </c>
      <c r="AL6" s="13">
        <f t="shared" si="9"/>
        <v>0</v>
      </c>
      <c r="AM6" s="11">
        <v>0</v>
      </c>
      <c r="AN6" s="12">
        <v>0</v>
      </c>
      <c r="AO6" s="13">
        <v>0</v>
      </c>
      <c r="AP6" s="13">
        <f t="shared" si="10"/>
        <v>0</v>
      </c>
      <c r="AQ6" s="11">
        <v>0</v>
      </c>
      <c r="AR6" s="12">
        <v>0</v>
      </c>
      <c r="AS6" s="13">
        <v>0</v>
      </c>
      <c r="AT6" s="13">
        <f t="shared" si="11"/>
        <v>0</v>
      </c>
      <c r="AU6" s="11">
        <v>1</v>
      </c>
      <c r="AV6" s="12">
        <v>1</v>
      </c>
      <c r="AW6" s="13">
        <v>0</v>
      </c>
      <c r="AX6" s="13">
        <f t="shared" si="12"/>
        <v>1</v>
      </c>
      <c r="AY6" s="11">
        <v>0</v>
      </c>
      <c r="AZ6" s="12">
        <v>1</v>
      </c>
      <c r="BA6" s="13">
        <v>0</v>
      </c>
      <c r="BB6" s="13">
        <f t="shared" si="13"/>
        <v>1</v>
      </c>
      <c r="BC6" s="11">
        <v>1</v>
      </c>
      <c r="BD6" s="12">
        <v>0</v>
      </c>
      <c r="BE6" s="13">
        <v>0</v>
      </c>
      <c r="BF6" s="13">
        <f t="shared" si="14"/>
        <v>0</v>
      </c>
      <c r="BG6" s="11">
        <v>0</v>
      </c>
      <c r="BH6" s="12">
        <v>0</v>
      </c>
      <c r="BI6" s="13">
        <v>0</v>
      </c>
      <c r="BJ6" s="13">
        <f t="shared" si="15"/>
        <v>0</v>
      </c>
      <c r="BK6" s="11">
        <v>0</v>
      </c>
      <c r="BL6" s="12">
        <v>0</v>
      </c>
      <c r="BM6" s="13">
        <v>0</v>
      </c>
      <c r="BN6" s="13">
        <f t="shared" si="16"/>
        <v>0</v>
      </c>
      <c r="BO6" s="11">
        <v>1</v>
      </c>
      <c r="BP6" s="12">
        <v>0</v>
      </c>
      <c r="BQ6" s="13">
        <v>0</v>
      </c>
      <c r="BR6" s="13">
        <f t="shared" si="17"/>
        <v>0</v>
      </c>
      <c r="BS6" s="11">
        <v>0</v>
      </c>
      <c r="BT6" s="12">
        <f t="shared" si="18"/>
        <v>8</v>
      </c>
      <c r="BU6" s="13">
        <f t="shared" si="19"/>
        <v>2</v>
      </c>
      <c r="BV6" s="13">
        <f t="shared" si="20"/>
        <v>6</v>
      </c>
      <c r="BW6" s="13">
        <f t="shared" si="21"/>
        <v>0.8</v>
      </c>
      <c r="BX6" s="13">
        <f t="shared" si="22"/>
        <v>0.5714285714285714</v>
      </c>
      <c r="BY6" s="11">
        <f t="shared" si="23"/>
        <v>0.66666666666666663</v>
      </c>
      <c r="CC6" s="133" t="s">
        <v>78</v>
      </c>
      <c r="CD6">
        <f>AVERAGE(BW9:BW10)</f>
        <v>1</v>
      </c>
      <c r="CE6">
        <f t="shared" ref="CE6:CF6" si="26">AVERAGE(BX9:BX10)</f>
        <v>0.8</v>
      </c>
      <c r="CF6">
        <f t="shared" si="26"/>
        <v>0.88888888888888895</v>
      </c>
    </row>
    <row r="7" spans="1:84" x14ac:dyDescent="0.35">
      <c r="A7" s="51" t="s">
        <v>48</v>
      </c>
      <c r="B7" s="148"/>
      <c r="C7" s="14" t="s">
        <v>28</v>
      </c>
      <c r="D7" s="15">
        <v>2</v>
      </c>
      <c r="E7" s="16">
        <v>2</v>
      </c>
      <c r="F7" s="16">
        <f t="shared" si="1"/>
        <v>0</v>
      </c>
      <c r="G7" s="14">
        <v>0</v>
      </c>
      <c r="H7" s="15">
        <v>1</v>
      </c>
      <c r="I7" s="16">
        <v>1</v>
      </c>
      <c r="J7" s="16">
        <f t="shared" si="2"/>
        <v>0</v>
      </c>
      <c r="K7" s="14">
        <v>0</v>
      </c>
      <c r="L7" s="15">
        <v>1</v>
      </c>
      <c r="M7" s="16">
        <v>1</v>
      </c>
      <c r="N7" s="16">
        <f t="shared" si="3"/>
        <v>0</v>
      </c>
      <c r="O7" s="14">
        <v>0</v>
      </c>
      <c r="P7" s="15">
        <v>1</v>
      </c>
      <c r="Q7" s="16">
        <v>1</v>
      </c>
      <c r="R7" s="16">
        <f t="shared" si="4"/>
        <v>0</v>
      </c>
      <c r="S7" s="14">
        <v>0</v>
      </c>
      <c r="T7" s="15">
        <v>1</v>
      </c>
      <c r="U7" s="16">
        <v>1</v>
      </c>
      <c r="V7" s="16">
        <f t="shared" si="5"/>
        <v>0</v>
      </c>
      <c r="W7" s="14">
        <v>0</v>
      </c>
      <c r="X7" s="15">
        <v>3</v>
      </c>
      <c r="Y7" s="16">
        <v>3</v>
      </c>
      <c r="Z7" s="16">
        <f t="shared" si="6"/>
        <v>0</v>
      </c>
      <c r="AA7" s="14">
        <v>0</v>
      </c>
      <c r="AB7" s="15">
        <v>0</v>
      </c>
      <c r="AC7" s="16">
        <v>0</v>
      </c>
      <c r="AD7" s="16">
        <f t="shared" si="7"/>
        <v>0</v>
      </c>
      <c r="AE7" s="14">
        <v>0</v>
      </c>
      <c r="AF7" s="15">
        <v>3</v>
      </c>
      <c r="AG7" s="16">
        <v>3</v>
      </c>
      <c r="AH7" s="16">
        <f t="shared" si="8"/>
        <v>0</v>
      </c>
      <c r="AI7" s="14">
        <v>0</v>
      </c>
      <c r="AJ7" s="15">
        <v>0</v>
      </c>
      <c r="AK7" s="16">
        <v>0</v>
      </c>
      <c r="AL7" s="16">
        <f t="shared" si="9"/>
        <v>0</v>
      </c>
      <c r="AM7" s="14">
        <v>1</v>
      </c>
      <c r="AN7" s="15">
        <v>1</v>
      </c>
      <c r="AO7" s="16">
        <v>0</v>
      </c>
      <c r="AP7" s="16">
        <f t="shared" si="10"/>
        <v>1</v>
      </c>
      <c r="AQ7" s="14">
        <v>1</v>
      </c>
      <c r="AR7" s="15">
        <v>0</v>
      </c>
      <c r="AS7" s="16">
        <v>0</v>
      </c>
      <c r="AT7" s="16">
        <f t="shared" si="11"/>
        <v>0</v>
      </c>
      <c r="AU7" s="14">
        <v>0</v>
      </c>
      <c r="AV7" s="15">
        <v>0</v>
      </c>
      <c r="AW7" s="16">
        <v>0</v>
      </c>
      <c r="AX7" s="16">
        <f t="shared" si="12"/>
        <v>0</v>
      </c>
      <c r="AY7" s="14">
        <v>0</v>
      </c>
      <c r="AZ7" s="15">
        <v>1</v>
      </c>
      <c r="BA7" s="16">
        <v>1</v>
      </c>
      <c r="BB7" s="16">
        <f t="shared" si="13"/>
        <v>0</v>
      </c>
      <c r="BC7" s="14">
        <v>1</v>
      </c>
      <c r="BD7" s="15">
        <v>2</v>
      </c>
      <c r="BE7" s="16">
        <v>1</v>
      </c>
      <c r="BF7" s="16">
        <f t="shared" si="14"/>
        <v>1</v>
      </c>
      <c r="BG7" s="14">
        <v>0</v>
      </c>
      <c r="BH7" s="15">
        <v>0</v>
      </c>
      <c r="BI7" s="16">
        <v>0</v>
      </c>
      <c r="BJ7" s="16">
        <f t="shared" si="15"/>
        <v>0</v>
      </c>
      <c r="BK7" s="14">
        <v>0</v>
      </c>
      <c r="BL7" s="15">
        <v>0</v>
      </c>
      <c r="BM7" s="16">
        <v>0</v>
      </c>
      <c r="BN7" s="16">
        <f t="shared" si="16"/>
        <v>0</v>
      </c>
      <c r="BO7" s="14">
        <v>0</v>
      </c>
      <c r="BP7" s="15">
        <v>0</v>
      </c>
      <c r="BQ7" s="16">
        <v>0</v>
      </c>
      <c r="BR7" s="16">
        <f t="shared" si="17"/>
        <v>0</v>
      </c>
      <c r="BS7" s="14">
        <v>0</v>
      </c>
      <c r="BT7" s="15">
        <f t="shared" si="18"/>
        <v>14</v>
      </c>
      <c r="BU7" s="16">
        <f t="shared" si="19"/>
        <v>2</v>
      </c>
      <c r="BV7" s="16">
        <f t="shared" si="20"/>
        <v>3</v>
      </c>
      <c r="BW7" s="16">
        <f t="shared" si="21"/>
        <v>0.875</v>
      </c>
      <c r="BX7" s="16">
        <f t="shared" si="22"/>
        <v>0.82352941176470584</v>
      </c>
      <c r="BY7" s="14">
        <f t="shared" si="23"/>
        <v>0.84848484848484851</v>
      </c>
      <c r="CC7" s="133" t="s">
        <v>79</v>
      </c>
      <c r="CD7">
        <f>AVERAGE(BW11:BW12)</f>
        <v>0.95238095238095233</v>
      </c>
      <c r="CE7">
        <f t="shared" ref="CE7:CF7" si="27">AVERAGE(BX11:BX12)</f>
        <v>0.83916083916083917</v>
      </c>
      <c r="CF7">
        <f t="shared" si="27"/>
        <v>0.89064819396338435</v>
      </c>
    </row>
    <row r="8" spans="1:84" x14ac:dyDescent="0.35">
      <c r="A8" s="51" t="s">
        <v>48</v>
      </c>
      <c r="B8" s="148"/>
      <c r="C8" s="14" t="s">
        <v>62</v>
      </c>
      <c r="D8" s="15">
        <v>2</v>
      </c>
      <c r="E8" s="16">
        <v>2</v>
      </c>
      <c r="F8" s="16">
        <f t="shared" si="1"/>
        <v>0</v>
      </c>
      <c r="G8" s="14">
        <v>0</v>
      </c>
      <c r="H8" s="15">
        <v>1</v>
      </c>
      <c r="I8" s="16">
        <v>1</v>
      </c>
      <c r="J8" s="16">
        <f t="shared" si="2"/>
        <v>0</v>
      </c>
      <c r="K8" s="14">
        <v>0</v>
      </c>
      <c r="L8" s="15">
        <v>1</v>
      </c>
      <c r="M8" s="16">
        <v>1</v>
      </c>
      <c r="N8" s="16">
        <f t="shared" si="3"/>
        <v>0</v>
      </c>
      <c r="O8" s="14">
        <v>0</v>
      </c>
      <c r="P8" s="15">
        <v>1</v>
      </c>
      <c r="Q8" s="16">
        <v>1</v>
      </c>
      <c r="R8" s="16">
        <f t="shared" si="4"/>
        <v>0</v>
      </c>
      <c r="S8" s="14">
        <v>0</v>
      </c>
      <c r="T8" s="15">
        <v>1</v>
      </c>
      <c r="U8" s="16">
        <v>0</v>
      </c>
      <c r="V8" s="16">
        <f t="shared" si="5"/>
        <v>1</v>
      </c>
      <c r="W8" s="14">
        <v>1</v>
      </c>
      <c r="X8" s="15">
        <v>3</v>
      </c>
      <c r="Y8" s="16">
        <v>3</v>
      </c>
      <c r="Z8" s="16">
        <f t="shared" si="6"/>
        <v>0</v>
      </c>
      <c r="AA8" s="14">
        <v>0</v>
      </c>
      <c r="AB8" s="15">
        <v>0</v>
      </c>
      <c r="AC8" s="16">
        <v>0</v>
      </c>
      <c r="AD8" s="16">
        <f t="shared" si="7"/>
        <v>0</v>
      </c>
      <c r="AE8" s="14">
        <v>0</v>
      </c>
      <c r="AF8" s="15">
        <v>3</v>
      </c>
      <c r="AG8" s="16">
        <v>3</v>
      </c>
      <c r="AH8" s="16">
        <f t="shared" si="8"/>
        <v>0</v>
      </c>
      <c r="AI8" s="14">
        <v>0</v>
      </c>
      <c r="AJ8" s="15">
        <v>0</v>
      </c>
      <c r="AK8" s="16">
        <v>0</v>
      </c>
      <c r="AL8" s="16">
        <f t="shared" si="9"/>
        <v>0</v>
      </c>
      <c r="AM8" s="14">
        <v>1</v>
      </c>
      <c r="AN8" s="15">
        <v>1</v>
      </c>
      <c r="AO8" s="16">
        <v>1</v>
      </c>
      <c r="AP8" s="16">
        <f t="shared" si="10"/>
        <v>0</v>
      </c>
      <c r="AQ8" s="14">
        <v>0</v>
      </c>
      <c r="AR8" s="15">
        <v>0</v>
      </c>
      <c r="AS8" s="16">
        <v>0</v>
      </c>
      <c r="AT8" s="16">
        <f t="shared" si="11"/>
        <v>0</v>
      </c>
      <c r="AU8" s="14">
        <v>1</v>
      </c>
      <c r="AV8" s="15">
        <v>0</v>
      </c>
      <c r="AW8" s="16">
        <v>0</v>
      </c>
      <c r="AX8" s="16">
        <f t="shared" si="12"/>
        <v>0</v>
      </c>
      <c r="AY8" s="14">
        <v>0</v>
      </c>
      <c r="AZ8" s="15">
        <v>1</v>
      </c>
      <c r="BA8" s="16">
        <v>1</v>
      </c>
      <c r="BB8" s="16">
        <f t="shared" si="13"/>
        <v>0</v>
      </c>
      <c r="BC8" s="14">
        <v>1</v>
      </c>
      <c r="BD8" s="15">
        <v>2</v>
      </c>
      <c r="BE8" s="16">
        <v>2</v>
      </c>
      <c r="BF8" s="16">
        <f t="shared" si="14"/>
        <v>0</v>
      </c>
      <c r="BG8" s="14">
        <v>0</v>
      </c>
      <c r="BH8" s="15">
        <v>0</v>
      </c>
      <c r="BI8" s="16">
        <v>0</v>
      </c>
      <c r="BJ8" s="16">
        <f t="shared" si="15"/>
        <v>0</v>
      </c>
      <c r="BK8" s="14">
        <v>0</v>
      </c>
      <c r="BL8" s="15">
        <v>0</v>
      </c>
      <c r="BM8" s="16">
        <v>0</v>
      </c>
      <c r="BN8" s="16">
        <f t="shared" si="16"/>
        <v>0</v>
      </c>
      <c r="BO8" s="14">
        <v>0</v>
      </c>
      <c r="BP8" s="15">
        <v>0</v>
      </c>
      <c r="BQ8" s="16">
        <v>0</v>
      </c>
      <c r="BR8" s="16">
        <f t="shared" si="17"/>
        <v>0</v>
      </c>
      <c r="BS8" s="14">
        <v>0</v>
      </c>
      <c r="BT8" s="15">
        <f t="shared" si="18"/>
        <v>15</v>
      </c>
      <c r="BU8" s="16">
        <f t="shared" si="19"/>
        <v>1</v>
      </c>
      <c r="BV8" s="16">
        <f t="shared" si="20"/>
        <v>4</v>
      </c>
      <c r="BW8" s="16">
        <f t="shared" si="21"/>
        <v>0.9375</v>
      </c>
      <c r="BX8" s="16">
        <f t="shared" si="22"/>
        <v>0.78947368421052633</v>
      </c>
      <c r="BY8" s="14">
        <f t="shared" si="23"/>
        <v>0.85714285714285721</v>
      </c>
      <c r="CC8" s="133" t="s">
        <v>80</v>
      </c>
      <c r="CD8">
        <f>AVERAGE(BW13:BW14)</f>
        <v>1</v>
      </c>
      <c r="CE8">
        <f t="shared" ref="CE8:CF8" si="28">AVERAGE(BX13:BX14)</f>
        <v>1</v>
      </c>
      <c r="CF8">
        <f t="shared" si="28"/>
        <v>1</v>
      </c>
    </row>
    <row r="9" spans="1:84" x14ac:dyDescent="0.35">
      <c r="A9" s="52" t="s">
        <v>48</v>
      </c>
      <c r="B9" s="148"/>
      <c r="C9" s="17" t="s">
        <v>29</v>
      </c>
      <c r="D9" s="18">
        <v>1</v>
      </c>
      <c r="E9" s="19">
        <v>1</v>
      </c>
      <c r="F9" s="19">
        <f t="shared" si="1"/>
        <v>0</v>
      </c>
      <c r="G9" s="17">
        <v>0</v>
      </c>
      <c r="H9" s="18">
        <v>0</v>
      </c>
      <c r="I9" s="19">
        <v>0</v>
      </c>
      <c r="J9" s="19">
        <f t="shared" si="2"/>
        <v>0</v>
      </c>
      <c r="K9" s="17">
        <v>0</v>
      </c>
      <c r="L9" s="18">
        <v>0</v>
      </c>
      <c r="M9" s="19">
        <v>0</v>
      </c>
      <c r="N9" s="19">
        <f t="shared" si="3"/>
        <v>0</v>
      </c>
      <c r="O9" s="17">
        <v>0</v>
      </c>
      <c r="P9" s="18">
        <v>0</v>
      </c>
      <c r="Q9" s="19">
        <v>0</v>
      </c>
      <c r="R9" s="19">
        <f t="shared" si="4"/>
        <v>0</v>
      </c>
      <c r="S9" s="17">
        <v>0</v>
      </c>
      <c r="T9" s="18">
        <v>0</v>
      </c>
      <c r="U9" s="19">
        <v>0</v>
      </c>
      <c r="V9" s="19">
        <f t="shared" si="5"/>
        <v>0</v>
      </c>
      <c r="W9" s="17">
        <v>0</v>
      </c>
      <c r="X9" s="18">
        <v>3</v>
      </c>
      <c r="Y9" s="19">
        <v>3</v>
      </c>
      <c r="Z9" s="19">
        <f t="shared" si="6"/>
        <v>0</v>
      </c>
      <c r="AA9" s="17">
        <v>0</v>
      </c>
      <c r="AB9" s="18">
        <v>4</v>
      </c>
      <c r="AC9" s="19">
        <v>4</v>
      </c>
      <c r="AD9" s="19">
        <f t="shared" si="7"/>
        <v>0</v>
      </c>
      <c r="AE9" s="17">
        <v>0</v>
      </c>
      <c r="AF9" s="18">
        <v>3</v>
      </c>
      <c r="AG9" s="19">
        <v>3</v>
      </c>
      <c r="AH9" s="19">
        <f t="shared" si="8"/>
        <v>0</v>
      </c>
      <c r="AI9" s="17">
        <v>0</v>
      </c>
      <c r="AJ9" s="18">
        <v>0</v>
      </c>
      <c r="AK9" s="19">
        <v>0</v>
      </c>
      <c r="AL9" s="19">
        <f t="shared" si="9"/>
        <v>0</v>
      </c>
      <c r="AM9" s="17">
        <v>0</v>
      </c>
      <c r="AN9" s="18">
        <v>0</v>
      </c>
      <c r="AO9" s="19">
        <v>0</v>
      </c>
      <c r="AP9" s="19">
        <f t="shared" si="10"/>
        <v>0</v>
      </c>
      <c r="AQ9" s="17">
        <v>0</v>
      </c>
      <c r="AR9" s="18">
        <v>0</v>
      </c>
      <c r="AS9" s="19">
        <v>0</v>
      </c>
      <c r="AT9" s="19">
        <f t="shared" si="11"/>
        <v>0</v>
      </c>
      <c r="AU9" s="17">
        <v>1</v>
      </c>
      <c r="AV9" s="18">
        <v>0</v>
      </c>
      <c r="AW9" s="19">
        <v>0</v>
      </c>
      <c r="AX9" s="19">
        <f t="shared" si="12"/>
        <v>0</v>
      </c>
      <c r="AY9" s="17">
        <v>0</v>
      </c>
      <c r="AZ9" s="18">
        <v>0</v>
      </c>
      <c r="BA9" s="19">
        <v>0</v>
      </c>
      <c r="BB9" s="19">
        <f t="shared" si="13"/>
        <v>0</v>
      </c>
      <c r="BC9" s="17">
        <v>1</v>
      </c>
      <c r="BD9" s="18">
        <v>0</v>
      </c>
      <c r="BE9" s="19">
        <v>0</v>
      </c>
      <c r="BF9" s="19">
        <f t="shared" si="14"/>
        <v>0</v>
      </c>
      <c r="BG9" s="17">
        <v>0</v>
      </c>
      <c r="BH9" s="18">
        <v>1</v>
      </c>
      <c r="BI9" s="19">
        <v>1</v>
      </c>
      <c r="BJ9" s="19">
        <f t="shared" si="15"/>
        <v>0</v>
      </c>
      <c r="BK9" s="17">
        <v>0</v>
      </c>
      <c r="BL9" s="18">
        <v>0</v>
      </c>
      <c r="BM9" s="19">
        <v>0</v>
      </c>
      <c r="BN9" s="19">
        <f t="shared" si="16"/>
        <v>0</v>
      </c>
      <c r="BO9" s="17">
        <v>1</v>
      </c>
      <c r="BP9" s="18">
        <v>0</v>
      </c>
      <c r="BQ9" s="19">
        <v>0</v>
      </c>
      <c r="BR9" s="19">
        <f t="shared" si="17"/>
        <v>0</v>
      </c>
      <c r="BS9" s="17">
        <v>0</v>
      </c>
      <c r="BT9" s="18">
        <f t="shared" si="18"/>
        <v>12</v>
      </c>
      <c r="BU9" s="19">
        <f t="shared" si="19"/>
        <v>0</v>
      </c>
      <c r="BV9" s="19">
        <f t="shared" si="20"/>
        <v>3</v>
      </c>
      <c r="BW9" s="19">
        <f t="shared" si="21"/>
        <v>1</v>
      </c>
      <c r="BX9" s="19">
        <f t="shared" si="22"/>
        <v>0.8</v>
      </c>
      <c r="BY9" s="17">
        <f t="shared" si="23"/>
        <v>0.88888888888888895</v>
      </c>
      <c r="CC9" s="133" t="s">
        <v>81</v>
      </c>
      <c r="CD9">
        <f>AVERAGE(BW15:BW16)</f>
        <v>1</v>
      </c>
      <c r="CE9">
        <f t="shared" ref="CE9:CF9" si="29">AVERAGE(BX15:BX16)</f>
        <v>1</v>
      </c>
      <c r="CF9">
        <f t="shared" si="29"/>
        <v>1</v>
      </c>
    </row>
    <row r="10" spans="1:84" x14ac:dyDescent="0.35">
      <c r="A10" s="52" t="s">
        <v>48</v>
      </c>
      <c r="B10" s="148"/>
      <c r="C10" s="17" t="s">
        <v>45</v>
      </c>
      <c r="D10" s="18">
        <v>1</v>
      </c>
      <c r="E10" s="19">
        <v>1</v>
      </c>
      <c r="F10" s="19">
        <f t="shared" si="1"/>
        <v>0</v>
      </c>
      <c r="G10" s="17">
        <v>0</v>
      </c>
      <c r="H10" s="18">
        <v>0</v>
      </c>
      <c r="I10" s="19">
        <v>0</v>
      </c>
      <c r="J10" s="19">
        <f t="shared" si="2"/>
        <v>0</v>
      </c>
      <c r="K10" s="17">
        <v>0</v>
      </c>
      <c r="L10" s="18">
        <v>0</v>
      </c>
      <c r="M10" s="19">
        <v>0</v>
      </c>
      <c r="N10" s="19">
        <f t="shared" si="3"/>
        <v>0</v>
      </c>
      <c r="O10" s="17">
        <v>0</v>
      </c>
      <c r="P10" s="18">
        <v>0</v>
      </c>
      <c r="Q10" s="19">
        <v>0</v>
      </c>
      <c r="R10" s="19">
        <f t="shared" si="4"/>
        <v>0</v>
      </c>
      <c r="S10" s="17">
        <v>0</v>
      </c>
      <c r="T10" s="18">
        <v>0</v>
      </c>
      <c r="U10" s="19">
        <v>0</v>
      </c>
      <c r="V10" s="19">
        <f t="shared" si="5"/>
        <v>0</v>
      </c>
      <c r="W10" s="17">
        <v>0</v>
      </c>
      <c r="X10" s="18">
        <v>3</v>
      </c>
      <c r="Y10" s="19">
        <v>3</v>
      </c>
      <c r="Z10" s="19">
        <f t="shared" si="6"/>
        <v>0</v>
      </c>
      <c r="AA10" s="17">
        <v>0</v>
      </c>
      <c r="AB10" s="18">
        <v>4</v>
      </c>
      <c r="AC10" s="19">
        <v>4</v>
      </c>
      <c r="AD10" s="19">
        <f t="shared" si="7"/>
        <v>0</v>
      </c>
      <c r="AE10" s="17">
        <v>0</v>
      </c>
      <c r="AF10" s="18">
        <v>3</v>
      </c>
      <c r="AG10" s="19">
        <v>3</v>
      </c>
      <c r="AH10" s="19">
        <f t="shared" si="8"/>
        <v>0</v>
      </c>
      <c r="AI10" s="17">
        <v>0</v>
      </c>
      <c r="AJ10" s="18">
        <v>0</v>
      </c>
      <c r="AK10" s="19">
        <v>0</v>
      </c>
      <c r="AL10" s="19">
        <f t="shared" si="9"/>
        <v>0</v>
      </c>
      <c r="AM10" s="17">
        <v>0</v>
      </c>
      <c r="AN10" s="18">
        <v>0</v>
      </c>
      <c r="AO10" s="19">
        <v>0</v>
      </c>
      <c r="AP10" s="19">
        <f t="shared" si="10"/>
        <v>0</v>
      </c>
      <c r="AQ10" s="17">
        <v>0</v>
      </c>
      <c r="AR10" s="18">
        <v>0</v>
      </c>
      <c r="AS10" s="19">
        <v>0</v>
      </c>
      <c r="AT10" s="19">
        <f t="shared" si="11"/>
        <v>0</v>
      </c>
      <c r="AU10" s="17">
        <v>1</v>
      </c>
      <c r="AV10" s="18">
        <v>0</v>
      </c>
      <c r="AW10" s="19">
        <v>0</v>
      </c>
      <c r="AX10" s="19">
        <f t="shared" si="12"/>
        <v>0</v>
      </c>
      <c r="AY10" s="17">
        <v>0</v>
      </c>
      <c r="AZ10" s="18">
        <v>0</v>
      </c>
      <c r="BA10" s="19">
        <v>0</v>
      </c>
      <c r="BB10" s="19">
        <f t="shared" si="13"/>
        <v>0</v>
      </c>
      <c r="BC10" s="17">
        <v>1</v>
      </c>
      <c r="BD10" s="18">
        <v>0</v>
      </c>
      <c r="BE10" s="19">
        <v>0</v>
      </c>
      <c r="BF10" s="19">
        <f t="shared" si="14"/>
        <v>0</v>
      </c>
      <c r="BG10" s="17">
        <v>0</v>
      </c>
      <c r="BH10" s="18">
        <v>1</v>
      </c>
      <c r="BI10" s="19">
        <v>1</v>
      </c>
      <c r="BJ10" s="19">
        <f t="shared" si="15"/>
        <v>0</v>
      </c>
      <c r="BK10" s="17">
        <v>0</v>
      </c>
      <c r="BL10" s="18">
        <v>0</v>
      </c>
      <c r="BM10" s="19">
        <v>0</v>
      </c>
      <c r="BN10" s="19">
        <f t="shared" si="16"/>
        <v>0</v>
      </c>
      <c r="BO10" s="17">
        <v>1</v>
      </c>
      <c r="BP10" s="18">
        <v>0</v>
      </c>
      <c r="BQ10" s="19">
        <v>0</v>
      </c>
      <c r="BR10" s="19">
        <f t="shared" si="17"/>
        <v>0</v>
      </c>
      <c r="BS10" s="17">
        <v>0</v>
      </c>
      <c r="BT10" s="18">
        <f t="shared" si="18"/>
        <v>12</v>
      </c>
      <c r="BU10" s="19">
        <f t="shared" si="19"/>
        <v>0</v>
      </c>
      <c r="BV10" s="19">
        <f t="shared" si="20"/>
        <v>3</v>
      </c>
      <c r="BW10" s="19">
        <f t="shared" si="21"/>
        <v>1</v>
      </c>
      <c r="BX10" s="19">
        <f t="shared" si="22"/>
        <v>0.8</v>
      </c>
      <c r="BY10" s="17">
        <f t="shared" si="23"/>
        <v>0.88888888888888895</v>
      </c>
      <c r="CC10" s="133" t="s">
        <v>82</v>
      </c>
      <c r="CD10">
        <f>AVERAGE(BW17:BW18)</f>
        <v>0.86363636363636365</v>
      </c>
      <c r="CE10">
        <f t="shared" ref="CE10:CF10" si="30">AVERAGE(BX17:BX18)</f>
        <v>0.73076923076923084</v>
      </c>
      <c r="CF10">
        <f t="shared" si="30"/>
        <v>0.79166666666666674</v>
      </c>
    </row>
    <row r="11" spans="1:84" x14ac:dyDescent="0.35">
      <c r="A11" s="53" t="s">
        <v>48</v>
      </c>
      <c r="B11" s="148"/>
      <c r="C11" s="20" t="s">
        <v>30</v>
      </c>
      <c r="D11" s="21">
        <v>2</v>
      </c>
      <c r="E11" s="22">
        <v>2</v>
      </c>
      <c r="F11" s="22">
        <f t="shared" si="1"/>
        <v>0</v>
      </c>
      <c r="G11" s="20">
        <v>0</v>
      </c>
      <c r="H11" s="21">
        <v>1</v>
      </c>
      <c r="I11" s="22">
        <v>1</v>
      </c>
      <c r="J11" s="22">
        <f t="shared" si="2"/>
        <v>0</v>
      </c>
      <c r="K11" s="20">
        <v>0</v>
      </c>
      <c r="L11" s="21">
        <v>2</v>
      </c>
      <c r="M11" s="22">
        <v>2</v>
      </c>
      <c r="N11" s="22">
        <f t="shared" si="3"/>
        <v>0</v>
      </c>
      <c r="O11" s="20">
        <v>0</v>
      </c>
      <c r="P11" s="21">
        <v>2</v>
      </c>
      <c r="Q11" s="22">
        <v>2</v>
      </c>
      <c r="R11" s="22">
        <f t="shared" si="4"/>
        <v>0</v>
      </c>
      <c r="S11" s="20">
        <v>2</v>
      </c>
      <c r="T11" s="21">
        <v>2</v>
      </c>
      <c r="U11" s="22">
        <v>2</v>
      </c>
      <c r="V11" s="22">
        <f t="shared" si="5"/>
        <v>0</v>
      </c>
      <c r="W11" s="20">
        <v>2</v>
      </c>
      <c r="X11" s="21">
        <v>4</v>
      </c>
      <c r="Y11" s="22">
        <v>4</v>
      </c>
      <c r="Z11" s="22">
        <f t="shared" si="6"/>
        <v>0</v>
      </c>
      <c r="AA11" s="20">
        <v>0</v>
      </c>
      <c r="AB11" s="21">
        <v>0</v>
      </c>
      <c r="AC11" s="22">
        <v>0</v>
      </c>
      <c r="AD11" s="22">
        <f t="shared" si="7"/>
        <v>0</v>
      </c>
      <c r="AE11" s="20">
        <v>0</v>
      </c>
      <c r="AF11" s="21">
        <v>4</v>
      </c>
      <c r="AG11" s="22">
        <v>4</v>
      </c>
      <c r="AH11" s="22">
        <f t="shared" si="8"/>
        <v>0</v>
      </c>
      <c r="AI11" s="20">
        <v>0</v>
      </c>
      <c r="AJ11" s="21">
        <v>1</v>
      </c>
      <c r="AK11" s="22">
        <v>1</v>
      </c>
      <c r="AL11" s="22">
        <f t="shared" si="9"/>
        <v>0</v>
      </c>
      <c r="AM11" s="20">
        <v>0</v>
      </c>
      <c r="AN11" s="21">
        <v>0</v>
      </c>
      <c r="AO11" s="22">
        <v>0</v>
      </c>
      <c r="AP11" s="22">
        <f t="shared" si="10"/>
        <v>0</v>
      </c>
      <c r="AQ11" s="20">
        <v>1</v>
      </c>
      <c r="AR11" s="21">
        <v>0</v>
      </c>
      <c r="AS11" s="22">
        <v>0</v>
      </c>
      <c r="AT11" s="22">
        <f t="shared" si="11"/>
        <v>0</v>
      </c>
      <c r="AU11" s="20">
        <v>0</v>
      </c>
      <c r="AV11" s="21">
        <v>0</v>
      </c>
      <c r="AW11" s="22">
        <v>0</v>
      </c>
      <c r="AX11" s="22">
        <f t="shared" si="12"/>
        <v>0</v>
      </c>
      <c r="AY11" s="20">
        <v>0</v>
      </c>
      <c r="AZ11" s="21">
        <v>1</v>
      </c>
      <c r="BA11" s="22">
        <v>1</v>
      </c>
      <c r="BB11" s="22">
        <f t="shared" si="13"/>
        <v>0</v>
      </c>
      <c r="BC11" s="20">
        <v>1</v>
      </c>
      <c r="BD11" s="21">
        <v>2</v>
      </c>
      <c r="BE11" s="22">
        <v>1</v>
      </c>
      <c r="BF11" s="22">
        <f t="shared" si="14"/>
        <v>1</v>
      </c>
      <c r="BG11" s="20">
        <v>0</v>
      </c>
      <c r="BH11" s="21">
        <v>0</v>
      </c>
      <c r="BI11" s="22">
        <v>0</v>
      </c>
      <c r="BJ11" s="22">
        <f t="shared" si="15"/>
        <v>0</v>
      </c>
      <c r="BK11" s="20">
        <v>0</v>
      </c>
      <c r="BL11" s="21">
        <v>0</v>
      </c>
      <c r="BM11" s="22">
        <v>0</v>
      </c>
      <c r="BN11" s="22">
        <f t="shared" si="16"/>
        <v>0</v>
      </c>
      <c r="BO11" s="20">
        <v>0</v>
      </c>
      <c r="BP11" s="21">
        <v>0</v>
      </c>
      <c r="BQ11" s="22">
        <v>0</v>
      </c>
      <c r="BR11" s="22">
        <f t="shared" si="17"/>
        <v>0</v>
      </c>
      <c r="BS11" s="20">
        <v>0</v>
      </c>
      <c r="BT11" s="21">
        <f t="shared" si="18"/>
        <v>20</v>
      </c>
      <c r="BU11" s="22">
        <f t="shared" si="19"/>
        <v>1</v>
      </c>
      <c r="BV11" s="22">
        <f t="shared" si="20"/>
        <v>6</v>
      </c>
      <c r="BW11" s="22">
        <f t="shared" si="21"/>
        <v>0.95238095238095233</v>
      </c>
      <c r="BX11" s="22">
        <f t="shared" si="22"/>
        <v>0.76923076923076927</v>
      </c>
      <c r="BY11" s="20">
        <f t="shared" si="23"/>
        <v>0.85106382978723394</v>
      </c>
      <c r="CC11" s="133" t="s">
        <v>83</v>
      </c>
      <c r="CD11">
        <f>AVERAGE(BW19:BW20)</f>
        <v>0.83333333333333337</v>
      </c>
      <c r="CE11">
        <f t="shared" ref="CE11:CF11" si="31">AVERAGE(BX19:BX20)</f>
        <v>0.66666666666666663</v>
      </c>
      <c r="CF11">
        <f t="shared" si="31"/>
        <v>0.74074074074074081</v>
      </c>
    </row>
    <row r="12" spans="1:84" x14ac:dyDescent="0.35">
      <c r="A12" s="53" t="s">
        <v>48</v>
      </c>
      <c r="B12" s="148"/>
      <c r="C12" s="20" t="s">
        <v>63</v>
      </c>
      <c r="D12" s="21">
        <v>2</v>
      </c>
      <c r="E12" s="22">
        <v>2</v>
      </c>
      <c r="F12" s="22">
        <f t="shared" si="1"/>
        <v>0</v>
      </c>
      <c r="G12" s="20">
        <v>0</v>
      </c>
      <c r="H12" s="21">
        <v>1</v>
      </c>
      <c r="I12" s="22">
        <v>1</v>
      </c>
      <c r="J12" s="22">
        <f>H12-I12</f>
        <v>0</v>
      </c>
      <c r="K12" s="20">
        <v>0</v>
      </c>
      <c r="L12" s="21">
        <v>2</v>
      </c>
      <c r="M12" s="22">
        <v>2</v>
      </c>
      <c r="N12" s="22">
        <f t="shared" si="3"/>
        <v>0</v>
      </c>
      <c r="O12" s="20">
        <v>0</v>
      </c>
      <c r="P12" s="21">
        <v>2</v>
      </c>
      <c r="Q12" s="22">
        <v>2</v>
      </c>
      <c r="R12" s="22">
        <f>P12-Q12</f>
        <v>0</v>
      </c>
      <c r="S12" s="20">
        <v>0</v>
      </c>
      <c r="T12" s="21">
        <v>2</v>
      </c>
      <c r="U12" s="22">
        <v>2</v>
      </c>
      <c r="V12" s="22">
        <f t="shared" si="5"/>
        <v>0</v>
      </c>
      <c r="W12" s="20">
        <v>0</v>
      </c>
      <c r="X12" s="21">
        <v>4</v>
      </c>
      <c r="Y12" s="22">
        <v>4</v>
      </c>
      <c r="Z12" s="22">
        <f t="shared" si="6"/>
        <v>0</v>
      </c>
      <c r="AA12" s="20">
        <v>0</v>
      </c>
      <c r="AB12" s="21">
        <v>0</v>
      </c>
      <c r="AC12" s="22">
        <v>0</v>
      </c>
      <c r="AD12" s="22">
        <f t="shared" si="7"/>
        <v>0</v>
      </c>
      <c r="AE12" s="20">
        <v>0</v>
      </c>
      <c r="AF12" s="21">
        <v>4</v>
      </c>
      <c r="AG12" s="22">
        <v>4</v>
      </c>
      <c r="AH12" s="22">
        <f t="shared" si="8"/>
        <v>0</v>
      </c>
      <c r="AI12" s="20">
        <v>0</v>
      </c>
      <c r="AJ12" s="21">
        <v>1</v>
      </c>
      <c r="AK12" s="22">
        <v>1</v>
      </c>
      <c r="AL12" s="22">
        <f t="shared" si="9"/>
        <v>0</v>
      </c>
      <c r="AM12" s="20">
        <v>0</v>
      </c>
      <c r="AN12" s="21">
        <v>0</v>
      </c>
      <c r="AO12" s="22">
        <v>0</v>
      </c>
      <c r="AP12" s="22">
        <f t="shared" si="10"/>
        <v>0</v>
      </c>
      <c r="AQ12" s="20">
        <v>1</v>
      </c>
      <c r="AR12" s="21">
        <v>0</v>
      </c>
      <c r="AS12" s="22">
        <v>0</v>
      </c>
      <c r="AT12" s="22">
        <f t="shared" si="11"/>
        <v>0</v>
      </c>
      <c r="AU12" s="20">
        <v>0</v>
      </c>
      <c r="AV12" s="21">
        <v>0</v>
      </c>
      <c r="AW12" s="22">
        <v>0</v>
      </c>
      <c r="AX12" s="22">
        <f>AV12-AW12</f>
        <v>0</v>
      </c>
      <c r="AY12" s="20">
        <v>0</v>
      </c>
      <c r="AZ12" s="21">
        <v>1</v>
      </c>
      <c r="BA12" s="22">
        <v>1</v>
      </c>
      <c r="BB12" s="22">
        <f t="shared" si="13"/>
        <v>0</v>
      </c>
      <c r="BC12" s="20">
        <v>1</v>
      </c>
      <c r="BD12" s="21">
        <v>2</v>
      </c>
      <c r="BE12" s="22">
        <v>1</v>
      </c>
      <c r="BF12" s="22">
        <f t="shared" si="14"/>
        <v>1</v>
      </c>
      <c r="BG12" s="20">
        <v>0</v>
      </c>
      <c r="BH12" s="21">
        <v>0</v>
      </c>
      <c r="BI12" s="22">
        <v>0</v>
      </c>
      <c r="BJ12" s="22">
        <f t="shared" si="15"/>
        <v>0</v>
      </c>
      <c r="BK12" s="20">
        <v>0</v>
      </c>
      <c r="BL12" s="21">
        <v>0</v>
      </c>
      <c r="BM12" s="22">
        <v>0</v>
      </c>
      <c r="BN12" s="22">
        <f t="shared" si="16"/>
        <v>0</v>
      </c>
      <c r="BO12" s="20">
        <v>0</v>
      </c>
      <c r="BP12" s="21">
        <v>0</v>
      </c>
      <c r="BQ12" s="22">
        <v>0</v>
      </c>
      <c r="BR12" s="22">
        <f t="shared" si="17"/>
        <v>0</v>
      </c>
      <c r="BS12" s="20">
        <v>0</v>
      </c>
      <c r="BT12" s="21">
        <f t="shared" si="18"/>
        <v>20</v>
      </c>
      <c r="BU12" s="22">
        <f t="shared" si="19"/>
        <v>1</v>
      </c>
      <c r="BV12" s="22">
        <f t="shared" si="20"/>
        <v>2</v>
      </c>
      <c r="BW12" s="22">
        <f t="shared" si="21"/>
        <v>0.95238095238095233</v>
      </c>
      <c r="BX12" s="22">
        <f t="shared" si="22"/>
        <v>0.90909090909090906</v>
      </c>
      <c r="BY12" s="20">
        <f t="shared" si="23"/>
        <v>0.93023255813953487</v>
      </c>
      <c r="CC12" s="133" t="s">
        <v>84</v>
      </c>
      <c r="CD12">
        <f>AVERAGE(BW21:BW22)</f>
        <v>0.88235294117647056</v>
      </c>
      <c r="CE12">
        <f t="shared" ref="CE12:CF12" si="32">AVERAGE(BX21:BX22)</f>
        <v>0.73214285714285721</v>
      </c>
      <c r="CF12">
        <f t="shared" si="32"/>
        <v>0.80014224751066854</v>
      </c>
    </row>
    <row r="13" spans="1:84" x14ac:dyDescent="0.35">
      <c r="A13" s="54" t="s">
        <v>48</v>
      </c>
      <c r="B13" s="148"/>
      <c r="C13" s="23" t="s">
        <v>31</v>
      </c>
      <c r="D13" s="24">
        <v>4</v>
      </c>
      <c r="E13" s="25">
        <v>4</v>
      </c>
      <c r="F13" s="25">
        <f t="shared" si="1"/>
        <v>0</v>
      </c>
      <c r="G13" s="23">
        <v>0</v>
      </c>
      <c r="H13" s="24">
        <v>0</v>
      </c>
      <c r="I13" s="25">
        <v>0</v>
      </c>
      <c r="J13" s="25">
        <f t="shared" si="2"/>
        <v>0</v>
      </c>
      <c r="K13" s="23">
        <v>0</v>
      </c>
      <c r="L13" s="24">
        <v>0</v>
      </c>
      <c r="M13" s="25">
        <v>0</v>
      </c>
      <c r="N13" s="25">
        <f t="shared" si="3"/>
        <v>0</v>
      </c>
      <c r="O13" s="23">
        <v>0</v>
      </c>
      <c r="P13" s="24">
        <v>0</v>
      </c>
      <c r="Q13" s="25">
        <v>0</v>
      </c>
      <c r="R13" s="25">
        <f t="shared" si="4"/>
        <v>0</v>
      </c>
      <c r="S13" s="23">
        <v>0</v>
      </c>
      <c r="T13" s="24">
        <v>0</v>
      </c>
      <c r="U13" s="25">
        <v>0</v>
      </c>
      <c r="V13" s="25">
        <f t="shared" si="5"/>
        <v>0</v>
      </c>
      <c r="W13" s="23">
        <v>0</v>
      </c>
      <c r="X13" s="24">
        <v>4</v>
      </c>
      <c r="Y13" s="25">
        <v>4</v>
      </c>
      <c r="Z13" s="25">
        <f t="shared" si="6"/>
        <v>0</v>
      </c>
      <c r="AA13" s="23">
        <v>0</v>
      </c>
      <c r="AB13" s="24">
        <v>0</v>
      </c>
      <c r="AC13" s="25">
        <v>0</v>
      </c>
      <c r="AD13" s="25">
        <f t="shared" si="7"/>
        <v>0</v>
      </c>
      <c r="AE13" s="23">
        <v>0</v>
      </c>
      <c r="AF13" s="24">
        <v>4</v>
      </c>
      <c r="AG13" s="25">
        <v>4</v>
      </c>
      <c r="AH13" s="25">
        <f t="shared" si="8"/>
        <v>0</v>
      </c>
      <c r="AI13" s="23">
        <v>0</v>
      </c>
      <c r="AJ13" s="24">
        <v>3</v>
      </c>
      <c r="AK13" s="25">
        <v>3</v>
      </c>
      <c r="AL13" s="25">
        <f t="shared" si="9"/>
        <v>0</v>
      </c>
      <c r="AM13" s="23">
        <v>0</v>
      </c>
      <c r="AN13" s="24">
        <v>0</v>
      </c>
      <c r="AO13" s="25">
        <v>0</v>
      </c>
      <c r="AP13" s="25">
        <f t="shared" si="10"/>
        <v>0</v>
      </c>
      <c r="AQ13" s="23">
        <v>0</v>
      </c>
      <c r="AR13" s="24">
        <v>0</v>
      </c>
      <c r="AS13" s="25">
        <v>0</v>
      </c>
      <c r="AT13" s="25">
        <f t="shared" si="11"/>
        <v>0</v>
      </c>
      <c r="AU13" s="23">
        <v>0</v>
      </c>
      <c r="AV13" s="24">
        <v>0</v>
      </c>
      <c r="AW13" s="25">
        <v>0</v>
      </c>
      <c r="AX13" s="25">
        <f t="shared" si="12"/>
        <v>0</v>
      </c>
      <c r="AY13" s="23">
        <v>0</v>
      </c>
      <c r="AZ13" s="24">
        <v>3</v>
      </c>
      <c r="BA13" s="25">
        <v>3</v>
      </c>
      <c r="BB13" s="25">
        <f t="shared" si="13"/>
        <v>0</v>
      </c>
      <c r="BC13" s="23">
        <v>0</v>
      </c>
      <c r="BD13" s="24">
        <v>0</v>
      </c>
      <c r="BE13" s="25">
        <v>0</v>
      </c>
      <c r="BF13" s="25">
        <f t="shared" si="14"/>
        <v>0</v>
      </c>
      <c r="BG13" s="23">
        <v>0</v>
      </c>
      <c r="BH13" s="24">
        <v>0</v>
      </c>
      <c r="BI13" s="25">
        <v>0</v>
      </c>
      <c r="BJ13" s="25">
        <f t="shared" si="15"/>
        <v>0</v>
      </c>
      <c r="BK13" s="23">
        <v>0</v>
      </c>
      <c r="BL13" s="24">
        <v>0</v>
      </c>
      <c r="BM13" s="25">
        <v>0</v>
      </c>
      <c r="BN13" s="25">
        <f t="shared" si="16"/>
        <v>0</v>
      </c>
      <c r="BO13" s="23">
        <v>0</v>
      </c>
      <c r="BP13" s="24">
        <v>0</v>
      </c>
      <c r="BQ13" s="25">
        <v>0</v>
      </c>
      <c r="BR13" s="25">
        <f t="shared" si="17"/>
        <v>0</v>
      </c>
      <c r="BS13" s="23">
        <v>0</v>
      </c>
      <c r="BT13" s="24">
        <f t="shared" si="18"/>
        <v>18</v>
      </c>
      <c r="BU13" s="25">
        <f t="shared" si="19"/>
        <v>0</v>
      </c>
      <c r="BV13" s="25">
        <f t="shared" si="20"/>
        <v>0</v>
      </c>
      <c r="BW13" s="25">
        <f t="shared" si="21"/>
        <v>1</v>
      </c>
      <c r="BX13" s="25">
        <f t="shared" si="22"/>
        <v>1</v>
      </c>
      <c r="BY13" s="23">
        <f t="shared" si="23"/>
        <v>1</v>
      </c>
      <c r="CC13" s="133" t="s">
        <v>85</v>
      </c>
      <c r="CD13">
        <f>AVERAGE(BW23:BW24)</f>
        <v>0.86363636363636365</v>
      </c>
      <c r="CE13">
        <f t="shared" ref="CE13:CF13" si="33">AVERAGE(BX23:BX24)</f>
        <v>0.67708333333333326</v>
      </c>
      <c r="CF13">
        <f t="shared" si="33"/>
        <v>0.75523349436392917</v>
      </c>
    </row>
    <row r="14" spans="1:84" x14ac:dyDescent="0.35">
      <c r="A14" s="54" t="s">
        <v>48</v>
      </c>
      <c r="B14" s="148"/>
      <c r="C14" s="23" t="s">
        <v>64</v>
      </c>
      <c r="D14" s="24">
        <v>4</v>
      </c>
      <c r="E14" s="25">
        <v>4</v>
      </c>
      <c r="F14" s="25">
        <f t="shared" si="1"/>
        <v>0</v>
      </c>
      <c r="G14" s="23">
        <v>0</v>
      </c>
      <c r="H14" s="24">
        <v>0</v>
      </c>
      <c r="I14" s="24">
        <v>0</v>
      </c>
      <c r="J14" s="24">
        <v>0</v>
      </c>
      <c r="K14" s="23">
        <v>0</v>
      </c>
      <c r="L14" s="24">
        <v>0</v>
      </c>
      <c r="M14" s="24">
        <v>0</v>
      </c>
      <c r="N14" s="24">
        <v>0</v>
      </c>
      <c r="O14" s="23">
        <v>0</v>
      </c>
      <c r="P14" s="24">
        <v>0</v>
      </c>
      <c r="Q14" s="25">
        <v>0</v>
      </c>
      <c r="R14" s="25">
        <f t="shared" si="4"/>
        <v>0</v>
      </c>
      <c r="S14" s="23">
        <v>0</v>
      </c>
      <c r="T14" s="24">
        <v>0</v>
      </c>
      <c r="U14" s="25">
        <v>0</v>
      </c>
      <c r="V14" s="25">
        <v>0</v>
      </c>
      <c r="W14" s="23">
        <v>0</v>
      </c>
      <c r="X14" s="24">
        <v>4</v>
      </c>
      <c r="Y14" s="24">
        <v>4</v>
      </c>
      <c r="Z14" s="24">
        <f>X14-Y14</f>
        <v>0</v>
      </c>
      <c r="AA14" s="23">
        <v>0</v>
      </c>
      <c r="AB14" s="24">
        <v>0</v>
      </c>
      <c r="AC14" s="24">
        <v>0</v>
      </c>
      <c r="AD14" s="24">
        <f>AB14-AC14</f>
        <v>0</v>
      </c>
      <c r="AE14" s="23">
        <v>0</v>
      </c>
      <c r="AF14" s="24">
        <v>4</v>
      </c>
      <c r="AG14" s="24">
        <v>4</v>
      </c>
      <c r="AH14" s="24">
        <f>AF14-AG14</f>
        <v>0</v>
      </c>
      <c r="AI14" s="23">
        <v>0</v>
      </c>
      <c r="AJ14" s="24">
        <v>3</v>
      </c>
      <c r="AK14" s="24">
        <v>3</v>
      </c>
      <c r="AL14" s="24">
        <f>AJ14-AK14</f>
        <v>0</v>
      </c>
      <c r="AM14" s="23">
        <v>0</v>
      </c>
      <c r="AN14" s="24">
        <v>0</v>
      </c>
      <c r="AO14" s="24">
        <v>0</v>
      </c>
      <c r="AP14" s="24">
        <f>AN14-AO14</f>
        <v>0</v>
      </c>
      <c r="AQ14" s="23">
        <v>0</v>
      </c>
      <c r="AR14" s="24">
        <v>0</v>
      </c>
      <c r="AS14" s="25">
        <v>0</v>
      </c>
      <c r="AT14" s="25">
        <f t="shared" si="11"/>
        <v>0</v>
      </c>
      <c r="AU14" s="23">
        <v>0</v>
      </c>
      <c r="AV14" s="24">
        <v>0</v>
      </c>
      <c r="AW14" s="25">
        <v>0</v>
      </c>
      <c r="AX14" s="25">
        <f t="shared" si="12"/>
        <v>0</v>
      </c>
      <c r="AY14" s="23">
        <v>0</v>
      </c>
      <c r="AZ14" s="24">
        <v>3</v>
      </c>
      <c r="BA14" s="25">
        <v>3</v>
      </c>
      <c r="BB14" s="25">
        <f t="shared" si="13"/>
        <v>0</v>
      </c>
      <c r="BC14" s="23">
        <v>0</v>
      </c>
      <c r="BD14" s="24">
        <v>0</v>
      </c>
      <c r="BE14" s="25">
        <v>0</v>
      </c>
      <c r="BF14" s="25">
        <f t="shared" si="14"/>
        <v>0</v>
      </c>
      <c r="BG14" s="23">
        <v>0</v>
      </c>
      <c r="BH14" s="24">
        <v>0</v>
      </c>
      <c r="BI14" s="25">
        <v>0</v>
      </c>
      <c r="BJ14" s="25">
        <f t="shared" si="15"/>
        <v>0</v>
      </c>
      <c r="BK14" s="23">
        <v>0</v>
      </c>
      <c r="BL14" s="24">
        <v>0</v>
      </c>
      <c r="BM14" s="25">
        <v>0</v>
      </c>
      <c r="BN14" s="25">
        <f t="shared" si="16"/>
        <v>0</v>
      </c>
      <c r="BO14" s="23">
        <v>0</v>
      </c>
      <c r="BP14" s="24">
        <v>0</v>
      </c>
      <c r="BQ14" s="25">
        <v>0</v>
      </c>
      <c r="BR14" s="25">
        <f t="shared" si="17"/>
        <v>0</v>
      </c>
      <c r="BS14" s="23">
        <v>0</v>
      </c>
      <c r="BT14" s="24">
        <f t="shared" si="18"/>
        <v>18</v>
      </c>
      <c r="BU14" s="25">
        <f t="shared" si="19"/>
        <v>0</v>
      </c>
      <c r="BV14" s="25">
        <f t="shared" si="20"/>
        <v>0</v>
      </c>
      <c r="BW14" s="25">
        <f t="shared" si="21"/>
        <v>1</v>
      </c>
      <c r="BX14" s="25">
        <f t="shared" si="22"/>
        <v>1</v>
      </c>
      <c r="BY14" s="23">
        <f t="shared" si="23"/>
        <v>1</v>
      </c>
      <c r="CC14" s="133" t="s">
        <v>86</v>
      </c>
      <c r="CD14">
        <f>AVERAGE(BW25:BW26)</f>
        <v>0.84375</v>
      </c>
      <c r="CE14">
        <f t="shared" ref="CE14:CF14" si="34">AVERAGE(BX25:BX26)</f>
        <v>0.70738636363636365</v>
      </c>
      <c r="CF14">
        <f t="shared" si="34"/>
        <v>0.76480263157894735</v>
      </c>
    </row>
    <row r="15" spans="1:84" x14ac:dyDescent="0.35">
      <c r="A15" s="55" t="s">
        <v>48</v>
      </c>
      <c r="B15" s="148"/>
      <c r="C15" s="26" t="s">
        <v>32</v>
      </c>
      <c r="D15" s="27">
        <v>3</v>
      </c>
      <c r="E15" s="28">
        <v>3</v>
      </c>
      <c r="F15" s="28">
        <f t="shared" si="1"/>
        <v>0</v>
      </c>
      <c r="G15" s="26">
        <v>0</v>
      </c>
      <c r="H15" s="27">
        <v>0</v>
      </c>
      <c r="I15" s="27">
        <v>0</v>
      </c>
      <c r="J15" s="27">
        <f t="shared" si="2"/>
        <v>0</v>
      </c>
      <c r="K15" s="26">
        <v>0</v>
      </c>
      <c r="L15" s="27">
        <v>0</v>
      </c>
      <c r="M15" s="27">
        <v>0</v>
      </c>
      <c r="N15" s="27">
        <f t="shared" si="3"/>
        <v>0</v>
      </c>
      <c r="O15" s="26">
        <v>0</v>
      </c>
      <c r="P15" s="27">
        <v>0</v>
      </c>
      <c r="Q15" s="28">
        <v>0</v>
      </c>
      <c r="R15" s="28">
        <f t="shared" si="4"/>
        <v>0</v>
      </c>
      <c r="S15" s="26">
        <v>0</v>
      </c>
      <c r="T15" s="27">
        <v>0</v>
      </c>
      <c r="U15" s="28">
        <v>0</v>
      </c>
      <c r="V15" s="28">
        <f t="shared" si="5"/>
        <v>0</v>
      </c>
      <c r="W15" s="26">
        <v>0</v>
      </c>
      <c r="X15" s="27">
        <v>3</v>
      </c>
      <c r="Y15" s="27">
        <v>3</v>
      </c>
      <c r="Z15" s="27">
        <f t="shared" si="6"/>
        <v>0</v>
      </c>
      <c r="AA15" s="26">
        <v>0</v>
      </c>
      <c r="AB15" s="27">
        <v>0</v>
      </c>
      <c r="AC15" s="27">
        <v>0</v>
      </c>
      <c r="AD15" s="27">
        <f t="shared" si="7"/>
        <v>0</v>
      </c>
      <c r="AE15" s="26">
        <v>0</v>
      </c>
      <c r="AF15" s="27">
        <v>3</v>
      </c>
      <c r="AG15" s="27">
        <v>3</v>
      </c>
      <c r="AH15" s="27">
        <f t="shared" si="8"/>
        <v>0</v>
      </c>
      <c r="AI15" s="26">
        <v>0</v>
      </c>
      <c r="AJ15" s="27">
        <v>2</v>
      </c>
      <c r="AK15" s="27">
        <v>2</v>
      </c>
      <c r="AL15" s="27">
        <f t="shared" si="9"/>
        <v>0</v>
      </c>
      <c r="AM15" s="26">
        <v>0</v>
      </c>
      <c r="AN15" s="27">
        <v>0</v>
      </c>
      <c r="AO15" s="27">
        <v>0</v>
      </c>
      <c r="AP15" s="27">
        <f t="shared" si="10"/>
        <v>0</v>
      </c>
      <c r="AQ15" s="26">
        <v>0</v>
      </c>
      <c r="AR15" s="27">
        <v>0</v>
      </c>
      <c r="AS15" s="28">
        <v>0</v>
      </c>
      <c r="AT15" s="28">
        <f t="shared" si="11"/>
        <v>0</v>
      </c>
      <c r="AU15" s="26">
        <v>0</v>
      </c>
      <c r="AV15" s="27">
        <v>0</v>
      </c>
      <c r="AW15" s="28">
        <v>0</v>
      </c>
      <c r="AX15" s="28">
        <f t="shared" si="12"/>
        <v>0</v>
      </c>
      <c r="AY15" s="26">
        <v>0</v>
      </c>
      <c r="AZ15" s="27">
        <v>2</v>
      </c>
      <c r="BA15" s="28">
        <v>2</v>
      </c>
      <c r="BB15" s="28">
        <f t="shared" si="13"/>
        <v>0</v>
      </c>
      <c r="BC15" s="26">
        <v>0</v>
      </c>
      <c r="BD15" s="27">
        <v>0</v>
      </c>
      <c r="BE15" s="28">
        <v>0</v>
      </c>
      <c r="BF15" s="28">
        <f t="shared" si="14"/>
        <v>0</v>
      </c>
      <c r="BG15" s="26">
        <v>0</v>
      </c>
      <c r="BH15" s="27">
        <v>0</v>
      </c>
      <c r="BI15" s="28">
        <v>0</v>
      </c>
      <c r="BJ15" s="28">
        <f t="shared" si="15"/>
        <v>0</v>
      </c>
      <c r="BK15" s="26">
        <v>0</v>
      </c>
      <c r="BL15" s="27">
        <v>0</v>
      </c>
      <c r="BM15" s="28">
        <v>0</v>
      </c>
      <c r="BN15" s="28">
        <f t="shared" si="16"/>
        <v>0</v>
      </c>
      <c r="BO15" s="26">
        <v>0</v>
      </c>
      <c r="BP15" s="27">
        <v>0</v>
      </c>
      <c r="BQ15" s="28">
        <v>0</v>
      </c>
      <c r="BR15" s="28">
        <f t="shared" si="17"/>
        <v>0</v>
      </c>
      <c r="BS15" s="26">
        <v>0</v>
      </c>
      <c r="BT15" s="27">
        <f t="shared" si="18"/>
        <v>13</v>
      </c>
      <c r="BU15" s="28">
        <f t="shared" si="19"/>
        <v>0</v>
      </c>
      <c r="BV15" s="28">
        <f t="shared" si="20"/>
        <v>0</v>
      </c>
      <c r="BW15" s="28">
        <f t="shared" si="21"/>
        <v>1</v>
      </c>
      <c r="BX15" s="28">
        <f t="shared" si="22"/>
        <v>1</v>
      </c>
      <c r="BY15" s="26">
        <f t="shared" si="23"/>
        <v>1</v>
      </c>
      <c r="CC15" s="133" t="s">
        <v>87</v>
      </c>
      <c r="CD15">
        <f>AVERAGE(BW27:BW28)</f>
        <v>0.8571428571428571</v>
      </c>
      <c r="CE15">
        <f t="shared" ref="CE15:CF15" si="35">AVERAGE(BX27:BX28)</f>
        <v>0.9</v>
      </c>
      <c r="CF15">
        <f t="shared" si="35"/>
        <v>0.87533156498673748</v>
      </c>
    </row>
    <row r="16" spans="1:84" x14ac:dyDescent="0.35">
      <c r="A16" s="55" t="s">
        <v>48</v>
      </c>
      <c r="B16" s="148"/>
      <c r="C16" s="26" t="s">
        <v>65</v>
      </c>
      <c r="D16" s="27">
        <v>3</v>
      </c>
      <c r="E16" s="28">
        <v>3</v>
      </c>
      <c r="F16" s="28">
        <f t="shared" si="1"/>
        <v>0</v>
      </c>
      <c r="G16" s="26">
        <v>0</v>
      </c>
      <c r="H16" s="27">
        <v>0</v>
      </c>
      <c r="I16" s="27">
        <v>0</v>
      </c>
      <c r="J16" s="27">
        <f t="shared" si="2"/>
        <v>0</v>
      </c>
      <c r="K16" s="26">
        <v>0</v>
      </c>
      <c r="L16" s="27">
        <v>0</v>
      </c>
      <c r="M16" s="27">
        <v>0</v>
      </c>
      <c r="N16" s="27">
        <f t="shared" si="3"/>
        <v>0</v>
      </c>
      <c r="O16" s="26">
        <v>0</v>
      </c>
      <c r="P16" s="27">
        <v>0</v>
      </c>
      <c r="Q16" s="28">
        <v>0</v>
      </c>
      <c r="R16" s="28">
        <f t="shared" si="4"/>
        <v>0</v>
      </c>
      <c r="S16" s="26">
        <v>0</v>
      </c>
      <c r="T16" s="27">
        <v>0</v>
      </c>
      <c r="U16" s="28">
        <v>0</v>
      </c>
      <c r="V16" s="28">
        <f t="shared" si="5"/>
        <v>0</v>
      </c>
      <c r="W16" s="26">
        <v>0</v>
      </c>
      <c r="X16" s="27">
        <v>3</v>
      </c>
      <c r="Y16" s="27">
        <v>3</v>
      </c>
      <c r="Z16" s="27">
        <v>0</v>
      </c>
      <c r="AA16" s="26">
        <v>0</v>
      </c>
      <c r="AB16" s="27">
        <v>0</v>
      </c>
      <c r="AC16" s="27">
        <v>0</v>
      </c>
      <c r="AD16" s="27">
        <f t="shared" si="7"/>
        <v>0</v>
      </c>
      <c r="AE16" s="26">
        <v>0</v>
      </c>
      <c r="AF16" s="27">
        <v>3</v>
      </c>
      <c r="AG16" s="27">
        <v>3</v>
      </c>
      <c r="AH16" s="27">
        <f t="shared" si="8"/>
        <v>0</v>
      </c>
      <c r="AI16" s="26">
        <v>0</v>
      </c>
      <c r="AJ16" s="27">
        <v>2</v>
      </c>
      <c r="AK16" s="27">
        <v>2</v>
      </c>
      <c r="AL16" s="27">
        <f t="shared" si="9"/>
        <v>0</v>
      </c>
      <c r="AM16" s="26">
        <v>0</v>
      </c>
      <c r="AN16" s="27">
        <v>0</v>
      </c>
      <c r="AO16" s="27">
        <v>0</v>
      </c>
      <c r="AP16" s="27">
        <f t="shared" si="10"/>
        <v>0</v>
      </c>
      <c r="AQ16" s="26">
        <v>0</v>
      </c>
      <c r="AR16" s="27">
        <v>0</v>
      </c>
      <c r="AS16" s="28">
        <v>0</v>
      </c>
      <c r="AT16" s="28">
        <f t="shared" si="11"/>
        <v>0</v>
      </c>
      <c r="AU16" s="26">
        <v>0</v>
      </c>
      <c r="AV16" s="27">
        <v>0</v>
      </c>
      <c r="AW16" s="28">
        <v>0</v>
      </c>
      <c r="AX16" s="28">
        <f t="shared" si="12"/>
        <v>0</v>
      </c>
      <c r="AY16" s="26">
        <v>0</v>
      </c>
      <c r="AZ16" s="27">
        <v>2</v>
      </c>
      <c r="BA16" s="28">
        <v>2</v>
      </c>
      <c r="BB16" s="28">
        <f t="shared" si="13"/>
        <v>0</v>
      </c>
      <c r="BC16" s="26">
        <v>0</v>
      </c>
      <c r="BD16" s="27">
        <v>0</v>
      </c>
      <c r="BE16" s="28">
        <v>0</v>
      </c>
      <c r="BF16" s="28">
        <f t="shared" si="14"/>
        <v>0</v>
      </c>
      <c r="BG16" s="26">
        <v>0</v>
      </c>
      <c r="BH16" s="27">
        <v>0</v>
      </c>
      <c r="BI16" s="28">
        <v>0</v>
      </c>
      <c r="BJ16" s="28">
        <f t="shared" si="15"/>
        <v>0</v>
      </c>
      <c r="BK16" s="26">
        <v>0</v>
      </c>
      <c r="BL16" s="27">
        <v>0</v>
      </c>
      <c r="BM16" s="28">
        <v>0</v>
      </c>
      <c r="BN16" s="28">
        <f t="shared" si="16"/>
        <v>0</v>
      </c>
      <c r="BO16" s="26">
        <v>0</v>
      </c>
      <c r="BP16" s="27">
        <v>0</v>
      </c>
      <c r="BQ16" s="28">
        <v>0</v>
      </c>
      <c r="BR16" s="28">
        <f t="shared" si="17"/>
        <v>0</v>
      </c>
      <c r="BS16" s="26">
        <v>0</v>
      </c>
      <c r="BT16" s="27">
        <f t="shared" si="18"/>
        <v>13</v>
      </c>
      <c r="BU16" s="28">
        <f t="shared" si="19"/>
        <v>0</v>
      </c>
      <c r="BV16" s="28">
        <f t="shared" si="20"/>
        <v>0</v>
      </c>
      <c r="BW16" s="28">
        <f t="shared" si="21"/>
        <v>1</v>
      </c>
      <c r="BX16" s="28">
        <f t="shared" si="22"/>
        <v>1</v>
      </c>
      <c r="BY16" s="26">
        <f t="shared" si="23"/>
        <v>1</v>
      </c>
      <c r="CC16" s="133" t="s">
        <v>88</v>
      </c>
      <c r="CD16">
        <f>AVERAGE(BW29:BW30)</f>
        <v>0.97727272727272729</v>
      </c>
      <c r="CE16">
        <f t="shared" ref="CE16:CF16" si="36">AVERAGE(BX29:BX30)</f>
        <v>0.84937888198757761</v>
      </c>
      <c r="CF16">
        <f t="shared" si="36"/>
        <v>0.90666666666666662</v>
      </c>
    </row>
    <row r="17" spans="1:84" x14ac:dyDescent="0.35">
      <c r="A17" s="56" t="s">
        <v>48</v>
      </c>
      <c r="B17" s="148"/>
      <c r="C17" s="29" t="s">
        <v>33</v>
      </c>
      <c r="D17" s="30">
        <v>2</v>
      </c>
      <c r="E17" s="31">
        <v>2</v>
      </c>
      <c r="F17" s="31">
        <f t="shared" si="1"/>
        <v>0</v>
      </c>
      <c r="G17" s="29">
        <v>0</v>
      </c>
      <c r="H17" s="30">
        <v>2</v>
      </c>
      <c r="I17" s="31">
        <v>2</v>
      </c>
      <c r="J17" s="31">
        <f t="shared" si="2"/>
        <v>0</v>
      </c>
      <c r="K17" s="29">
        <v>0</v>
      </c>
      <c r="L17" s="30">
        <v>1</v>
      </c>
      <c r="M17" s="31">
        <v>1</v>
      </c>
      <c r="N17" s="31">
        <f t="shared" si="3"/>
        <v>0</v>
      </c>
      <c r="O17" s="29">
        <v>0</v>
      </c>
      <c r="P17" s="30">
        <v>1</v>
      </c>
      <c r="Q17" s="31">
        <v>1</v>
      </c>
      <c r="R17" s="31">
        <f t="shared" si="4"/>
        <v>0</v>
      </c>
      <c r="S17" s="29">
        <v>1</v>
      </c>
      <c r="T17" s="30">
        <v>1</v>
      </c>
      <c r="U17" s="31">
        <v>1</v>
      </c>
      <c r="V17" s="31">
        <f t="shared" si="5"/>
        <v>0</v>
      </c>
      <c r="W17" s="29">
        <v>0</v>
      </c>
      <c r="X17" s="30">
        <v>1</v>
      </c>
      <c r="Y17" s="31">
        <v>1</v>
      </c>
      <c r="Z17" s="31">
        <f t="shared" si="6"/>
        <v>0</v>
      </c>
      <c r="AA17" s="29">
        <v>0</v>
      </c>
      <c r="AB17" s="30">
        <v>0</v>
      </c>
      <c r="AC17" s="31">
        <v>0</v>
      </c>
      <c r="AD17" s="31">
        <f t="shared" si="7"/>
        <v>0</v>
      </c>
      <c r="AE17" s="29">
        <v>0</v>
      </c>
      <c r="AF17" s="30">
        <v>1</v>
      </c>
      <c r="AG17" s="31">
        <v>1</v>
      </c>
      <c r="AH17" s="31">
        <f t="shared" si="8"/>
        <v>0</v>
      </c>
      <c r="AI17" s="29">
        <v>0</v>
      </c>
      <c r="AJ17" s="30">
        <v>0</v>
      </c>
      <c r="AK17" s="31">
        <v>0</v>
      </c>
      <c r="AL17" s="31">
        <f t="shared" si="9"/>
        <v>0</v>
      </c>
      <c r="AM17" s="29">
        <v>0</v>
      </c>
      <c r="AN17" s="30">
        <v>0</v>
      </c>
      <c r="AO17" s="31">
        <v>0</v>
      </c>
      <c r="AP17" s="31">
        <f t="shared" si="10"/>
        <v>0</v>
      </c>
      <c r="AQ17" s="29">
        <v>0</v>
      </c>
      <c r="AR17" s="30">
        <v>0</v>
      </c>
      <c r="AS17" s="31">
        <v>0</v>
      </c>
      <c r="AT17" s="31">
        <f t="shared" si="11"/>
        <v>0</v>
      </c>
      <c r="AU17" s="29">
        <v>0</v>
      </c>
      <c r="AV17" s="30">
        <v>1</v>
      </c>
      <c r="AW17" s="31">
        <v>1</v>
      </c>
      <c r="AX17" s="31">
        <f t="shared" si="12"/>
        <v>0</v>
      </c>
      <c r="AY17" s="29">
        <v>0</v>
      </c>
      <c r="AZ17" s="30">
        <v>1</v>
      </c>
      <c r="BA17" s="31">
        <v>0</v>
      </c>
      <c r="BB17" s="31">
        <f t="shared" si="13"/>
        <v>1</v>
      </c>
      <c r="BC17" s="29">
        <v>1</v>
      </c>
      <c r="BD17" s="30">
        <v>0</v>
      </c>
      <c r="BE17" s="31">
        <v>0</v>
      </c>
      <c r="BF17" s="31">
        <f t="shared" si="14"/>
        <v>0</v>
      </c>
      <c r="BG17" s="29">
        <v>0</v>
      </c>
      <c r="BH17" s="30">
        <v>0</v>
      </c>
      <c r="BI17" s="31">
        <v>0</v>
      </c>
      <c r="BJ17" s="31">
        <f t="shared" si="15"/>
        <v>0</v>
      </c>
      <c r="BK17" s="29">
        <v>0</v>
      </c>
      <c r="BL17" s="30">
        <v>0</v>
      </c>
      <c r="BM17" s="31">
        <v>0</v>
      </c>
      <c r="BN17" s="31">
        <f t="shared" si="16"/>
        <v>0</v>
      </c>
      <c r="BO17" s="29">
        <v>1</v>
      </c>
      <c r="BP17" s="30">
        <v>0</v>
      </c>
      <c r="BQ17" s="31">
        <v>0</v>
      </c>
      <c r="BR17" s="31">
        <f t="shared" si="17"/>
        <v>0</v>
      </c>
      <c r="BS17" s="29">
        <v>0</v>
      </c>
      <c r="BT17" s="30">
        <f t="shared" si="18"/>
        <v>10</v>
      </c>
      <c r="BU17" s="31">
        <f t="shared" si="19"/>
        <v>1</v>
      </c>
      <c r="BV17" s="31">
        <f t="shared" si="20"/>
        <v>3</v>
      </c>
      <c r="BW17" s="31">
        <f t="shared" si="21"/>
        <v>0.90909090909090906</v>
      </c>
      <c r="BX17" s="31">
        <f t="shared" si="22"/>
        <v>0.76923076923076927</v>
      </c>
      <c r="BY17" s="29">
        <f t="shared" si="23"/>
        <v>0.83333333333333326</v>
      </c>
      <c r="CC17" s="133" t="s">
        <v>89</v>
      </c>
      <c r="CD17">
        <f>AVERAGE(BW31:BW32)</f>
        <v>0.91666666666666663</v>
      </c>
      <c r="CE17">
        <f t="shared" ref="CE17:CF17" si="37">AVERAGE(BX31:BX32)</f>
        <v>0.84615384615384615</v>
      </c>
      <c r="CF17">
        <f t="shared" si="37"/>
        <v>0.87999999999999989</v>
      </c>
    </row>
    <row r="18" spans="1:84" x14ac:dyDescent="0.35">
      <c r="A18" s="56" t="s">
        <v>48</v>
      </c>
      <c r="B18" s="148"/>
      <c r="C18" s="29" t="s">
        <v>66</v>
      </c>
      <c r="D18" s="30">
        <v>2</v>
      </c>
      <c r="E18" s="31">
        <v>2</v>
      </c>
      <c r="F18" s="31">
        <f t="shared" si="1"/>
        <v>0</v>
      </c>
      <c r="G18" s="29">
        <v>0</v>
      </c>
      <c r="H18" s="30">
        <v>2</v>
      </c>
      <c r="I18" s="31">
        <v>2</v>
      </c>
      <c r="J18" s="31">
        <f t="shared" si="2"/>
        <v>0</v>
      </c>
      <c r="K18" s="29">
        <v>0</v>
      </c>
      <c r="L18" s="30">
        <v>1</v>
      </c>
      <c r="M18" s="31">
        <v>1</v>
      </c>
      <c r="N18" s="31">
        <f t="shared" si="3"/>
        <v>0</v>
      </c>
      <c r="O18" s="29">
        <v>0</v>
      </c>
      <c r="P18" s="30">
        <v>1</v>
      </c>
      <c r="Q18" s="31">
        <v>1</v>
      </c>
      <c r="R18" s="31">
        <f t="shared" si="4"/>
        <v>0</v>
      </c>
      <c r="S18" s="29">
        <v>1</v>
      </c>
      <c r="T18" s="30">
        <v>1</v>
      </c>
      <c r="U18" s="31">
        <v>1</v>
      </c>
      <c r="V18" s="31">
        <f t="shared" si="5"/>
        <v>0</v>
      </c>
      <c r="W18" s="29">
        <v>0</v>
      </c>
      <c r="X18" s="30">
        <v>1</v>
      </c>
      <c r="Y18" s="31">
        <v>1</v>
      </c>
      <c r="Z18" s="31">
        <f t="shared" si="6"/>
        <v>0</v>
      </c>
      <c r="AA18" s="29">
        <v>0</v>
      </c>
      <c r="AB18" s="30">
        <v>0</v>
      </c>
      <c r="AC18" s="31">
        <v>0</v>
      </c>
      <c r="AD18" s="31">
        <f t="shared" si="7"/>
        <v>0</v>
      </c>
      <c r="AE18" s="29">
        <v>0</v>
      </c>
      <c r="AF18" s="30">
        <v>1</v>
      </c>
      <c r="AG18" s="31">
        <v>1</v>
      </c>
      <c r="AH18" s="31">
        <f t="shared" si="8"/>
        <v>0</v>
      </c>
      <c r="AI18" s="29">
        <v>0</v>
      </c>
      <c r="AJ18" s="30">
        <v>0</v>
      </c>
      <c r="AK18" s="31">
        <v>0</v>
      </c>
      <c r="AL18" s="31">
        <f t="shared" si="9"/>
        <v>0</v>
      </c>
      <c r="AM18" s="29">
        <v>0</v>
      </c>
      <c r="AN18" s="30">
        <v>0</v>
      </c>
      <c r="AO18" s="31">
        <v>0</v>
      </c>
      <c r="AP18" s="31">
        <f t="shared" si="10"/>
        <v>0</v>
      </c>
      <c r="AQ18" s="29">
        <v>0</v>
      </c>
      <c r="AR18" s="30">
        <v>0</v>
      </c>
      <c r="AS18" s="31">
        <v>0</v>
      </c>
      <c r="AT18" s="31">
        <f t="shared" si="11"/>
        <v>0</v>
      </c>
      <c r="AU18" s="29">
        <v>1</v>
      </c>
      <c r="AV18" s="30">
        <v>1</v>
      </c>
      <c r="AW18" s="31">
        <v>0</v>
      </c>
      <c r="AX18" s="31">
        <f t="shared" si="12"/>
        <v>1</v>
      </c>
      <c r="AY18" s="29">
        <v>0</v>
      </c>
      <c r="AZ18" s="30">
        <v>1</v>
      </c>
      <c r="BA18" s="31">
        <v>0</v>
      </c>
      <c r="BB18" s="31">
        <f t="shared" si="13"/>
        <v>1</v>
      </c>
      <c r="BC18" s="29">
        <v>1</v>
      </c>
      <c r="BD18" s="30">
        <v>0</v>
      </c>
      <c r="BE18" s="31">
        <v>0</v>
      </c>
      <c r="BF18" s="31">
        <f t="shared" si="14"/>
        <v>0</v>
      </c>
      <c r="BG18" s="29">
        <v>0</v>
      </c>
      <c r="BH18" s="30">
        <v>0</v>
      </c>
      <c r="BI18" s="31">
        <v>0</v>
      </c>
      <c r="BJ18" s="31">
        <f t="shared" si="15"/>
        <v>0</v>
      </c>
      <c r="BK18" s="29">
        <v>0</v>
      </c>
      <c r="BL18" s="30">
        <v>0</v>
      </c>
      <c r="BM18" s="31">
        <v>0</v>
      </c>
      <c r="BN18" s="31">
        <f>BL18-BM18</f>
        <v>0</v>
      </c>
      <c r="BO18" s="29">
        <v>1</v>
      </c>
      <c r="BP18" s="30">
        <v>0</v>
      </c>
      <c r="BQ18" s="31">
        <v>0</v>
      </c>
      <c r="BR18" s="31">
        <f t="shared" si="17"/>
        <v>0</v>
      </c>
      <c r="BS18" s="29">
        <v>0</v>
      </c>
      <c r="BT18" s="30">
        <f t="shared" si="18"/>
        <v>9</v>
      </c>
      <c r="BU18" s="31">
        <f t="shared" si="19"/>
        <v>2</v>
      </c>
      <c r="BV18" s="31">
        <f t="shared" si="20"/>
        <v>4</v>
      </c>
      <c r="BW18" s="31">
        <f t="shared" si="21"/>
        <v>0.81818181818181823</v>
      </c>
      <c r="BX18" s="31">
        <f t="shared" si="22"/>
        <v>0.69230769230769229</v>
      </c>
      <c r="BY18" s="29">
        <f t="shared" si="23"/>
        <v>0.75000000000000011</v>
      </c>
      <c r="CC18" s="133" t="s">
        <v>90</v>
      </c>
      <c r="CD18">
        <f>AVERAGE(BW33:BW34)</f>
        <v>1</v>
      </c>
      <c r="CE18">
        <f t="shared" ref="CE18:CF18" si="38">AVERAGE(BX33:BX34)</f>
        <v>1</v>
      </c>
      <c r="CF18">
        <f t="shared" si="38"/>
        <v>1</v>
      </c>
    </row>
    <row r="19" spans="1:84" x14ac:dyDescent="0.35">
      <c r="A19" s="57" t="s">
        <v>48</v>
      </c>
      <c r="B19" s="148"/>
      <c r="C19" s="32" t="s">
        <v>34</v>
      </c>
      <c r="D19" s="33">
        <v>2</v>
      </c>
      <c r="E19" s="34">
        <v>2</v>
      </c>
      <c r="F19" s="34">
        <f t="shared" si="1"/>
        <v>0</v>
      </c>
      <c r="G19" s="32">
        <v>0</v>
      </c>
      <c r="H19" s="33">
        <v>2</v>
      </c>
      <c r="I19" s="34">
        <v>2</v>
      </c>
      <c r="J19" s="34">
        <f t="shared" si="2"/>
        <v>0</v>
      </c>
      <c r="K19" s="32">
        <v>0</v>
      </c>
      <c r="L19" s="33">
        <v>1</v>
      </c>
      <c r="M19" s="34">
        <v>1</v>
      </c>
      <c r="N19" s="34">
        <f t="shared" si="3"/>
        <v>0</v>
      </c>
      <c r="O19" s="32">
        <v>0</v>
      </c>
      <c r="P19" s="33">
        <v>1</v>
      </c>
      <c r="Q19" s="34">
        <v>1</v>
      </c>
      <c r="R19" s="34">
        <f t="shared" si="4"/>
        <v>0</v>
      </c>
      <c r="S19" s="32">
        <v>1</v>
      </c>
      <c r="T19" s="33">
        <v>1</v>
      </c>
      <c r="U19" s="34">
        <v>1</v>
      </c>
      <c r="V19" s="34">
        <f t="shared" si="5"/>
        <v>0</v>
      </c>
      <c r="W19" s="32">
        <v>1</v>
      </c>
      <c r="X19" s="33">
        <v>1</v>
      </c>
      <c r="Y19" s="34">
        <v>1</v>
      </c>
      <c r="Z19" s="34">
        <f t="shared" si="6"/>
        <v>0</v>
      </c>
      <c r="AA19" s="32">
        <v>0</v>
      </c>
      <c r="AB19" s="33">
        <v>1</v>
      </c>
      <c r="AC19" s="34">
        <v>1</v>
      </c>
      <c r="AD19" s="34">
        <f t="shared" si="7"/>
        <v>0</v>
      </c>
      <c r="AE19" s="32">
        <v>0</v>
      </c>
      <c r="AF19" s="33">
        <v>1</v>
      </c>
      <c r="AG19" s="34">
        <v>1</v>
      </c>
      <c r="AH19" s="34">
        <f t="shared" si="8"/>
        <v>0</v>
      </c>
      <c r="AI19" s="32">
        <v>0</v>
      </c>
      <c r="AJ19" s="33">
        <v>0</v>
      </c>
      <c r="AK19" s="34">
        <v>0</v>
      </c>
      <c r="AL19" s="34">
        <f t="shared" si="9"/>
        <v>0</v>
      </c>
      <c r="AM19" s="32">
        <v>0</v>
      </c>
      <c r="AN19" s="33">
        <v>0</v>
      </c>
      <c r="AO19" s="34">
        <v>0</v>
      </c>
      <c r="AP19" s="34">
        <f t="shared" si="10"/>
        <v>0</v>
      </c>
      <c r="AQ19" s="32">
        <v>0</v>
      </c>
      <c r="AR19" s="33">
        <v>0</v>
      </c>
      <c r="AS19" s="34">
        <v>0</v>
      </c>
      <c r="AT19" s="34">
        <f t="shared" si="11"/>
        <v>0</v>
      </c>
      <c r="AU19" s="32">
        <v>0</v>
      </c>
      <c r="AV19" s="33">
        <v>1</v>
      </c>
      <c r="AW19" s="34">
        <v>0</v>
      </c>
      <c r="AX19" s="34">
        <f t="shared" si="12"/>
        <v>1</v>
      </c>
      <c r="AY19" s="32">
        <v>1</v>
      </c>
      <c r="AZ19" s="33">
        <v>1</v>
      </c>
      <c r="BA19" s="34">
        <v>0</v>
      </c>
      <c r="BB19" s="34">
        <f t="shared" si="13"/>
        <v>1</v>
      </c>
      <c r="BC19" s="32">
        <v>1</v>
      </c>
      <c r="BD19" s="33">
        <v>0</v>
      </c>
      <c r="BE19" s="34">
        <v>0</v>
      </c>
      <c r="BF19" s="34">
        <f t="shared" si="14"/>
        <v>0</v>
      </c>
      <c r="BG19" s="32">
        <v>0</v>
      </c>
      <c r="BH19" s="33">
        <v>0</v>
      </c>
      <c r="BI19" s="34">
        <v>0</v>
      </c>
      <c r="BJ19" s="34">
        <f t="shared" si="15"/>
        <v>0</v>
      </c>
      <c r="BK19" s="32">
        <v>0</v>
      </c>
      <c r="BL19" s="33">
        <v>0</v>
      </c>
      <c r="BM19" s="34">
        <v>0</v>
      </c>
      <c r="BN19" s="34">
        <f t="shared" si="16"/>
        <v>0</v>
      </c>
      <c r="BO19" s="32">
        <v>1</v>
      </c>
      <c r="BP19" s="33">
        <v>0</v>
      </c>
      <c r="BQ19" s="34">
        <v>0</v>
      </c>
      <c r="BR19" s="34">
        <f t="shared" si="17"/>
        <v>0</v>
      </c>
      <c r="BS19" s="32">
        <v>0</v>
      </c>
      <c r="BT19" s="33">
        <f t="shared" si="18"/>
        <v>10</v>
      </c>
      <c r="BU19" s="34">
        <f t="shared" si="19"/>
        <v>2</v>
      </c>
      <c r="BV19" s="34">
        <f t="shared" si="20"/>
        <v>5</v>
      </c>
      <c r="BW19" s="34">
        <f t="shared" si="21"/>
        <v>0.83333333333333337</v>
      </c>
      <c r="BX19" s="34">
        <f t="shared" si="22"/>
        <v>0.66666666666666663</v>
      </c>
      <c r="BY19" s="32">
        <f t="shared" si="23"/>
        <v>0.74074074074074081</v>
      </c>
      <c r="CC19" s="133" t="s">
        <v>57</v>
      </c>
      <c r="CD19">
        <f>AVERAGE(CD3:CD18)</f>
        <v>0.91435972116119169</v>
      </c>
      <c r="CE19">
        <f t="shared" ref="CE19:CF19" si="39">AVERAGE(CE3:CE18)</f>
        <v>0.81141403245120525</v>
      </c>
      <c r="CF19">
        <f t="shared" si="39"/>
        <v>0.85646838049783924</v>
      </c>
    </row>
    <row r="20" spans="1:84" x14ac:dyDescent="0.35">
      <c r="A20" s="57" t="s">
        <v>48</v>
      </c>
      <c r="B20" s="148"/>
      <c r="C20" s="32" t="s">
        <v>67</v>
      </c>
      <c r="D20" s="33">
        <v>2</v>
      </c>
      <c r="E20" s="34">
        <v>2</v>
      </c>
      <c r="F20" s="34">
        <f t="shared" si="1"/>
        <v>0</v>
      </c>
      <c r="G20" s="32">
        <v>0</v>
      </c>
      <c r="H20" s="33">
        <v>2</v>
      </c>
      <c r="I20" s="34">
        <v>2</v>
      </c>
      <c r="J20" s="34">
        <f t="shared" si="2"/>
        <v>0</v>
      </c>
      <c r="K20" s="32">
        <v>0</v>
      </c>
      <c r="L20" s="33">
        <v>1</v>
      </c>
      <c r="M20" s="34">
        <v>1</v>
      </c>
      <c r="N20" s="34">
        <f t="shared" si="3"/>
        <v>0</v>
      </c>
      <c r="O20" s="32">
        <v>0</v>
      </c>
      <c r="P20" s="33">
        <v>1</v>
      </c>
      <c r="Q20" s="34">
        <v>1</v>
      </c>
      <c r="R20" s="34">
        <f t="shared" si="4"/>
        <v>0</v>
      </c>
      <c r="S20" s="32">
        <v>1</v>
      </c>
      <c r="T20" s="33">
        <v>1</v>
      </c>
      <c r="U20" s="34">
        <v>1</v>
      </c>
      <c r="V20" s="34">
        <f t="shared" si="5"/>
        <v>0</v>
      </c>
      <c r="W20" s="32">
        <v>1</v>
      </c>
      <c r="X20" s="33">
        <v>1</v>
      </c>
      <c r="Y20" s="34">
        <v>1</v>
      </c>
      <c r="Z20" s="34">
        <f t="shared" si="6"/>
        <v>0</v>
      </c>
      <c r="AA20" s="32">
        <v>0</v>
      </c>
      <c r="AB20" s="33">
        <v>1</v>
      </c>
      <c r="AC20" s="34">
        <v>1</v>
      </c>
      <c r="AD20" s="34">
        <f t="shared" si="7"/>
        <v>0</v>
      </c>
      <c r="AE20" s="32">
        <v>0</v>
      </c>
      <c r="AF20" s="33">
        <v>1</v>
      </c>
      <c r="AG20" s="34">
        <v>1</v>
      </c>
      <c r="AH20" s="34">
        <f t="shared" si="8"/>
        <v>0</v>
      </c>
      <c r="AI20" s="32">
        <v>0</v>
      </c>
      <c r="AJ20" s="33">
        <v>0</v>
      </c>
      <c r="AK20" s="34">
        <v>0</v>
      </c>
      <c r="AL20" s="34">
        <f t="shared" si="9"/>
        <v>0</v>
      </c>
      <c r="AM20" s="32">
        <v>0</v>
      </c>
      <c r="AN20" s="33">
        <v>0</v>
      </c>
      <c r="AO20" s="34">
        <v>0</v>
      </c>
      <c r="AP20" s="34">
        <f t="shared" si="10"/>
        <v>0</v>
      </c>
      <c r="AQ20" s="32">
        <v>0</v>
      </c>
      <c r="AR20" s="33">
        <v>0</v>
      </c>
      <c r="AS20" s="34">
        <v>0</v>
      </c>
      <c r="AT20" s="34">
        <f t="shared" si="11"/>
        <v>0</v>
      </c>
      <c r="AU20" s="32">
        <v>0</v>
      </c>
      <c r="AV20" s="33">
        <v>1</v>
      </c>
      <c r="AW20" s="34">
        <v>0</v>
      </c>
      <c r="AX20" s="34">
        <f t="shared" si="12"/>
        <v>1</v>
      </c>
      <c r="AY20" s="32">
        <v>1</v>
      </c>
      <c r="AZ20" s="33">
        <v>1</v>
      </c>
      <c r="BA20" s="34">
        <v>0</v>
      </c>
      <c r="BB20" s="34">
        <f t="shared" si="13"/>
        <v>1</v>
      </c>
      <c r="BC20" s="32">
        <v>1</v>
      </c>
      <c r="BD20" s="33">
        <v>0</v>
      </c>
      <c r="BE20" s="34">
        <v>0</v>
      </c>
      <c r="BF20" s="34">
        <f t="shared" si="14"/>
        <v>0</v>
      </c>
      <c r="BG20" s="32">
        <v>0</v>
      </c>
      <c r="BH20" s="33">
        <v>0</v>
      </c>
      <c r="BI20" s="34">
        <v>0</v>
      </c>
      <c r="BJ20" s="34">
        <f t="shared" si="15"/>
        <v>0</v>
      </c>
      <c r="BK20" s="32">
        <v>0</v>
      </c>
      <c r="BL20" s="33">
        <v>0</v>
      </c>
      <c r="BM20" s="34">
        <v>0</v>
      </c>
      <c r="BN20" s="34">
        <f t="shared" si="16"/>
        <v>0</v>
      </c>
      <c r="BO20" s="32">
        <v>1</v>
      </c>
      <c r="BP20" s="33">
        <v>0</v>
      </c>
      <c r="BQ20" s="34">
        <v>0</v>
      </c>
      <c r="BR20" s="34">
        <f t="shared" si="17"/>
        <v>0</v>
      </c>
      <c r="BS20" s="32">
        <v>0</v>
      </c>
      <c r="BT20" s="33">
        <f t="shared" si="18"/>
        <v>10</v>
      </c>
      <c r="BU20" s="34">
        <f t="shared" si="19"/>
        <v>2</v>
      </c>
      <c r="BV20" s="34">
        <f t="shared" si="20"/>
        <v>5</v>
      </c>
      <c r="BW20" s="34">
        <f t="shared" si="21"/>
        <v>0.83333333333333337</v>
      </c>
      <c r="BX20" s="34">
        <f t="shared" si="22"/>
        <v>0.66666666666666663</v>
      </c>
      <c r="BY20" s="32">
        <f t="shared" si="23"/>
        <v>0.74074074074074081</v>
      </c>
    </row>
    <row r="21" spans="1:84" x14ac:dyDescent="0.35">
      <c r="A21" s="58" t="s">
        <v>48</v>
      </c>
      <c r="B21" s="148"/>
      <c r="C21" s="35" t="s">
        <v>35</v>
      </c>
      <c r="D21" s="36">
        <v>2</v>
      </c>
      <c r="E21" s="37">
        <v>2</v>
      </c>
      <c r="F21" s="37">
        <f t="shared" si="1"/>
        <v>0</v>
      </c>
      <c r="G21" s="35">
        <v>0</v>
      </c>
      <c r="H21" s="36">
        <v>2</v>
      </c>
      <c r="I21" s="37">
        <v>2</v>
      </c>
      <c r="J21" s="37">
        <f t="shared" si="2"/>
        <v>0</v>
      </c>
      <c r="K21" s="35">
        <v>0</v>
      </c>
      <c r="L21" s="36">
        <v>3</v>
      </c>
      <c r="M21" s="37">
        <v>3</v>
      </c>
      <c r="N21" s="37">
        <f t="shared" si="3"/>
        <v>0</v>
      </c>
      <c r="O21" s="35">
        <v>0</v>
      </c>
      <c r="P21" s="36">
        <v>2</v>
      </c>
      <c r="Q21" s="37">
        <v>2</v>
      </c>
      <c r="R21" s="37">
        <f t="shared" si="4"/>
        <v>0</v>
      </c>
      <c r="S21" s="35">
        <v>1</v>
      </c>
      <c r="T21" s="36">
        <v>2</v>
      </c>
      <c r="U21" s="37">
        <v>2</v>
      </c>
      <c r="V21" s="37">
        <f t="shared" si="5"/>
        <v>0</v>
      </c>
      <c r="W21" s="35">
        <v>1</v>
      </c>
      <c r="X21" s="36">
        <v>2</v>
      </c>
      <c r="Y21" s="37">
        <v>2</v>
      </c>
      <c r="Z21" s="37">
        <f t="shared" si="6"/>
        <v>0</v>
      </c>
      <c r="AA21" s="35">
        <v>1</v>
      </c>
      <c r="AB21" s="36">
        <v>0</v>
      </c>
      <c r="AC21" s="37">
        <v>0</v>
      </c>
      <c r="AD21" s="37">
        <f t="shared" si="7"/>
        <v>0</v>
      </c>
      <c r="AE21" s="35">
        <v>0</v>
      </c>
      <c r="AF21" s="36">
        <v>2</v>
      </c>
      <c r="AG21" s="37">
        <v>2</v>
      </c>
      <c r="AH21" s="37">
        <f t="shared" si="8"/>
        <v>0</v>
      </c>
      <c r="AI21" s="35">
        <v>0</v>
      </c>
      <c r="AJ21" s="36">
        <v>0</v>
      </c>
      <c r="AK21" s="37">
        <v>0</v>
      </c>
      <c r="AL21" s="37">
        <f t="shared" si="9"/>
        <v>0</v>
      </c>
      <c r="AM21" s="35">
        <v>0</v>
      </c>
      <c r="AN21" s="36">
        <v>0</v>
      </c>
      <c r="AO21" s="37">
        <v>0</v>
      </c>
      <c r="AP21" s="37">
        <f t="shared" si="10"/>
        <v>0</v>
      </c>
      <c r="AQ21" s="35">
        <v>0</v>
      </c>
      <c r="AR21" s="36">
        <v>0</v>
      </c>
      <c r="AS21" s="37">
        <v>0</v>
      </c>
      <c r="AT21" s="37">
        <f t="shared" si="11"/>
        <v>0</v>
      </c>
      <c r="AU21" s="35">
        <v>0</v>
      </c>
      <c r="AV21" s="36">
        <v>1</v>
      </c>
      <c r="AW21" s="37">
        <v>0</v>
      </c>
      <c r="AX21" s="37">
        <f t="shared" si="12"/>
        <v>1</v>
      </c>
      <c r="AY21" s="35">
        <v>1</v>
      </c>
      <c r="AZ21" s="36">
        <v>1</v>
      </c>
      <c r="BA21" s="37">
        <v>0</v>
      </c>
      <c r="BB21" s="37">
        <f t="shared" si="13"/>
        <v>1</v>
      </c>
      <c r="BC21" s="35">
        <v>1</v>
      </c>
      <c r="BD21" s="36">
        <v>0</v>
      </c>
      <c r="BE21" s="37">
        <v>0</v>
      </c>
      <c r="BF21" s="37">
        <f t="shared" si="14"/>
        <v>0</v>
      </c>
      <c r="BG21" s="35">
        <v>0</v>
      </c>
      <c r="BH21" s="36">
        <v>0</v>
      </c>
      <c r="BI21" s="37">
        <v>0</v>
      </c>
      <c r="BJ21" s="37">
        <f t="shared" si="15"/>
        <v>0</v>
      </c>
      <c r="BK21" s="35">
        <v>0</v>
      </c>
      <c r="BL21" s="36">
        <v>0</v>
      </c>
      <c r="BM21" s="37">
        <v>0</v>
      </c>
      <c r="BN21" s="37">
        <f t="shared" si="16"/>
        <v>0</v>
      </c>
      <c r="BO21" s="35">
        <v>1</v>
      </c>
      <c r="BP21" s="36">
        <v>0</v>
      </c>
      <c r="BQ21" s="37">
        <v>0</v>
      </c>
      <c r="BR21" s="37">
        <f t="shared" si="17"/>
        <v>0</v>
      </c>
      <c r="BS21" s="35">
        <v>0</v>
      </c>
      <c r="BT21" s="36">
        <f t="shared" si="18"/>
        <v>15</v>
      </c>
      <c r="BU21" s="37">
        <f t="shared" si="19"/>
        <v>2</v>
      </c>
      <c r="BV21" s="37">
        <f t="shared" si="20"/>
        <v>6</v>
      </c>
      <c r="BW21" s="37">
        <f t="shared" si="21"/>
        <v>0.88235294117647056</v>
      </c>
      <c r="BX21" s="37">
        <f t="shared" si="22"/>
        <v>0.7142857142857143</v>
      </c>
      <c r="BY21" s="35">
        <f t="shared" si="23"/>
        <v>0.78947368421052622</v>
      </c>
    </row>
    <row r="22" spans="1:84" x14ac:dyDescent="0.35">
      <c r="A22" s="58" t="s">
        <v>48</v>
      </c>
      <c r="B22" s="148"/>
      <c r="C22" s="35" t="s">
        <v>68</v>
      </c>
      <c r="D22" s="36">
        <v>2</v>
      </c>
      <c r="E22" s="37">
        <v>2</v>
      </c>
      <c r="F22" s="37">
        <f t="shared" si="1"/>
        <v>0</v>
      </c>
      <c r="G22" s="35">
        <v>0</v>
      </c>
      <c r="H22" s="36">
        <v>2</v>
      </c>
      <c r="I22" s="37">
        <v>2</v>
      </c>
      <c r="J22" s="37">
        <f t="shared" si="2"/>
        <v>0</v>
      </c>
      <c r="K22" s="35">
        <v>0</v>
      </c>
      <c r="L22" s="36">
        <v>3</v>
      </c>
      <c r="M22" s="37">
        <v>3</v>
      </c>
      <c r="N22" s="37">
        <f t="shared" si="3"/>
        <v>0</v>
      </c>
      <c r="O22" s="35">
        <v>0</v>
      </c>
      <c r="P22" s="36">
        <v>2</v>
      </c>
      <c r="Q22" s="37">
        <v>2</v>
      </c>
      <c r="R22" s="37">
        <f t="shared" si="4"/>
        <v>0</v>
      </c>
      <c r="S22" s="35">
        <v>1</v>
      </c>
      <c r="T22" s="36">
        <v>2</v>
      </c>
      <c r="U22" s="37">
        <v>2</v>
      </c>
      <c r="V22" s="37">
        <f t="shared" si="5"/>
        <v>0</v>
      </c>
      <c r="W22" s="35">
        <v>1</v>
      </c>
      <c r="X22" s="36">
        <v>2</v>
      </c>
      <c r="Y22" s="37">
        <v>2</v>
      </c>
      <c r="Z22" s="37">
        <f t="shared" si="6"/>
        <v>0</v>
      </c>
      <c r="AA22" s="35">
        <v>0</v>
      </c>
      <c r="AB22" s="36">
        <v>0</v>
      </c>
      <c r="AC22" s="37">
        <v>0</v>
      </c>
      <c r="AD22" s="37">
        <f t="shared" si="7"/>
        <v>0</v>
      </c>
      <c r="AE22" s="35">
        <v>0</v>
      </c>
      <c r="AF22" s="36">
        <v>2</v>
      </c>
      <c r="AG22" s="37">
        <v>2</v>
      </c>
      <c r="AH22" s="37">
        <f t="shared" si="8"/>
        <v>0</v>
      </c>
      <c r="AI22" s="35">
        <v>0</v>
      </c>
      <c r="AJ22" s="36">
        <v>0</v>
      </c>
      <c r="AK22" s="37">
        <v>0</v>
      </c>
      <c r="AL22" s="37">
        <f t="shared" si="9"/>
        <v>0</v>
      </c>
      <c r="AM22" s="35">
        <v>0</v>
      </c>
      <c r="AN22" s="36">
        <v>0</v>
      </c>
      <c r="AO22" s="37">
        <v>0</v>
      </c>
      <c r="AP22" s="37">
        <f t="shared" si="10"/>
        <v>0</v>
      </c>
      <c r="AQ22" s="35">
        <v>0</v>
      </c>
      <c r="AR22" s="36">
        <v>0</v>
      </c>
      <c r="AS22" s="37">
        <v>0</v>
      </c>
      <c r="AT22" s="37">
        <f t="shared" si="11"/>
        <v>0</v>
      </c>
      <c r="AU22" s="35">
        <v>0</v>
      </c>
      <c r="AV22" s="36">
        <v>1</v>
      </c>
      <c r="AW22" s="37">
        <v>0</v>
      </c>
      <c r="AX22" s="37">
        <f t="shared" si="12"/>
        <v>1</v>
      </c>
      <c r="AY22" s="35">
        <v>0</v>
      </c>
      <c r="AZ22" s="36">
        <v>1</v>
      </c>
      <c r="BA22" s="37">
        <v>0</v>
      </c>
      <c r="BB22" s="37">
        <f t="shared" si="13"/>
        <v>1</v>
      </c>
      <c r="BC22" s="35">
        <v>1</v>
      </c>
      <c r="BD22" s="36">
        <v>0</v>
      </c>
      <c r="BE22" s="37">
        <v>0</v>
      </c>
      <c r="BF22" s="37">
        <f t="shared" si="14"/>
        <v>0</v>
      </c>
      <c r="BG22" s="35">
        <v>0</v>
      </c>
      <c r="BH22" s="36">
        <v>0</v>
      </c>
      <c r="BI22" s="37">
        <v>0</v>
      </c>
      <c r="BJ22" s="37">
        <f t="shared" si="15"/>
        <v>0</v>
      </c>
      <c r="BK22" s="35">
        <v>0</v>
      </c>
      <c r="BL22" s="36">
        <v>0</v>
      </c>
      <c r="BM22" s="37">
        <v>0</v>
      </c>
      <c r="BN22" s="37">
        <f t="shared" si="16"/>
        <v>0</v>
      </c>
      <c r="BO22" s="35">
        <v>1</v>
      </c>
      <c r="BP22" s="36">
        <v>0</v>
      </c>
      <c r="BQ22" s="37">
        <v>0</v>
      </c>
      <c r="BR22" s="37">
        <f t="shared" si="17"/>
        <v>0</v>
      </c>
      <c r="BS22" s="35">
        <v>1</v>
      </c>
      <c r="BT22" s="36">
        <f t="shared" si="18"/>
        <v>15</v>
      </c>
      <c r="BU22" s="37">
        <f t="shared" si="19"/>
        <v>2</v>
      </c>
      <c r="BV22" s="37">
        <f t="shared" si="20"/>
        <v>5</v>
      </c>
      <c r="BW22" s="37">
        <f t="shared" si="21"/>
        <v>0.88235294117647056</v>
      </c>
      <c r="BX22" s="37">
        <f t="shared" si="22"/>
        <v>0.75</v>
      </c>
      <c r="BY22" s="35">
        <f t="shared" si="23"/>
        <v>0.81081081081081074</v>
      </c>
    </row>
    <row r="23" spans="1:84" x14ac:dyDescent="0.35">
      <c r="A23" s="59" t="s">
        <v>48</v>
      </c>
      <c r="B23" s="148"/>
      <c r="C23" s="38" t="s">
        <v>36</v>
      </c>
      <c r="D23" s="39">
        <v>2</v>
      </c>
      <c r="E23" s="40">
        <v>2</v>
      </c>
      <c r="F23" s="40">
        <f t="shared" si="1"/>
        <v>0</v>
      </c>
      <c r="G23" s="38">
        <v>0</v>
      </c>
      <c r="H23" s="39">
        <v>2</v>
      </c>
      <c r="I23" s="40">
        <v>0</v>
      </c>
      <c r="J23" s="40">
        <f t="shared" si="2"/>
        <v>2</v>
      </c>
      <c r="K23" s="38">
        <v>0</v>
      </c>
      <c r="L23" s="39">
        <v>0</v>
      </c>
      <c r="M23" s="40">
        <v>0</v>
      </c>
      <c r="N23" s="40">
        <f t="shared" si="3"/>
        <v>0</v>
      </c>
      <c r="O23" s="38">
        <v>0</v>
      </c>
      <c r="P23" s="39">
        <v>1</v>
      </c>
      <c r="Q23" s="40">
        <v>1</v>
      </c>
      <c r="R23" s="40">
        <f t="shared" si="4"/>
        <v>0</v>
      </c>
      <c r="S23" s="38">
        <v>1</v>
      </c>
      <c r="T23" s="39">
        <v>1</v>
      </c>
      <c r="U23" s="40">
        <v>0</v>
      </c>
      <c r="V23" s="40">
        <f t="shared" si="5"/>
        <v>1</v>
      </c>
      <c r="W23" s="38">
        <v>2</v>
      </c>
      <c r="X23" s="39">
        <v>1</v>
      </c>
      <c r="Y23" s="40">
        <v>1</v>
      </c>
      <c r="Z23" s="40">
        <f t="shared" si="6"/>
        <v>0</v>
      </c>
      <c r="AA23" s="38">
        <v>0</v>
      </c>
      <c r="AB23" s="39">
        <v>1</v>
      </c>
      <c r="AC23" s="40">
        <v>1</v>
      </c>
      <c r="AD23" s="40">
        <f t="shared" si="7"/>
        <v>0</v>
      </c>
      <c r="AE23" s="38">
        <v>0</v>
      </c>
      <c r="AF23" s="39">
        <v>1</v>
      </c>
      <c r="AG23" s="40">
        <v>1</v>
      </c>
      <c r="AH23" s="40">
        <f t="shared" si="8"/>
        <v>0</v>
      </c>
      <c r="AI23" s="38">
        <v>0</v>
      </c>
      <c r="AJ23" s="39">
        <v>0</v>
      </c>
      <c r="AK23" s="40">
        <v>0</v>
      </c>
      <c r="AL23" s="40">
        <f t="shared" si="9"/>
        <v>0</v>
      </c>
      <c r="AM23" s="38">
        <v>0</v>
      </c>
      <c r="AN23" s="39">
        <v>0</v>
      </c>
      <c r="AO23" s="40">
        <v>0</v>
      </c>
      <c r="AP23" s="40">
        <f t="shared" si="10"/>
        <v>0</v>
      </c>
      <c r="AQ23" s="38">
        <v>0</v>
      </c>
      <c r="AR23" s="39">
        <v>1</v>
      </c>
      <c r="AS23" s="40">
        <v>1</v>
      </c>
      <c r="AT23" s="40">
        <f t="shared" si="11"/>
        <v>0</v>
      </c>
      <c r="AU23" s="38">
        <v>0</v>
      </c>
      <c r="AV23" s="39">
        <v>0</v>
      </c>
      <c r="AW23" s="40">
        <v>0</v>
      </c>
      <c r="AX23" s="40">
        <f t="shared" si="12"/>
        <v>0</v>
      </c>
      <c r="AY23" s="38">
        <v>0</v>
      </c>
      <c r="AZ23" s="39">
        <v>1</v>
      </c>
      <c r="BA23" s="40">
        <v>1</v>
      </c>
      <c r="BB23" s="40">
        <f t="shared" si="13"/>
        <v>0</v>
      </c>
      <c r="BC23" s="38">
        <v>0</v>
      </c>
      <c r="BD23" s="39">
        <v>0</v>
      </c>
      <c r="BE23" s="40">
        <v>0</v>
      </c>
      <c r="BF23" s="40">
        <f t="shared" si="14"/>
        <v>0</v>
      </c>
      <c r="BG23" s="38">
        <v>0</v>
      </c>
      <c r="BH23" s="39">
        <v>0</v>
      </c>
      <c r="BI23" s="40">
        <v>0</v>
      </c>
      <c r="BJ23" s="40">
        <f t="shared" si="15"/>
        <v>0</v>
      </c>
      <c r="BK23" s="38">
        <v>0</v>
      </c>
      <c r="BL23" s="39">
        <v>0</v>
      </c>
      <c r="BM23" s="40">
        <v>0</v>
      </c>
      <c r="BN23" s="40">
        <f t="shared" si="16"/>
        <v>0</v>
      </c>
      <c r="BO23" s="38">
        <v>1</v>
      </c>
      <c r="BP23" s="39">
        <v>0</v>
      </c>
      <c r="BQ23" s="40">
        <v>0</v>
      </c>
      <c r="BR23" s="40">
        <f t="shared" si="17"/>
        <v>0</v>
      </c>
      <c r="BS23" s="38">
        <v>0</v>
      </c>
      <c r="BT23" s="39">
        <f t="shared" si="18"/>
        <v>8</v>
      </c>
      <c r="BU23" s="40">
        <f t="shared" si="19"/>
        <v>3</v>
      </c>
      <c r="BV23" s="40">
        <f t="shared" si="20"/>
        <v>4</v>
      </c>
      <c r="BW23" s="40">
        <f t="shared" si="21"/>
        <v>0.72727272727272729</v>
      </c>
      <c r="BX23" s="40">
        <f t="shared" si="22"/>
        <v>0.66666666666666663</v>
      </c>
      <c r="BY23" s="38">
        <f t="shared" si="23"/>
        <v>0.69565217391304346</v>
      </c>
    </row>
    <row r="24" spans="1:84" x14ac:dyDescent="0.35">
      <c r="A24" s="59" t="s">
        <v>48</v>
      </c>
      <c r="B24" s="148"/>
      <c r="C24" s="38" t="s">
        <v>69</v>
      </c>
      <c r="D24" s="39">
        <v>2</v>
      </c>
      <c r="E24" s="40">
        <v>2</v>
      </c>
      <c r="F24" s="40">
        <f t="shared" si="1"/>
        <v>0</v>
      </c>
      <c r="G24" s="38">
        <v>0</v>
      </c>
      <c r="H24" s="39">
        <v>2</v>
      </c>
      <c r="I24" s="40">
        <v>2</v>
      </c>
      <c r="J24" s="40">
        <f t="shared" si="2"/>
        <v>0</v>
      </c>
      <c r="K24" s="38">
        <v>2</v>
      </c>
      <c r="L24" s="39">
        <v>0</v>
      </c>
      <c r="M24" s="40">
        <v>0</v>
      </c>
      <c r="N24" s="40">
        <f t="shared" si="3"/>
        <v>0</v>
      </c>
      <c r="O24" s="38">
        <v>0</v>
      </c>
      <c r="P24" s="39">
        <v>1</v>
      </c>
      <c r="Q24" s="40">
        <v>1</v>
      </c>
      <c r="R24" s="40">
        <f t="shared" si="4"/>
        <v>0</v>
      </c>
      <c r="S24" s="38">
        <v>1</v>
      </c>
      <c r="T24" s="39">
        <v>1</v>
      </c>
      <c r="U24" s="40">
        <v>1</v>
      </c>
      <c r="V24" s="40">
        <f t="shared" si="5"/>
        <v>0</v>
      </c>
      <c r="W24" s="38">
        <v>1</v>
      </c>
      <c r="X24" s="39">
        <v>1</v>
      </c>
      <c r="Y24" s="40">
        <v>1</v>
      </c>
      <c r="Z24" s="40">
        <f t="shared" si="6"/>
        <v>0</v>
      </c>
      <c r="AA24" s="38">
        <v>0</v>
      </c>
      <c r="AB24" s="39">
        <v>1</v>
      </c>
      <c r="AC24" s="40">
        <v>1</v>
      </c>
      <c r="AD24" s="40">
        <f t="shared" si="7"/>
        <v>0</v>
      </c>
      <c r="AE24" s="38">
        <v>0</v>
      </c>
      <c r="AF24" s="39">
        <v>1</v>
      </c>
      <c r="AG24" s="40">
        <v>1</v>
      </c>
      <c r="AH24" s="40">
        <f t="shared" si="8"/>
        <v>0</v>
      </c>
      <c r="AI24" s="38">
        <v>0</v>
      </c>
      <c r="AJ24" s="39">
        <v>0</v>
      </c>
      <c r="AK24" s="40">
        <v>0</v>
      </c>
      <c r="AL24" s="40">
        <f t="shared" si="9"/>
        <v>0</v>
      </c>
      <c r="AM24" s="38">
        <v>0</v>
      </c>
      <c r="AN24" s="39">
        <v>0</v>
      </c>
      <c r="AO24" s="40">
        <v>0</v>
      </c>
      <c r="AP24" s="40">
        <f t="shared" si="10"/>
        <v>0</v>
      </c>
      <c r="AQ24" s="38">
        <v>0</v>
      </c>
      <c r="AR24" s="39">
        <v>1</v>
      </c>
      <c r="AS24" s="40">
        <v>1</v>
      </c>
      <c r="AT24" s="40">
        <f t="shared" si="11"/>
        <v>0</v>
      </c>
      <c r="AU24" s="38">
        <v>0</v>
      </c>
      <c r="AV24" s="39">
        <v>0</v>
      </c>
      <c r="AW24" s="40">
        <v>0</v>
      </c>
      <c r="AX24" s="40">
        <f t="shared" si="12"/>
        <v>0</v>
      </c>
      <c r="AY24" s="38">
        <v>0</v>
      </c>
      <c r="AZ24" s="39">
        <v>1</v>
      </c>
      <c r="BA24" s="40">
        <v>1</v>
      </c>
      <c r="BB24" s="40">
        <f t="shared" si="13"/>
        <v>0</v>
      </c>
      <c r="BC24" s="38">
        <v>0</v>
      </c>
      <c r="BD24" s="39">
        <v>0</v>
      </c>
      <c r="BE24" s="40">
        <v>0</v>
      </c>
      <c r="BF24" s="40">
        <f t="shared" si="14"/>
        <v>0</v>
      </c>
      <c r="BG24" s="38">
        <v>0</v>
      </c>
      <c r="BH24" s="39">
        <v>0</v>
      </c>
      <c r="BI24" s="40">
        <v>0</v>
      </c>
      <c r="BJ24" s="40">
        <f t="shared" si="15"/>
        <v>0</v>
      </c>
      <c r="BK24" s="38">
        <v>0</v>
      </c>
      <c r="BL24" s="39">
        <v>0</v>
      </c>
      <c r="BM24" s="40">
        <v>0</v>
      </c>
      <c r="BN24" s="40">
        <f t="shared" si="16"/>
        <v>0</v>
      </c>
      <c r="BO24" s="38">
        <v>1</v>
      </c>
      <c r="BP24" s="39">
        <v>0</v>
      </c>
      <c r="BQ24" s="40">
        <v>0</v>
      </c>
      <c r="BR24" s="40">
        <f t="shared" si="17"/>
        <v>0</v>
      </c>
      <c r="BS24" s="38">
        <v>0</v>
      </c>
      <c r="BT24" s="39">
        <f t="shared" si="18"/>
        <v>11</v>
      </c>
      <c r="BU24" s="40">
        <f t="shared" si="19"/>
        <v>0</v>
      </c>
      <c r="BV24" s="40">
        <f t="shared" si="20"/>
        <v>5</v>
      </c>
      <c r="BW24" s="40">
        <f t="shared" si="21"/>
        <v>1</v>
      </c>
      <c r="BX24" s="40">
        <f t="shared" si="22"/>
        <v>0.6875</v>
      </c>
      <c r="BY24" s="38">
        <f t="shared" si="23"/>
        <v>0.81481481481481477</v>
      </c>
    </row>
    <row r="25" spans="1:84" x14ac:dyDescent="0.35">
      <c r="A25" s="60" t="s">
        <v>48</v>
      </c>
      <c r="B25" s="148"/>
      <c r="C25" s="41" t="s">
        <v>37</v>
      </c>
      <c r="D25" s="42">
        <v>2</v>
      </c>
      <c r="E25" s="43">
        <v>2</v>
      </c>
      <c r="F25" s="43">
        <f t="shared" si="1"/>
        <v>0</v>
      </c>
      <c r="G25" s="41">
        <v>0</v>
      </c>
      <c r="H25" s="42">
        <v>2</v>
      </c>
      <c r="I25" s="43">
        <v>0</v>
      </c>
      <c r="J25" s="43">
        <f t="shared" si="2"/>
        <v>2</v>
      </c>
      <c r="K25" s="41">
        <v>0</v>
      </c>
      <c r="L25" s="42">
        <v>0</v>
      </c>
      <c r="M25" s="43">
        <v>0</v>
      </c>
      <c r="N25" s="43">
        <f t="shared" si="3"/>
        <v>0</v>
      </c>
      <c r="O25" s="41">
        <v>0</v>
      </c>
      <c r="P25" s="42">
        <v>2</v>
      </c>
      <c r="Q25" s="43">
        <v>2</v>
      </c>
      <c r="R25" s="43">
        <f t="shared" si="4"/>
        <v>0</v>
      </c>
      <c r="S25" s="41">
        <v>0</v>
      </c>
      <c r="T25" s="42">
        <v>2</v>
      </c>
      <c r="U25" s="43">
        <v>0</v>
      </c>
      <c r="V25" s="43">
        <f t="shared" si="5"/>
        <v>2</v>
      </c>
      <c r="W25" s="41">
        <v>2</v>
      </c>
      <c r="X25" s="42">
        <v>2</v>
      </c>
      <c r="Y25" s="43">
        <v>2</v>
      </c>
      <c r="Z25" s="43">
        <f t="shared" si="6"/>
        <v>0</v>
      </c>
      <c r="AA25" s="41">
        <v>0</v>
      </c>
      <c r="AB25" s="42">
        <v>2</v>
      </c>
      <c r="AC25" s="43">
        <v>2</v>
      </c>
      <c r="AD25" s="43">
        <f t="shared" si="7"/>
        <v>0</v>
      </c>
      <c r="AE25" s="41">
        <v>0</v>
      </c>
      <c r="AF25" s="42">
        <v>2</v>
      </c>
      <c r="AG25" s="43">
        <v>2</v>
      </c>
      <c r="AH25" s="43">
        <f t="shared" si="8"/>
        <v>0</v>
      </c>
      <c r="AI25" s="41">
        <v>0</v>
      </c>
      <c r="AJ25" s="42">
        <v>0</v>
      </c>
      <c r="AK25" s="43">
        <v>0</v>
      </c>
      <c r="AL25" s="43">
        <f t="shared" si="9"/>
        <v>0</v>
      </c>
      <c r="AM25" s="41">
        <v>0</v>
      </c>
      <c r="AN25" s="42">
        <v>0</v>
      </c>
      <c r="AO25" s="43">
        <v>0</v>
      </c>
      <c r="AP25" s="43">
        <f t="shared" si="10"/>
        <v>0</v>
      </c>
      <c r="AQ25" s="41">
        <v>0</v>
      </c>
      <c r="AR25" s="42">
        <v>1</v>
      </c>
      <c r="AS25" s="43">
        <v>0</v>
      </c>
      <c r="AT25" s="43">
        <f t="shared" si="11"/>
        <v>1</v>
      </c>
      <c r="AU25" s="41">
        <v>0</v>
      </c>
      <c r="AV25" s="42">
        <v>0</v>
      </c>
      <c r="AW25" s="43">
        <v>0</v>
      </c>
      <c r="AX25" s="43">
        <f t="shared" si="12"/>
        <v>0</v>
      </c>
      <c r="AY25" s="41">
        <v>1</v>
      </c>
      <c r="AZ25" s="42">
        <v>1</v>
      </c>
      <c r="BA25" s="43">
        <v>1</v>
      </c>
      <c r="BB25" s="43">
        <f t="shared" si="13"/>
        <v>0</v>
      </c>
      <c r="BC25" s="41">
        <v>1</v>
      </c>
      <c r="BD25" s="42">
        <v>0</v>
      </c>
      <c r="BE25" s="43">
        <v>0</v>
      </c>
      <c r="BF25" s="43">
        <f t="shared" si="14"/>
        <v>0</v>
      </c>
      <c r="BG25" s="41">
        <v>0</v>
      </c>
      <c r="BH25" s="42">
        <v>0</v>
      </c>
      <c r="BI25" s="43">
        <v>0</v>
      </c>
      <c r="BJ25" s="43">
        <f t="shared" si="15"/>
        <v>0</v>
      </c>
      <c r="BK25" s="41">
        <v>0</v>
      </c>
      <c r="BL25" s="42">
        <v>0</v>
      </c>
      <c r="BM25" s="43">
        <v>0</v>
      </c>
      <c r="BN25" s="43">
        <f t="shared" si="16"/>
        <v>0</v>
      </c>
      <c r="BO25" s="41">
        <v>1</v>
      </c>
      <c r="BP25" s="42">
        <v>0</v>
      </c>
      <c r="BQ25" s="43">
        <v>0</v>
      </c>
      <c r="BR25" s="43">
        <f t="shared" si="17"/>
        <v>0</v>
      </c>
      <c r="BS25" s="41">
        <v>0</v>
      </c>
      <c r="BT25" s="42">
        <f t="shared" si="18"/>
        <v>11</v>
      </c>
      <c r="BU25" s="43">
        <f t="shared" si="19"/>
        <v>5</v>
      </c>
      <c r="BV25" s="43">
        <f t="shared" si="20"/>
        <v>5</v>
      </c>
      <c r="BW25" s="43">
        <f t="shared" si="21"/>
        <v>0.6875</v>
      </c>
      <c r="BX25" s="43">
        <f t="shared" si="22"/>
        <v>0.6875</v>
      </c>
      <c r="BY25" s="41">
        <f t="shared" si="23"/>
        <v>0.6875</v>
      </c>
    </row>
    <row r="26" spans="1:84" x14ac:dyDescent="0.35">
      <c r="A26" s="60" t="s">
        <v>48</v>
      </c>
      <c r="B26" s="148"/>
      <c r="C26" s="41" t="s">
        <v>70</v>
      </c>
      <c r="D26" s="42">
        <v>2</v>
      </c>
      <c r="E26" s="43">
        <v>2</v>
      </c>
      <c r="F26" s="43">
        <f t="shared" si="1"/>
        <v>0</v>
      </c>
      <c r="G26" s="41">
        <v>0</v>
      </c>
      <c r="H26" s="42">
        <v>2</v>
      </c>
      <c r="I26" s="43">
        <v>2</v>
      </c>
      <c r="J26" s="43">
        <f t="shared" si="2"/>
        <v>0</v>
      </c>
      <c r="K26" s="41">
        <v>2</v>
      </c>
      <c r="L26" s="42">
        <v>0</v>
      </c>
      <c r="M26" s="43">
        <v>0</v>
      </c>
      <c r="N26" s="43">
        <f t="shared" si="3"/>
        <v>0</v>
      </c>
      <c r="O26" s="41">
        <v>0</v>
      </c>
      <c r="P26" s="42">
        <v>2</v>
      </c>
      <c r="Q26" s="43">
        <v>2</v>
      </c>
      <c r="R26" s="43">
        <f t="shared" si="4"/>
        <v>0</v>
      </c>
      <c r="S26" s="41">
        <v>0</v>
      </c>
      <c r="T26" s="42">
        <v>2</v>
      </c>
      <c r="U26" s="43">
        <v>2</v>
      </c>
      <c r="V26" s="43">
        <f t="shared" si="5"/>
        <v>0</v>
      </c>
      <c r="W26" s="41">
        <v>0</v>
      </c>
      <c r="X26" s="42">
        <v>2</v>
      </c>
      <c r="Y26" s="43">
        <v>2</v>
      </c>
      <c r="Z26" s="43">
        <f t="shared" si="6"/>
        <v>0</v>
      </c>
      <c r="AA26" s="41">
        <v>0</v>
      </c>
      <c r="AB26" s="42">
        <v>2</v>
      </c>
      <c r="AC26" s="43">
        <v>2</v>
      </c>
      <c r="AD26" s="43">
        <f t="shared" si="7"/>
        <v>0</v>
      </c>
      <c r="AE26" s="41">
        <v>0</v>
      </c>
      <c r="AF26" s="42">
        <v>2</v>
      </c>
      <c r="AG26" s="43">
        <v>2</v>
      </c>
      <c r="AH26" s="43">
        <f t="shared" si="8"/>
        <v>0</v>
      </c>
      <c r="AI26" s="41">
        <v>2</v>
      </c>
      <c r="AJ26" s="42">
        <v>0</v>
      </c>
      <c r="AK26" s="43">
        <v>0</v>
      </c>
      <c r="AL26" s="43">
        <f t="shared" si="9"/>
        <v>0</v>
      </c>
      <c r="AM26" s="41">
        <v>0</v>
      </c>
      <c r="AN26" s="42">
        <v>0</v>
      </c>
      <c r="AO26" s="43">
        <v>0</v>
      </c>
      <c r="AP26" s="43">
        <f t="shared" si="10"/>
        <v>0</v>
      </c>
      <c r="AQ26" s="41">
        <v>0</v>
      </c>
      <c r="AR26" s="42">
        <v>1</v>
      </c>
      <c r="AS26" s="43">
        <v>1</v>
      </c>
      <c r="AT26" s="43">
        <f t="shared" si="11"/>
        <v>0</v>
      </c>
      <c r="AU26" s="41">
        <v>0</v>
      </c>
      <c r="AV26" s="42">
        <v>0</v>
      </c>
      <c r="AW26" s="43">
        <v>0</v>
      </c>
      <c r="AX26" s="43">
        <f t="shared" si="12"/>
        <v>0</v>
      </c>
      <c r="AY26" s="41">
        <v>0</v>
      </c>
      <c r="AZ26" s="42">
        <v>1</v>
      </c>
      <c r="BA26" s="43">
        <v>1</v>
      </c>
      <c r="BB26" s="43">
        <f t="shared" si="13"/>
        <v>0</v>
      </c>
      <c r="BC26" s="41">
        <v>1</v>
      </c>
      <c r="BD26" s="42">
        <v>0</v>
      </c>
      <c r="BE26" s="43">
        <v>0</v>
      </c>
      <c r="BF26" s="43">
        <f t="shared" si="14"/>
        <v>0</v>
      </c>
      <c r="BG26" s="41">
        <v>0</v>
      </c>
      <c r="BH26" s="42">
        <v>0</v>
      </c>
      <c r="BI26" s="43">
        <v>0</v>
      </c>
      <c r="BJ26" s="43">
        <f t="shared" si="15"/>
        <v>0</v>
      </c>
      <c r="BK26" s="41">
        <v>0</v>
      </c>
      <c r="BL26" s="42">
        <v>0</v>
      </c>
      <c r="BM26" s="43">
        <v>0</v>
      </c>
      <c r="BN26" s="43">
        <f t="shared" si="16"/>
        <v>0</v>
      </c>
      <c r="BO26" s="41">
        <v>1</v>
      </c>
      <c r="BP26" s="42">
        <v>0</v>
      </c>
      <c r="BQ26" s="43">
        <v>0</v>
      </c>
      <c r="BR26" s="43">
        <f t="shared" si="17"/>
        <v>0</v>
      </c>
      <c r="BS26" s="41">
        <v>0</v>
      </c>
      <c r="BT26" s="42">
        <f t="shared" si="18"/>
        <v>16</v>
      </c>
      <c r="BU26" s="43">
        <f t="shared" si="19"/>
        <v>0</v>
      </c>
      <c r="BV26" s="43">
        <f t="shared" si="20"/>
        <v>6</v>
      </c>
      <c r="BW26" s="43">
        <f t="shared" si="21"/>
        <v>1</v>
      </c>
      <c r="BX26" s="43">
        <f t="shared" si="22"/>
        <v>0.72727272727272729</v>
      </c>
      <c r="BY26" s="41">
        <f t="shared" si="23"/>
        <v>0.8421052631578948</v>
      </c>
    </row>
    <row r="27" spans="1:84" x14ac:dyDescent="0.35">
      <c r="A27" s="47" t="s">
        <v>48</v>
      </c>
      <c r="B27" s="148"/>
      <c r="C27" s="44" t="s">
        <v>38</v>
      </c>
      <c r="D27" s="45">
        <v>2</v>
      </c>
      <c r="E27" s="46">
        <v>2</v>
      </c>
      <c r="F27" s="46">
        <f t="shared" si="1"/>
        <v>0</v>
      </c>
      <c r="G27" s="44">
        <v>0</v>
      </c>
      <c r="H27" s="45">
        <v>2</v>
      </c>
      <c r="I27" s="46">
        <v>2</v>
      </c>
      <c r="J27" s="46">
        <f t="shared" si="2"/>
        <v>0</v>
      </c>
      <c r="K27" s="44">
        <v>0</v>
      </c>
      <c r="L27" s="45">
        <v>2</v>
      </c>
      <c r="M27" s="46">
        <v>2</v>
      </c>
      <c r="N27" s="46">
        <f t="shared" si="3"/>
        <v>0</v>
      </c>
      <c r="O27" s="44">
        <v>0</v>
      </c>
      <c r="P27" s="45">
        <v>2</v>
      </c>
      <c r="Q27" s="46">
        <v>2</v>
      </c>
      <c r="R27" s="46">
        <f t="shared" si="4"/>
        <v>0</v>
      </c>
      <c r="S27" s="44">
        <v>0</v>
      </c>
      <c r="T27" s="45">
        <v>2</v>
      </c>
      <c r="U27" s="46">
        <v>2</v>
      </c>
      <c r="V27" s="46">
        <f t="shared" si="5"/>
        <v>0</v>
      </c>
      <c r="W27" s="44">
        <v>0</v>
      </c>
      <c r="X27" s="45">
        <v>1</v>
      </c>
      <c r="Y27" s="46">
        <v>1</v>
      </c>
      <c r="Z27" s="46">
        <f t="shared" si="6"/>
        <v>0</v>
      </c>
      <c r="AA27" s="44">
        <v>0</v>
      </c>
      <c r="AB27" s="45">
        <v>0</v>
      </c>
      <c r="AC27" s="46">
        <v>0</v>
      </c>
      <c r="AD27" s="46">
        <f t="shared" si="7"/>
        <v>0</v>
      </c>
      <c r="AE27" s="44">
        <v>0</v>
      </c>
      <c r="AF27" s="45">
        <v>1</v>
      </c>
      <c r="AG27" s="46">
        <v>1</v>
      </c>
      <c r="AH27" s="46">
        <f t="shared" si="8"/>
        <v>0</v>
      </c>
      <c r="AI27" s="44">
        <v>0</v>
      </c>
      <c r="AJ27" s="45">
        <v>0</v>
      </c>
      <c r="AK27" s="46">
        <v>0</v>
      </c>
      <c r="AL27" s="46">
        <f t="shared" si="9"/>
        <v>0</v>
      </c>
      <c r="AM27" s="44">
        <v>0</v>
      </c>
      <c r="AN27" s="45">
        <v>0</v>
      </c>
      <c r="AO27" s="46">
        <v>0</v>
      </c>
      <c r="AP27" s="46">
        <f t="shared" si="10"/>
        <v>0</v>
      </c>
      <c r="AQ27" s="44">
        <v>0</v>
      </c>
      <c r="AR27" s="45">
        <v>0</v>
      </c>
      <c r="AS27" s="46">
        <v>0</v>
      </c>
      <c r="AT27" s="46">
        <f t="shared" si="11"/>
        <v>0</v>
      </c>
      <c r="AU27" s="44">
        <v>0</v>
      </c>
      <c r="AV27" s="45">
        <v>0</v>
      </c>
      <c r="AW27" s="46">
        <v>0</v>
      </c>
      <c r="AX27" s="46">
        <f t="shared" si="12"/>
        <v>0</v>
      </c>
      <c r="AY27" s="44">
        <v>0</v>
      </c>
      <c r="AZ27" s="45">
        <v>1</v>
      </c>
      <c r="BA27" s="46">
        <v>0</v>
      </c>
      <c r="BB27" s="46">
        <f t="shared" si="13"/>
        <v>1</v>
      </c>
      <c r="BC27" s="44">
        <v>0</v>
      </c>
      <c r="BD27" s="45">
        <v>0</v>
      </c>
      <c r="BE27" s="46">
        <v>0</v>
      </c>
      <c r="BF27" s="46">
        <f t="shared" si="14"/>
        <v>0</v>
      </c>
      <c r="BG27" s="44">
        <v>0</v>
      </c>
      <c r="BH27" s="45">
        <v>0</v>
      </c>
      <c r="BI27" s="46">
        <v>0</v>
      </c>
      <c r="BJ27" s="46">
        <f t="shared" si="15"/>
        <v>0</v>
      </c>
      <c r="BK27" s="44">
        <v>0</v>
      </c>
      <c r="BL27" s="45">
        <v>0</v>
      </c>
      <c r="BM27" s="46">
        <v>0</v>
      </c>
      <c r="BN27" s="46">
        <f t="shared" si="16"/>
        <v>0</v>
      </c>
      <c r="BO27" s="44">
        <v>0</v>
      </c>
      <c r="BP27" s="45">
        <v>1</v>
      </c>
      <c r="BQ27" s="46">
        <v>0</v>
      </c>
      <c r="BR27" s="46">
        <f t="shared" si="17"/>
        <v>1</v>
      </c>
      <c r="BS27" s="44">
        <v>0</v>
      </c>
      <c r="BT27" s="45">
        <f t="shared" si="18"/>
        <v>12</v>
      </c>
      <c r="BU27" s="46">
        <f t="shared" si="19"/>
        <v>2</v>
      </c>
      <c r="BV27" s="46">
        <f t="shared" si="20"/>
        <v>0</v>
      </c>
      <c r="BW27" s="46">
        <f t="shared" si="21"/>
        <v>0.8571428571428571</v>
      </c>
      <c r="BX27" s="46">
        <f t="shared" si="22"/>
        <v>1</v>
      </c>
      <c r="BY27" s="44">
        <f t="shared" si="23"/>
        <v>0.92307692307692302</v>
      </c>
    </row>
    <row r="28" spans="1:84" x14ac:dyDescent="0.35">
      <c r="A28" s="47" t="s">
        <v>48</v>
      </c>
      <c r="B28" s="148"/>
      <c r="C28" s="44" t="s">
        <v>71</v>
      </c>
      <c r="D28" s="45">
        <v>2</v>
      </c>
      <c r="E28" s="46">
        <v>2</v>
      </c>
      <c r="F28" s="46">
        <f t="shared" si="1"/>
        <v>0</v>
      </c>
      <c r="G28" s="44">
        <v>0</v>
      </c>
      <c r="H28" s="45">
        <v>2</v>
      </c>
      <c r="I28" s="46">
        <v>2</v>
      </c>
      <c r="J28" s="46">
        <f t="shared" si="2"/>
        <v>0</v>
      </c>
      <c r="K28" s="44">
        <v>1</v>
      </c>
      <c r="L28" s="45">
        <v>2</v>
      </c>
      <c r="M28" s="46">
        <v>2</v>
      </c>
      <c r="N28" s="46">
        <f t="shared" si="3"/>
        <v>0</v>
      </c>
      <c r="O28" s="44">
        <v>2</v>
      </c>
      <c r="P28" s="45">
        <v>2</v>
      </c>
      <c r="Q28" s="46">
        <v>2</v>
      </c>
      <c r="R28" s="46">
        <f t="shared" si="4"/>
        <v>0</v>
      </c>
      <c r="S28" s="44">
        <v>0</v>
      </c>
      <c r="T28" s="45">
        <v>2</v>
      </c>
      <c r="U28" s="46">
        <v>2</v>
      </c>
      <c r="V28" s="46">
        <f t="shared" si="5"/>
        <v>0</v>
      </c>
      <c r="W28" s="44">
        <v>0</v>
      </c>
      <c r="X28" s="45">
        <v>1</v>
      </c>
      <c r="Y28" s="46">
        <v>1</v>
      </c>
      <c r="Z28" s="46">
        <f t="shared" si="6"/>
        <v>0</v>
      </c>
      <c r="AA28" s="44">
        <v>0</v>
      </c>
      <c r="AB28" s="45">
        <v>0</v>
      </c>
      <c r="AC28" s="46">
        <v>0</v>
      </c>
      <c r="AD28" s="46">
        <f t="shared" si="7"/>
        <v>0</v>
      </c>
      <c r="AE28" s="44">
        <v>0</v>
      </c>
      <c r="AF28" s="45">
        <v>1</v>
      </c>
      <c r="AG28" s="46">
        <v>1</v>
      </c>
      <c r="AH28" s="46">
        <f t="shared" si="8"/>
        <v>0</v>
      </c>
      <c r="AI28" s="44">
        <v>0</v>
      </c>
      <c r="AJ28" s="45">
        <v>0</v>
      </c>
      <c r="AK28" s="46">
        <v>0</v>
      </c>
      <c r="AL28" s="46">
        <f t="shared" si="9"/>
        <v>0</v>
      </c>
      <c r="AM28" s="44">
        <v>0</v>
      </c>
      <c r="AN28" s="45">
        <v>0</v>
      </c>
      <c r="AO28" s="46">
        <v>0</v>
      </c>
      <c r="AP28" s="46">
        <f t="shared" si="10"/>
        <v>0</v>
      </c>
      <c r="AQ28" s="44">
        <v>0</v>
      </c>
      <c r="AR28" s="45">
        <v>0</v>
      </c>
      <c r="AS28" s="46">
        <v>0</v>
      </c>
      <c r="AT28" s="46">
        <f t="shared" si="11"/>
        <v>0</v>
      </c>
      <c r="AU28" s="44">
        <v>0</v>
      </c>
      <c r="AV28" s="45">
        <v>0</v>
      </c>
      <c r="AW28" s="46">
        <v>0</v>
      </c>
      <c r="AX28" s="46">
        <f t="shared" si="12"/>
        <v>0</v>
      </c>
      <c r="AY28" s="44">
        <v>0</v>
      </c>
      <c r="AZ28" s="45">
        <v>1</v>
      </c>
      <c r="BA28" s="46">
        <v>0</v>
      </c>
      <c r="BB28" s="46">
        <f t="shared" si="13"/>
        <v>1</v>
      </c>
      <c r="BC28" s="44">
        <v>0</v>
      </c>
      <c r="BD28" s="45">
        <v>0</v>
      </c>
      <c r="BE28" s="46">
        <v>0</v>
      </c>
      <c r="BF28" s="46">
        <f t="shared" si="14"/>
        <v>0</v>
      </c>
      <c r="BG28" s="44">
        <v>0</v>
      </c>
      <c r="BH28" s="45">
        <v>0</v>
      </c>
      <c r="BI28" s="46">
        <v>0</v>
      </c>
      <c r="BJ28" s="46">
        <f t="shared" si="15"/>
        <v>0</v>
      </c>
      <c r="BK28" s="44">
        <v>0</v>
      </c>
      <c r="BL28" s="45">
        <v>0</v>
      </c>
      <c r="BM28" s="46">
        <v>0</v>
      </c>
      <c r="BN28" s="46">
        <f t="shared" si="16"/>
        <v>0</v>
      </c>
      <c r="BO28" s="44">
        <v>0</v>
      </c>
      <c r="BP28" s="45">
        <v>1</v>
      </c>
      <c r="BQ28" s="46">
        <v>0</v>
      </c>
      <c r="BR28" s="46">
        <f t="shared" si="17"/>
        <v>1</v>
      </c>
      <c r="BS28" s="44">
        <v>0</v>
      </c>
      <c r="BT28" s="45">
        <f t="shared" si="18"/>
        <v>12</v>
      </c>
      <c r="BU28" s="46">
        <f t="shared" si="19"/>
        <v>2</v>
      </c>
      <c r="BV28" s="46">
        <f t="shared" si="20"/>
        <v>3</v>
      </c>
      <c r="BW28" s="46">
        <f t="shared" si="21"/>
        <v>0.8571428571428571</v>
      </c>
      <c r="BX28" s="46">
        <f t="shared" si="22"/>
        <v>0.8</v>
      </c>
      <c r="BY28" s="44">
        <f t="shared" si="23"/>
        <v>0.82758620689655182</v>
      </c>
    </row>
    <row r="29" spans="1:84" x14ac:dyDescent="0.35">
      <c r="A29" s="61" t="s">
        <v>48</v>
      </c>
      <c r="B29" s="148"/>
      <c r="C29" s="126" t="s">
        <v>39</v>
      </c>
      <c r="D29" s="127">
        <v>2</v>
      </c>
      <c r="E29" s="128">
        <v>2</v>
      </c>
      <c r="F29" s="128">
        <f t="shared" si="1"/>
        <v>0</v>
      </c>
      <c r="G29" s="126">
        <v>0</v>
      </c>
      <c r="H29" s="127">
        <v>2</v>
      </c>
      <c r="I29" s="128">
        <v>2</v>
      </c>
      <c r="J29" s="128">
        <f t="shared" si="2"/>
        <v>0</v>
      </c>
      <c r="K29" s="126">
        <v>0</v>
      </c>
      <c r="L29" s="127">
        <v>2</v>
      </c>
      <c r="M29" s="128">
        <v>2</v>
      </c>
      <c r="N29" s="128">
        <f t="shared" si="3"/>
        <v>0</v>
      </c>
      <c r="O29" s="126">
        <v>0</v>
      </c>
      <c r="P29" s="127">
        <v>2</v>
      </c>
      <c r="Q29" s="128">
        <v>2</v>
      </c>
      <c r="R29" s="128">
        <f t="shared" si="4"/>
        <v>0</v>
      </c>
      <c r="S29" s="126">
        <v>0</v>
      </c>
      <c r="T29" s="127">
        <v>2</v>
      </c>
      <c r="U29" s="128">
        <v>2</v>
      </c>
      <c r="V29" s="128">
        <f t="shared" si="5"/>
        <v>0</v>
      </c>
      <c r="W29" s="126">
        <v>0</v>
      </c>
      <c r="X29" s="127">
        <v>4</v>
      </c>
      <c r="Y29" s="128">
        <v>4</v>
      </c>
      <c r="Z29" s="128">
        <f t="shared" si="6"/>
        <v>0</v>
      </c>
      <c r="AA29" s="126">
        <v>0</v>
      </c>
      <c r="AB29" s="127">
        <v>2</v>
      </c>
      <c r="AC29" s="128">
        <v>2</v>
      </c>
      <c r="AD29" s="128">
        <f t="shared" si="7"/>
        <v>0</v>
      </c>
      <c r="AE29" s="126">
        <v>0</v>
      </c>
      <c r="AF29" s="127">
        <v>4</v>
      </c>
      <c r="AG29" s="128">
        <v>4</v>
      </c>
      <c r="AH29" s="128">
        <f t="shared" si="8"/>
        <v>0</v>
      </c>
      <c r="AI29" s="126">
        <v>0</v>
      </c>
      <c r="AJ29" s="127">
        <v>0</v>
      </c>
      <c r="AK29" s="128">
        <v>0</v>
      </c>
      <c r="AL29" s="128">
        <f t="shared" si="9"/>
        <v>0</v>
      </c>
      <c r="AM29" s="126">
        <v>0</v>
      </c>
      <c r="AN29" s="127">
        <v>0</v>
      </c>
      <c r="AO29" s="128">
        <v>0</v>
      </c>
      <c r="AP29" s="128">
        <f t="shared" si="10"/>
        <v>0</v>
      </c>
      <c r="AQ29" s="126">
        <v>0</v>
      </c>
      <c r="AR29" s="127">
        <v>0</v>
      </c>
      <c r="AS29" s="128">
        <v>0</v>
      </c>
      <c r="AT29" s="128">
        <f t="shared" si="11"/>
        <v>0</v>
      </c>
      <c r="AU29" s="126">
        <v>1</v>
      </c>
      <c r="AV29" s="127">
        <v>0</v>
      </c>
      <c r="AW29" s="128">
        <v>0</v>
      </c>
      <c r="AX29" s="128">
        <f t="shared" si="12"/>
        <v>0</v>
      </c>
      <c r="AY29" s="126">
        <v>0</v>
      </c>
      <c r="AZ29" s="127">
        <v>1</v>
      </c>
      <c r="BA29" s="128">
        <v>1</v>
      </c>
      <c r="BB29" s="128">
        <f t="shared" si="13"/>
        <v>0</v>
      </c>
      <c r="BC29" s="126">
        <v>0</v>
      </c>
      <c r="BD29" s="127">
        <v>0</v>
      </c>
      <c r="BE29" s="128">
        <v>0</v>
      </c>
      <c r="BF29" s="128">
        <f t="shared" si="14"/>
        <v>0</v>
      </c>
      <c r="BG29" s="126">
        <v>0</v>
      </c>
      <c r="BH29" s="127">
        <v>0</v>
      </c>
      <c r="BI29" s="128">
        <v>0</v>
      </c>
      <c r="BJ29" s="128">
        <f t="shared" si="15"/>
        <v>0</v>
      </c>
      <c r="BK29" s="126">
        <v>0</v>
      </c>
      <c r="BL29" s="127">
        <v>0</v>
      </c>
      <c r="BM29" s="128">
        <v>0</v>
      </c>
      <c r="BN29" s="128">
        <f t="shared" si="16"/>
        <v>0</v>
      </c>
      <c r="BO29" s="126">
        <v>1</v>
      </c>
      <c r="BP29" s="127">
        <v>1</v>
      </c>
      <c r="BQ29" s="128">
        <v>0</v>
      </c>
      <c r="BR29" s="128">
        <f t="shared" si="17"/>
        <v>1</v>
      </c>
      <c r="BS29" s="126">
        <v>0</v>
      </c>
      <c r="BT29" s="127">
        <f t="shared" si="18"/>
        <v>21</v>
      </c>
      <c r="BU29" s="128">
        <f t="shared" si="19"/>
        <v>1</v>
      </c>
      <c r="BV29" s="128">
        <f t="shared" si="20"/>
        <v>2</v>
      </c>
      <c r="BW29" s="128">
        <f t="shared" si="21"/>
        <v>0.95454545454545459</v>
      </c>
      <c r="BX29" s="128">
        <f t="shared" si="22"/>
        <v>0.91304347826086951</v>
      </c>
      <c r="BY29" s="126">
        <f t="shared" si="23"/>
        <v>0.93333333333333324</v>
      </c>
    </row>
    <row r="30" spans="1:84" x14ac:dyDescent="0.35">
      <c r="A30" s="128" t="s">
        <v>48</v>
      </c>
      <c r="B30" s="148"/>
      <c r="C30" s="104" t="s">
        <v>72</v>
      </c>
      <c r="D30" s="107">
        <v>2</v>
      </c>
      <c r="E30" s="61">
        <v>2</v>
      </c>
      <c r="F30" s="61">
        <f t="shared" si="1"/>
        <v>0</v>
      </c>
      <c r="G30" s="104">
        <v>0</v>
      </c>
      <c r="H30" s="107">
        <v>2</v>
      </c>
      <c r="I30" s="61">
        <v>2</v>
      </c>
      <c r="J30" s="61">
        <f t="shared" si="2"/>
        <v>0</v>
      </c>
      <c r="K30" s="104">
        <v>0</v>
      </c>
      <c r="L30" s="107">
        <v>2</v>
      </c>
      <c r="M30" s="61">
        <v>2</v>
      </c>
      <c r="N30" s="61">
        <f t="shared" si="3"/>
        <v>0</v>
      </c>
      <c r="O30" s="104">
        <v>0</v>
      </c>
      <c r="P30" s="107">
        <v>2</v>
      </c>
      <c r="Q30" s="61">
        <v>2</v>
      </c>
      <c r="R30" s="61">
        <f t="shared" si="4"/>
        <v>0</v>
      </c>
      <c r="S30" s="104">
        <v>0</v>
      </c>
      <c r="T30" s="107">
        <v>2</v>
      </c>
      <c r="U30" s="61">
        <v>2</v>
      </c>
      <c r="V30" s="61">
        <f t="shared" si="5"/>
        <v>0</v>
      </c>
      <c r="W30" s="104">
        <v>0</v>
      </c>
      <c r="X30" s="107">
        <v>4</v>
      </c>
      <c r="Y30" s="61">
        <v>4</v>
      </c>
      <c r="Z30" s="61">
        <f t="shared" si="6"/>
        <v>0</v>
      </c>
      <c r="AA30" s="104">
        <v>0</v>
      </c>
      <c r="AB30" s="107">
        <v>2</v>
      </c>
      <c r="AC30" s="61">
        <v>2</v>
      </c>
      <c r="AD30" s="61">
        <v>0</v>
      </c>
      <c r="AE30" s="104">
        <v>0</v>
      </c>
      <c r="AF30" s="107">
        <v>4</v>
      </c>
      <c r="AG30" s="61">
        <v>4</v>
      </c>
      <c r="AH30" s="61">
        <f t="shared" si="8"/>
        <v>0</v>
      </c>
      <c r="AI30" s="104">
        <v>0</v>
      </c>
      <c r="AJ30" s="107">
        <v>0</v>
      </c>
      <c r="AK30" s="61">
        <v>0</v>
      </c>
      <c r="AL30" s="61">
        <f t="shared" si="9"/>
        <v>0</v>
      </c>
      <c r="AM30" s="104">
        <v>0</v>
      </c>
      <c r="AN30" s="107">
        <v>0</v>
      </c>
      <c r="AO30" s="61">
        <v>0</v>
      </c>
      <c r="AP30" s="61">
        <f t="shared" si="10"/>
        <v>0</v>
      </c>
      <c r="AQ30" s="104">
        <v>0</v>
      </c>
      <c r="AR30" s="107">
        <v>0</v>
      </c>
      <c r="AS30" s="61">
        <v>0</v>
      </c>
      <c r="AT30" s="61">
        <f t="shared" si="11"/>
        <v>0</v>
      </c>
      <c r="AU30" s="104">
        <v>2</v>
      </c>
      <c r="AV30" s="107">
        <v>0</v>
      </c>
      <c r="AW30" s="61">
        <v>0</v>
      </c>
      <c r="AX30" s="61">
        <f t="shared" si="12"/>
        <v>0</v>
      </c>
      <c r="AY30" s="104">
        <v>1</v>
      </c>
      <c r="AZ30" s="107">
        <v>1</v>
      </c>
      <c r="BA30" s="61">
        <v>1</v>
      </c>
      <c r="BB30" s="61">
        <f t="shared" si="13"/>
        <v>0</v>
      </c>
      <c r="BC30" s="104">
        <v>1</v>
      </c>
      <c r="BD30" s="107">
        <v>0</v>
      </c>
      <c r="BE30" s="61">
        <v>0</v>
      </c>
      <c r="BF30" s="61">
        <f t="shared" si="14"/>
        <v>0</v>
      </c>
      <c r="BG30" s="104">
        <v>0</v>
      </c>
      <c r="BH30" s="107">
        <v>0</v>
      </c>
      <c r="BI30" s="61">
        <v>0</v>
      </c>
      <c r="BJ30" s="61">
        <f t="shared" si="15"/>
        <v>0</v>
      </c>
      <c r="BK30" s="104">
        <v>0</v>
      </c>
      <c r="BL30" s="107">
        <v>0</v>
      </c>
      <c r="BM30" s="61">
        <v>0</v>
      </c>
      <c r="BN30" s="61">
        <f t="shared" si="16"/>
        <v>0</v>
      </c>
      <c r="BO30" s="104">
        <v>2</v>
      </c>
      <c r="BP30" s="107">
        <v>1</v>
      </c>
      <c r="BQ30" s="61">
        <v>1</v>
      </c>
      <c r="BR30" s="61">
        <f t="shared" si="17"/>
        <v>0</v>
      </c>
      <c r="BS30" s="104">
        <v>0</v>
      </c>
      <c r="BT30" s="107">
        <f t="shared" si="18"/>
        <v>22</v>
      </c>
      <c r="BU30" s="61">
        <f t="shared" si="19"/>
        <v>0</v>
      </c>
      <c r="BV30" s="61">
        <f t="shared" si="20"/>
        <v>6</v>
      </c>
      <c r="BW30" s="61">
        <f t="shared" si="21"/>
        <v>1</v>
      </c>
      <c r="BX30" s="61">
        <f t="shared" si="22"/>
        <v>0.7857142857142857</v>
      </c>
      <c r="BY30" s="104">
        <f t="shared" si="23"/>
        <v>0.88</v>
      </c>
    </row>
    <row r="31" spans="1:84" x14ac:dyDescent="0.35">
      <c r="A31" s="108" t="s">
        <v>48</v>
      </c>
      <c r="B31" s="148"/>
      <c r="C31" s="112" t="s">
        <v>42</v>
      </c>
      <c r="D31" s="114">
        <v>2</v>
      </c>
      <c r="E31" s="108">
        <v>2</v>
      </c>
      <c r="F31" s="108">
        <f t="shared" si="1"/>
        <v>0</v>
      </c>
      <c r="G31" s="112">
        <v>0</v>
      </c>
      <c r="H31" s="114">
        <v>1</v>
      </c>
      <c r="I31" s="108">
        <v>1</v>
      </c>
      <c r="J31" s="108">
        <f t="shared" si="2"/>
        <v>0</v>
      </c>
      <c r="K31" s="112">
        <v>0</v>
      </c>
      <c r="L31" s="114">
        <v>1</v>
      </c>
      <c r="M31" s="108">
        <v>1</v>
      </c>
      <c r="N31" s="108">
        <f t="shared" si="3"/>
        <v>0</v>
      </c>
      <c r="O31" s="112">
        <v>0</v>
      </c>
      <c r="P31" s="114">
        <v>1</v>
      </c>
      <c r="Q31" s="108">
        <v>1</v>
      </c>
      <c r="R31" s="108">
        <f t="shared" si="4"/>
        <v>0</v>
      </c>
      <c r="S31" s="112">
        <v>0</v>
      </c>
      <c r="T31" s="114">
        <v>1</v>
      </c>
      <c r="U31" s="108">
        <v>1</v>
      </c>
      <c r="V31" s="108">
        <f t="shared" si="5"/>
        <v>0</v>
      </c>
      <c r="W31" s="112">
        <v>0</v>
      </c>
      <c r="X31" s="114">
        <v>2</v>
      </c>
      <c r="Y31" s="108">
        <v>2</v>
      </c>
      <c r="Z31" s="108">
        <f t="shared" si="6"/>
        <v>0</v>
      </c>
      <c r="AA31" s="112">
        <v>0</v>
      </c>
      <c r="AB31" s="114">
        <v>0</v>
      </c>
      <c r="AC31" s="108">
        <v>0</v>
      </c>
      <c r="AD31" s="108">
        <v>0</v>
      </c>
      <c r="AE31" s="112">
        <v>0</v>
      </c>
      <c r="AF31" s="114">
        <v>2</v>
      </c>
      <c r="AG31" s="108">
        <v>2</v>
      </c>
      <c r="AH31" s="108">
        <f t="shared" si="8"/>
        <v>0</v>
      </c>
      <c r="AI31" s="112">
        <v>0</v>
      </c>
      <c r="AJ31" s="114">
        <v>0</v>
      </c>
      <c r="AK31" s="108">
        <v>0</v>
      </c>
      <c r="AL31" s="108">
        <f t="shared" si="9"/>
        <v>0</v>
      </c>
      <c r="AM31" s="112">
        <v>0</v>
      </c>
      <c r="AN31" s="114">
        <v>0</v>
      </c>
      <c r="AO31" s="108">
        <v>0</v>
      </c>
      <c r="AP31" s="108">
        <f t="shared" si="10"/>
        <v>0</v>
      </c>
      <c r="AQ31" s="112">
        <v>0</v>
      </c>
      <c r="AR31" s="114">
        <v>0</v>
      </c>
      <c r="AS31" s="108">
        <v>0</v>
      </c>
      <c r="AT31" s="108">
        <f t="shared" si="11"/>
        <v>0</v>
      </c>
      <c r="AU31" s="112">
        <v>1</v>
      </c>
      <c r="AV31" s="114">
        <v>0</v>
      </c>
      <c r="AW31" s="108">
        <v>0</v>
      </c>
      <c r="AX31" s="108">
        <f t="shared" si="12"/>
        <v>0</v>
      </c>
      <c r="AY31" s="112">
        <v>0</v>
      </c>
      <c r="AZ31" s="114">
        <v>1</v>
      </c>
      <c r="BA31" s="108">
        <v>1</v>
      </c>
      <c r="BB31" s="108">
        <f t="shared" si="13"/>
        <v>0</v>
      </c>
      <c r="BC31" s="112">
        <v>0</v>
      </c>
      <c r="BD31" s="114">
        <v>0</v>
      </c>
      <c r="BE31" s="108">
        <v>0</v>
      </c>
      <c r="BF31" s="108">
        <f t="shared" si="14"/>
        <v>0</v>
      </c>
      <c r="BG31" s="112">
        <v>0</v>
      </c>
      <c r="BH31" s="114">
        <v>0</v>
      </c>
      <c r="BI31" s="108">
        <v>0</v>
      </c>
      <c r="BJ31" s="108">
        <f t="shared" si="15"/>
        <v>0</v>
      </c>
      <c r="BK31" s="112">
        <v>0</v>
      </c>
      <c r="BL31" s="114">
        <v>0</v>
      </c>
      <c r="BM31" s="108">
        <v>0</v>
      </c>
      <c r="BN31" s="108">
        <f t="shared" si="16"/>
        <v>0</v>
      </c>
      <c r="BO31" s="112">
        <v>1</v>
      </c>
      <c r="BP31" s="114">
        <v>1</v>
      </c>
      <c r="BQ31" s="108">
        <v>0</v>
      </c>
      <c r="BR31" s="108">
        <f t="shared" si="17"/>
        <v>1</v>
      </c>
      <c r="BS31" s="112">
        <v>0</v>
      </c>
      <c r="BT31" s="114">
        <f t="shared" si="18"/>
        <v>11</v>
      </c>
      <c r="BU31" s="108">
        <f t="shared" si="19"/>
        <v>1</v>
      </c>
      <c r="BV31" s="108">
        <f t="shared" si="20"/>
        <v>2</v>
      </c>
      <c r="BW31" s="108">
        <f t="shared" si="21"/>
        <v>0.91666666666666663</v>
      </c>
      <c r="BX31" s="108">
        <f t="shared" si="22"/>
        <v>0.84615384615384615</v>
      </c>
      <c r="BY31" s="112">
        <f t="shared" si="23"/>
        <v>0.87999999999999989</v>
      </c>
    </row>
    <row r="32" spans="1:84" x14ac:dyDescent="0.35">
      <c r="A32" s="108" t="s">
        <v>48</v>
      </c>
      <c r="B32" s="148"/>
      <c r="C32" s="112" t="s">
        <v>73</v>
      </c>
      <c r="D32" s="114">
        <v>2</v>
      </c>
      <c r="E32" s="108">
        <v>2</v>
      </c>
      <c r="F32" s="108">
        <f t="shared" si="1"/>
        <v>0</v>
      </c>
      <c r="G32" s="112">
        <v>0</v>
      </c>
      <c r="H32" s="114">
        <v>1</v>
      </c>
      <c r="I32" s="108">
        <v>1</v>
      </c>
      <c r="J32" s="108">
        <f t="shared" si="2"/>
        <v>0</v>
      </c>
      <c r="K32" s="112">
        <v>0</v>
      </c>
      <c r="L32" s="114">
        <v>1</v>
      </c>
      <c r="M32" s="108">
        <v>1</v>
      </c>
      <c r="N32" s="108">
        <f t="shared" si="3"/>
        <v>0</v>
      </c>
      <c r="O32" s="112">
        <v>0</v>
      </c>
      <c r="P32" s="114">
        <v>1</v>
      </c>
      <c r="Q32" s="108">
        <v>1</v>
      </c>
      <c r="R32" s="108">
        <f t="shared" si="4"/>
        <v>0</v>
      </c>
      <c r="S32" s="112">
        <v>0</v>
      </c>
      <c r="T32" s="114">
        <v>1</v>
      </c>
      <c r="U32" s="108">
        <v>1</v>
      </c>
      <c r="V32" s="108">
        <f t="shared" si="5"/>
        <v>0</v>
      </c>
      <c r="W32" s="112">
        <v>0</v>
      </c>
      <c r="X32" s="114">
        <v>2</v>
      </c>
      <c r="Y32" s="108">
        <v>2</v>
      </c>
      <c r="Z32" s="108">
        <f t="shared" si="6"/>
        <v>0</v>
      </c>
      <c r="AA32" s="112">
        <v>0</v>
      </c>
      <c r="AB32" s="114">
        <v>0</v>
      </c>
      <c r="AC32" s="108">
        <v>0</v>
      </c>
      <c r="AD32" s="108">
        <v>0</v>
      </c>
      <c r="AE32" s="112">
        <v>0</v>
      </c>
      <c r="AF32" s="114">
        <v>2</v>
      </c>
      <c r="AG32" s="108">
        <v>2</v>
      </c>
      <c r="AH32" s="108">
        <f t="shared" si="8"/>
        <v>0</v>
      </c>
      <c r="AI32" s="112">
        <v>0</v>
      </c>
      <c r="AJ32" s="114">
        <v>0</v>
      </c>
      <c r="AK32" s="108">
        <v>0</v>
      </c>
      <c r="AL32" s="108">
        <f t="shared" si="9"/>
        <v>0</v>
      </c>
      <c r="AM32" s="112">
        <v>0</v>
      </c>
      <c r="AN32" s="114">
        <v>0</v>
      </c>
      <c r="AO32" s="108">
        <v>0</v>
      </c>
      <c r="AP32" s="108">
        <f t="shared" si="10"/>
        <v>0</v>
      </c>
      <c r="AQ32" s="112">
        <v>0</v>
      </c>
      <c r="AR32" s="114">
        <v>0</v>
      </c>
      <c r="AS32" s="108">
        <v>0</v>
      </c>
      <c r="AT32" s="108">
        <f t="shared" si="11"/>
        <v>0</v>
      </c>
      <c r="AU32" s="112">
        <v>1</v>
      </c>
      <c r="AV32" s="114">
        <v>0</v>
      </c>
      <c r="AW32" s="108">
        <v>0</v>
      </c>
      <c r="AX32" s="108">
        <f t="shared" si="12"/>
        <v>0</v>
      </c>
      <c r="AY32" s="112">
        <v>0</v>
      </c>
      <c r="AZ32" s="114">
        <v>1</v>
      </c>
      <c r="BA32" s="108">
        <v>1</v>
      </c>
      <c r="BB32" s="108">
        <f t="shared" si="13"/>
        <v>0</v>
      </c>
      <c r="BC32" s="112">
        <v>0</v>
      </c>
      <c r="BD32" s="114">
        <v>0</v>
      </c>
      <c r="BE32" s="108">
        <v>0</v>
      </c>
      <c r="BF32" s="108">
        <f t="shared" si="14"/>
        <v>0</v>
      </c>
      <c r="BG32" s="112">
        <v>0</v>
      </c>
      <c r="BH32" s="114">
        <v>0</v>
      </c>
      <c r="BI32" s="108">
        <v>0</v>
      </c>
      <c r="BJ32" s="108">
        <f t="shared" si="15"/>
        <v>0</v>
      </c>
      <c r="BK32" s="112">
        <v>0</v>
      </c>
      <c r="BL32" s="114">
        <v>0</v>
      </c>
      <c r="BM32" s="108">
        <v>0</v>
      </c>
      <c r="BN32" s="108">
        <f t="shared" si="16"/>
        <v>0</v>
      </c>
      <c r="BO32" s="112">
        <v>1</v>
      </c>
      <c r="BP32" s="114">
        <v>1</v>
      </c>
      <c r="BQ32" s="108">
        <v>0</v>
      </c>
      <c r="BR32" s="108">
        <f t="shared" si="17"/>
        <v>1</v>
      </c>
      <c r="BS32" s="112">
        <v>0</v>
      </c>
      <c r="BT32" s="114">
        <f t="shared" si="18"/>
        <v>11</v>
      </c>
      <c r="BU32" s="108">
        <f t="shared" si="19"/>
        <v>1</v>
      </c>
      <c r="BV32" s="108">
        <f t="shared" si="20"/>
        <v>2</v>
      </c>
      <c r="BW32" s="108">
        <f t="shared" si="21"/>
        <v>0.91666666666666663</v>
      </c>
      <c r="BX32" s="108">
        <f t="shared" si="22"/>
        <v>0.84615384615384615</v>
      </c>
      <c r="BY32" s="112">
        <f t="shared" si="23"/>
        <v>0.87999999999999989</v>
      </c>
    </row>
    <row r="33" spans="1:77" x14ac:dyDescent="0.35">
      <c r="A33" s="109" t="s">
        <v>48</v>
      </c>
      <c r="B33" s="148"/>
      <c r="C33" s="113" t="s">
        <v>43</v>
      </c>
      <c r="D33" s="115">
        <v>1</v>
      </c>
      <c r="E33" s="109">
        <v>1</v>
      </c>
      <c r="F33" s="109">
        <f t="shared" si="1"/>
        <v>0</v>
      </c>
      <c r="G33" s="113">
        <v>0</v>
      </c>
      <c r="H33" s="115">
        <v>1</v>
      </c>
      <c r="I33" s="109">
        <v>1</v>
      </c>
      <c r="J33" s="109">
        <f t="shared" si="2"/>
        <v>0</v>
      </c>
      <c r="K33" s="113">
        <v>0</v>
      </c>
      <c r="L33" s="115">
        <v>0</v>
      </c>
      <c r="M33" s="109">
        <v>0</v>
      </c>
      <c r="N33" s="109">
        <f t="shared" si="3"/>
        <v>0</v>
      </c>
      <c r="O33" s="113">
        <v>0</v>
      </c>
      <c r="P33" s="115">
        <v>5</v>
      </c>
      <c r="Q33" s="109">
        <v>5</v>
      </c>
      <c r="R33" s="109">
        <f t="shared" si="4"/>
        <v>0</v>
      </c>
      <c r="S33" s="113">
        <v>0</v>
      </c>
      <c r="T33" s="115">
        <v>5</v>
      </c>
      <c r="U33" s="109">
        <v>5</v>
      </c>
      <c r="V33" s="109">
        <f t="shared" si="5"/>
        <v>0</v>
      </c>
      <c r="W33" s="113">
        <v>0</v>
      </c>
      <c r="X33" s="115">
        <v>0</v>
      </c>
      <c r="Y33" s="109">
        <v>0</v>
      </c>
      <c r="Z33" s="109">
        <f t="shared" si="6"/>
        <v>0</v>
      </c>
      <c r="AA33" s="113">
        <v>0</v>
      </c>
      <c r="AB33" s="115">
        <v>0</v>
      </c>
      <c r="AC33" s="109">
        <v>0</v>
      </c>
      <c r="AD33" s="109">
        <v>0</v>
      </c>
      <c r="AE33" s="113">
        <v>0</v>
      </c>
      <c r="AF33" s="115">
        <v>0</v>
      </c>
      <c r="AG33" s="109">
        <v>0</v>
      </c>
      <c r="AH33" s="109">
        <f t="shared" si="8"/>
        <v>0</v>
      </c>
      <c r="AI33" s="113">
        <v>0</v>
      </c>
      <c r="AJ33" s="115">
        <v>0</v>
      </c>
      <c r="AK33" s="109">
        <v>0</v>
      </c>
      <c r="AL33" s="109">
        <f t="shared" si="9"/>
        <v>0</v>
      </c>
      <c r="AM33" s="113">
        <v>0</v>
      </c>
      <c r="AN33" s="115">
        <v>0</v>
      </c>
      <c r="AO33" s="109">
        <v>0</v>
      </c>
      <c r="AP33" s="109">
        <f t="shared" si="10"/>
        <v>0</v>
      </c>
      <c r="AQ33" s="113">
        <v>0</v>
      </c>
      <c r="AR33" s="115">
        <v>0</v>
      </c>
      <c r="AS33" s="109">
        <v>0</v>
      </c>
      <c r="AT33" s="109">
        <f t="shared" si="11"/>
        <v>0</v>
      </c>
      <c r="AU33" s="113">
        <v>0</v>
      </c>
      <c r="AV33" s="115">
        <v>0</v>
      </c>
      <c r="AW33" s="109">
        <v>0</v>
      </c>
      <c r="AX33" s="109">
        <f t="shared" si="12"/>
        <v>0</v>
      </c>
      <c r="AY33" s="113">
        <v>0</v>
      </c>
      <c r="AZ33" s="115">
        <v>0</v>
      </c>
      <c r="BA33" s="109">
        <v>0</v>
      </c>
      <c r="BB33" s="109">
        <f t="shared" si="13"/>
        <v>0</v>
      </c>
      <c r="BC33" s="113">
        <v>0</v>
      </c>
      <c r="BD33" s="115">
        <v>0</v>
      </c>
      <c r="BE33" s="109">
        <v>0</v>
      </c>
      <c r="BF33" s="109">
        <f t="shared" si="14"/>
        <v>0</v>
      </c>
      <c r="BG33" s="113">
        <v>0</v>
      </c>
      <c r="BH33" s="115">
        <v>0</v>
      </c>
      <c r="BI33" s="109">
        <v>0</v>
      </c>
      <c r="BJ33" s="109">
        <f t="shared" si="15"/>
        <v>0</v>
      </c>
      <c r="BK33" s="113">
        <v>0</v>
      </c>
      <c r="BL33" s="115">
        <v>0</v>
      </c>
      <c r="BM33" s="109">
        <v>0</v>
      </c>
      <c r="BN33" s="109">
        <f t="shared" si="16"/>
        <v>0</v>
      </c>
      <c r="BO33" s="113">
        <v>0</v>
      </c>
      <c r="BP33" s="115">
        <v>0</v>
      </c>
      <c r="BQ33" s="109">
        <v>0</v>
      </c>
      <c r="BR33" s="109">
        <f t="shared" si="17"/>
        <v>0</v>
      </c>
      <c r="BS33" s="113">
        <v>0</v>
      </c>
      <c r="BT33" s="115">
        <f t="shared" si="18"/>
        <v>12</v>
      </c>
      <c r="BU33" s="109">
        <f t="shared" si="19"/>
        <v>0</v>
      </c>
      <c r="BV33" s="109">
        <f t="shared" si="20"/>
        <v>0</v>
      </c>
      <c r="BW33" s="109">
        <f t="shared" si="21"/>
        <v>1</v>
      </c>
      <c r="BX33" s="109">
        <f t="shared" si="22"/>
        <v>1</v>
      </c>
      <c r="BY33" s="113">
        <f t="shared" si="23"/>
        <v>1</v>
      </c>
    </row>
    <row r="34" spans="1:77" ht="15" thickBot="1" x14ac:dyDescent="0.4">
      <c r="A34" s="109" t="s">
        <v>48</v>
      </c>
      <c r="B34" s="148"/>
      <c r="C34" s="113" t="s">
        <v>74</v>
      </c>
      <c r="D34" s="130">
        <v>1</v>
      </c>
      <c r="E34" s="131">
        <v>1</v>
      </c>
      <c r="F34" s="131">
        <f t="shared" si="1"/>
        <v>0</v>
      </c>
      <c r="G34" s="129">
        <v>0</v>
      </c>
      <c r="H34" s="130">
        <v>1</v>
      </c>
      <c r="I34" s="131">
        <v>1</v>
      </c>
      <c r="J34" s="131">
        <f t="shared" si="2"/>
        <v>0</v>
      </c>
      <c r="K34" s="129">
        <v>0</v>
      </c>
      <c r="L34" s="130">
        <v>0</v>
      </c>
      <c r="M34" s="131">
        <v>0</v>
      </c>
      <c r="N34" s="131">
        <f t="shared" si="3"/>
        <v>0</v>
      </c>
      <c r="O34" s="129">
        <v>0</v>
      </c>
      <c r="P34" s="130">
        <v>5</v>
      </c>
      <c r="Q34" s="131">
        <v>5</v>
      </c>
      <c r="R34" s="131">
        <f t="shared" si="4"/>
        <v>0</v>
      </c>
      <c r="S34" s="129">
        <v>0</v>
      </c>
      <c r="T34" s="130">
        <v>5</v>
      </c>
      <c r="U34" s="131">
        <v>5</v>
      </c>
      <c r="V34" s="131">
        <f t="shared" si="5"/>
        <v>0</v>
      </c>
      <c r="W34" s="129">
        <v>0</v>
      </c>
      <c r="X34" s="130">
        <v>0</v>
      </c>
      <c r="Y34" s="131">
        <v>0</v>
      </c>
      <c r="Z34" s="131">
        <f t="shared" si="6"/>
        <v>0</v>
      </c>
      <c r="AA34" s="129">
        <v>0</v>
      </c>
      <c r="AB34" s="130">
        <v>0</v>
      </c>
      <c r="AC34" s="131">
        <v>0</v>
      </c>
      <c r="AD34" s="131">
        <v>0</v>
      </c>
      <c r="AE34" s="129">
        <v>0</v>
      </c>
      <c r="AF34" s="130">
        <v>0</v>
      </c>
      <c r="AG34" s="131">
        <v>0</v>
      </c>
      <c r="AH34" s="131">
        <f t="shared" si="8"/>
        <v>0</v>
      </c>
      <c r="AI34" s="129">
        <v>0</v>
      </c>
      <c r="AJ34" s="130">
        <v>0</v>
      </c>
      <c r="AK34" s="131">
        <v>0</v>
      </c>
      <c r="AL34" s="131">
        <f t="shared" si="9"/>
        <v>0</v>
      </c>
      <c r="AM34" s="129">
        <v>0</v>
      </c>
      <c r="AN34" s="130">
        <v>0</v>
      </c>
      <c r="AO34" s="131">
        <v>0</v>
      </c>
      <c r="AP34" s="131">
        <f t="shared" si="10"/>
        <v>0</v>
      </c>
      <c r="AQ34" s="129">
        <v>0</v>
      </c>
      <c r="AR34" s="130">
        <v>0</v>
      </c>
      <c r="AS34" s="131">
        <v>0</v>
      </c>
      <c r="AT34" s="131">
        <f t="shared" si="11"/>
        <v>0</v>
      </c>
      <c r="AU34" s="129">
        <v>0</v>
      </c>
      <c r="AV34" s="130">
        <v>0</v>
      </c>
      <c r="AW34" s="131">
        <v>0</v>
      </c>
      <c r="AX34" s="131">
        <f t="shared" si="12"/>
        <v>0</v>
      </c>
      <c r="AY34" s="129">
        <v>0</v>
      </c>
      <c r="AZ34" s="130">
        <v>0</v>
      </c>
      <c r="BA34" s="131">
        <v>0</v>
      </c>
      <c r="BB34" s="131">
        <f t="shared" si="13"/>
        <v>0</v>
      </c>
      <c r="BC34" s="129">
        <v>0</v>
      </c>
      <c r="BD34" s="130">
        <v>0</v>
      </c>
      <c r="BE34" s="131">
        <v>0</v>
      </c>
      <c r="BF34" s="131">
        <f t="shared" si="14"/>
        <v>0</v>
      </c>
      <c r="BG34" s="129">
        <v>0</v>
      </c>
      <c r="BH34" s="132">
        <v>0</v>
      </c>
      <c r="BI34" s="131">
        <v>0</v>
      </c>
      <c r="BJ34" s="131">
        <f t="shared" si="15"/>
        <v>0</v>
      </c>
      <c r="BK34" s="129">
        <v>0</v>
      </c>
      <c r="BL34" s="130">
        <v>0</v>
      </c>
      <c r="BM34" s="131">
        <v>0</v>
      </c>
      <c r="BN34" s="131">
        <f t="shared" si="16"/>
        <v>0</v>
      </c>
      <c r="BO34" s="129">
        <v>0</v>
      </c>
      <c r="BP34" s="130">
        <v>0</v>
      </c>
      <c r="BQ34" s="131">
        <v>0</v>
      </c>
      <c r="BR34" s="131">
        <f t="shared" si="17"/>
        <v>0</v>
      </c>
      <c r="BS34" s="129">
        <v>0</v>
      </c>
      <c r="BT34" s="130">
        <f t="shared" si="18"/>
        <v>12</v>
      </c>
      <c r="BU34" s="131">
        <f t="shared" si="19"/>
        <v>0</v>
      </c>
      <c r="BV34" s="131">
        <f t="shared" si="20"/>
        <v>0</v>
      </c>
      <c r="BW34" s="131">
        <f t="shared" si="21"/>
        <v>1</v>
      </c>
      <c r="BX34" s="131">
        <f t="shared" si="22"/>
        <v>1</v>
      </c>
      <c r="BY34" s="129">
        <f t="shared" si="23"/>
        <v>1</v>
      </c>
    </row>
    <row r="35" spans="1:77" ht="15" thickTop="1" x14ac:dyDescent="0.35">
      <c r="C35" s="5" t="s">
        <v>111</v>
      </c>
      <c r="D35" s="48">
        <f>SUM(D3:D34)</f>
        <v>68</v>
      </c>
      <c r="E35" s="48">
        <f t="shared" ref="E35:BP35" si="40">SUM(E3:E34)</f>
        <v>68</v>
      </c>
      <c r="F35" s="48">
        <f t="shared" si="40"/>
        <v>0</v>
      </c>
      <c r="G35" s="48">
        <f t="shared" si="40"/>
        <v>0</v>
      </c>
      <c r="H35" s="48">
        <f t="shared" si="40"/>
        <v>46</v>
      </c>
      <c r="I35" s="48">
        <f t="shared" si="40"/>
        <v>42</v>
      </c>
      <c r="J35" s="48">
        <f t="shared" si="40"/>
        <v>4</v>
      </c>
      <c r="K35" s="48">
        <f t="shared" si="40"/>
        <v>9</v>
      </c>
      <c r="L35" s="48">
        <f t="shared" si="40"/>
        <v>38</v>
      </c>
      <c r="M35" s="48">
        <f t="shared" si="40"/>
        <v>38</v>
      </c>
      <c r="N35" s="48">
        <f t="shared" si="40"/>
        <v>0</v>
      </c>
      <c r="O35" s="48">
        <f t="shared" si="40"/>
        <v>2</v>
      </c>
      <c r="P35" s="48">
        <f t="shared" si="40"/>
        <v>48</v>
      </c>
      <c r="Q35" s="48">
        <f t="shared" si="40"/>
        <v>48</v>
      </c>
      <c r="R35" s="48">
        <f t="shared" si="40"/>
        <v>0</v>
      </c>
      <c r="S35" s="48">
        <f t="shared" si="40"/>
        <v>17</v>
      </c>
      <c r="T35" s="48">
        <f t="shared" si="40"/>
        <v>48</v>
      </c>
      <c r="U35" s="48">
        <f t="shared" si="40"/>
        <v>44</v>
      </c>
      <c r="V35" s="48">
        <f t="shared" si="40"/>
        <v>4</v>
      </c>
      <c r="W35" s="48">
        <f t="shared" si="40"/>
        <v>16</v>
      </c>
      <c r="X35" s="48">
        <f t="shared" si="40"/>
        <v>72</v>
      </c>
      <c r="Y35" s="48">
        <f t="shared" si="40"/>
        <v>70</v>
      </c>
      <c r="Z35" s="48">
        <f t="shared" si="40"/>
        <v>2</v>
      </c>
      <c r="AA35" s="48">
        <f t="shared" si="40"/>
        <v>1</v>
      </c>
      <c r="AB35" s="48">
        <f t="shared" si="40"/>
        <v>20</v>
      </c>
      <c r="AC35" s="48">
        <f>SUM(AC3:AC34)</f>
        <v>20</v>
      </c>
      <c r="AD35" s="48">
        <f t="shared" si="40"/>
        <v>0</v>
      </c>
      <c r="AE35" s="48">
        <f t="shared" si="40"/>
        <v>0</v>
      </c>
      <c r="AF35" s="48">
        <f t="shared" si="40"/>
        <v>72</v>
      </c>
      <c r="AG35" s="48">
        <f t="shared" si="40"/>
        <v>70</v>
      </c>
      <c r="AH35" s="48">
        <f t="shared" si="40"/>
        <v>2</v>
      </c>
      <c r="AI35" s="48">
        <f t="shared" si="40"/>
        <v>2</v>
      </c>
      <c r="AJ35" s="48">
        <f t="shared" si="40"/>
        <v>16</v>
      </c>
      <c r="AK35" s="48">
        <f t="shared" si="40"/>
        <v>16</v>
      </c>
      <c r="AL35" s="48">
        <f t="shared" si="40"/>
        <v>0</v>
      </c>
      <c r="AM35" s="48">
        <f t="shared" si="40"/>
        <v>2</v>
      </c>
      <c r="AN35" s="48">
        <f t="shared" si="40"/>
        <v>2</v>
      </c>
      <c r="AO35" s="48">
        <f t="shared" si="40"/>
        <v>1</v>
      </c>
      <c r="AP35" s="48">
        <f t="shared" si="40"/>
        <v>1</v>
      </c>
      <c r="AQ35" s="48">
        <f t="shared" si="40"/>
        <v>3</v>
      </c>
      <c r="AR35" s="48">
        <f t="shared" si="40"/>
        <v>4</v>
      </c>
      <c r="AS35" s="48">
        <f t="shared" si="40"/>
        <v>3</v>
      </c>
      <c r="AT35" s="48">
        <f t="shared" si="40"/>
        <v>1</v>
      </c>
      <c r="AU35" s="48">
        <f t="shared" si="40"/>
        <v>10</v>
      </c>
      <c r="AV35" s="48">
        <f t="shared" si="40"/>
        <v>8</v>
      </c>
      <c r="AW35" s="48">
        <f t="shared" si="40"/>
        <v>1</v>
      </c>
      <c r="AX35" s="48">
        <f t="shared" si="40"/>
        <v>7</v>
      </c>
      <c r="AY35" s="48">
        <f t="shared" si="40"/>
        <v>6</v>
      </c>
      <c r="AZ35" s="48">
        <f t="shared" si="40"/>
        <v>36</v>
      </c>
      <c r="BA35" s="48">
        <f t="shared" si="40"/>
        <v>26</v>
      </c>
      <c r="BB35" s="48">
        <f t="shared" si="40"/>
        <v>10</v>
      </c>
      <c r="BC35" s="48">
        <f t="shared" si="40"/>
        <v>17</v>
      </c>
      <c r="BD35" s="48">
        <f t="shared" si="40"/>
        <v>8</v>
      </c>
      <c r="BE35" s="48">
        <f t="shared" si="40"/>
        <v>5</v>
      </c>
      <c r="BF35" s="48">
        <f t="shared" si="40"/>
        <v>3</v>
      </c>
      <c r="BG35" s="48">
        <f t="shared" si="40"/>
        <v>0</v>
      </c>
      <c r="BH35" s="48">
        <f t="shared" si="40"/>
        <v>2</v>
      </c>
      <c r="BI35" s="48">
        <f t="shared" si="40"/>
        <v>2</v>
      </c>
      <c r="BJ35" s="48">
        <f t="shared" si="40"/>
        <v>0</v>
      </c>
      <c r="BK35" s="48">
        <f t="shared" si="40"/>
        <v>0</v>
      </c>
      <c r="BL35" s="48">
        <f t="shared" si="40"/>
        <v>0</v>
      </c>
      <c r="BM35" s="48">
        <f t="shared" si="40"/>
        <v>0</v>
      </c>
      <c r="BN35" s="48">
        <f t="shared" si="40"/>
        <v>0</v>
      </c>
      <c r="BO35" s="48">
        <f t="shared" si="40"/>
        <v>19</v>
      </c>
      <c r="BP35" s="48">
        <f t="shared" si="40"/>
        <v>6</v>
      </c>
      <c r="BQ35" s="48">
        <f t="shared" ref="BQ35:BS35" si="41">SUM(BQ3:BQ34)</f>
        <v>1</v>
      </c>
      <c r="BR35" s="48">
        <f t="shared" si="41"/>
        <v>5</v>
      </c>
      <c r="BS35" s="48">
        <f t="shared" si="41"/>
        <v>1</v>
      </c>
    </row>
    <row r="37" spans="1:77" x14ac:dyDescent="0.35">
      <c r="C37" s="134" t="s">
        <v>23</v>
      </c>
      <c r="D37" s="143">
        <f>IFERROR(E35/(E35+F35),"")</f>
        <v>1</v>
      </c>
      <c r="E37" s="144"/>
      <c r="F37" s="144"/>
      <c r="G37" s="145"/>
      <c r="H37" s="143">
        <f t="shared" ref="H37" si="42">IFERROR(I35/(I35+J35),"")</f>
        <v>0.91304347826086951</v>
      </c>
      <c r="I37" s="144"/>
      <c r="J37" s="144"/>
      <c r="K37" s="145"/>
      <c r="L37" s="143">
        <f t="shared" ref="L37" si="43">IFERROR(M35/(M35+N35),"")</f>
        <v>1</v>
      </c>
      <c r="M37" s="144"/>
      <c r="N37" s="144"/>
      <c r="O37" s="145"/>
      <c r="P37" s="143">
        <f t="shared" ref="P37" si="44">IFERROR(Q35/(Q35+R35),"")</f>
        <v>1</v>
      </c>
      <c r="Q37" s="144"/>
      <c r="R37" s="144"/>
      <c r="S37" s="145"/>
      <c r="T37" s="143">
        <f t="shared" ref="T37" si="45">IFERROR(U35/(U35+V35),"")</f>
        <v>0.91666666666666663</v>
      </c>
      <c r="U37" s="144"/>
      <c r="V37" s="144"/>
      <c r="W37" s="145"/>
      <c r="X37" s="143">
        <f t="shared" ref="X37" si="46">IFERROR(Y35/(Y35+Z35),"")</f>
        <v>0.97222222222222221</v>
      </c>
      <c r="Y37" s="144"/>
      <c r="Z37" s="144"/>
      <c r="AA37" s="145"/>
      <c r="AB37" s="143">
        <f t="shared" ref="AB37" si="47">IFERROR(AC35/(AC35+AD35),"")</f>
        <v>1</v>
      </c>
      <c r="AC37" s="144"/>
      <c r="AD37" s="144"/>
      <c r="AE37" s="145"/>
      <c r="AF37" s="143">
        <f t="shared" ref="AF37" si="48">IFERROR(AG35/(AG35+AH35),"")</f>
        <v>0.97222222222222221</v>
      </c>
      <c r="AG37" s="144"/>
      <c r="AH37" s="144"/>
      <c r="AI37" s="145"/>
      <c r="AJ37" s="143">
        <f t="shared" ref="AJ37" si="49">IFERROR(AK35/(AK35+AL35),"")</f>
        <v>1</v>
      </c>
      <c r="AK37" s="144"/>
      <c r="AL37" s="144"/>
      <c r="AM37" s="145"/>
      <c r="AN37" s="143">
        <f t="shared" ref="AN37" si="50">IFERROR(AO35/(AO35+AP35),"")</f>
        <v>0.5</v>
      </c>
      <c r="AO37" s="144"/>
      <c r="AP37" s="144"/>
      <c r="AQ37" s="145"/>
      <c r="AR37" s="143">
        <f t="shared" ref="AR37" si="51">IFERROR(AS35/(AS35+AT35),"")</f>
        <v>0.75</v>
      </c>
      <c r="AS37" s="144"/>
      <c r="AT37" s="144"/>
      <c r="AU37" s="145"/>
      <c r="AV37" s="143">
        <f t="shared" ref="AV37" si="52">IFERROR(AW35/(AW35+AX35),"")</f>
        <v>0.125</v>
      </c>
      <c r="AW37" s="144"/>
      <c r="AX37" s="144"/>
      <c r="AY37" s="145"/>
      <c r="AZ37" s="143">
        <f t="shared" ref="AZ37" si="53">IFERROR(BA35/(BA35+BB35),"")</f>
        <v>0.72222222222222221</v>
      </c>
      <c r="BA37" s="144"/>
      <c r="BB37" s="144"/>
      <c r="BC37" s="145"/>
      <c r="BD37" s="143">
        <f t="shared" ref="BD37" si="54">IFERROR(BE35/(BE35+BF35),"")</f>
        <v>0.625</v>
      </c>
      <c r="BE37" s="144"/>
      <c r="BF37" s="144"/>
      <c r="BG37" s="145"/>
      <c r="BH37" s="143">
        <f t="shared" ref="BH37" si="55">IFERROR(BI35/(BI35+BJ35),"")</f>
        <v>1</v>
      </c>
      <c r="BI37" s="144"/>
      <c r="BJ37" s="144"/>
      <c r="BK37" s="145"/>
      <c r="BL37" s="143" t="str">
        <f t="shared" ref="BL37" si="56">IFERROR(BM35/(BM35+BN35),"")</f>
        <v/>
      </c>
      <c r="BM37" s="144"/>
      <c r="BN37" s="144"/>
      <c r="BO37" s="145"/>
      <c r="BP37" s="143">
        <f t="shared" ref="BP37" si="57">IFERROR(BQ35/(BQ35+BR35),"")</f>
        <v>0.16666666666666666</v>
      </c>
      <c r="BQ37" s="144"/>
      <c r="BR37" s="144"/>
      <c r="BS37" s="145"/>
    </row>
    <row r="38" spans="1:77" x14ac:dyDescent="0.35">
      <c r="C38" s="134" t="s">
        <v>141</v>
      </c>
      <c r="D38" s="143">
        <f>IFERROR(E35/(E35+G35),"")</f>
        <v>1</v>
      </c>
      <c r="E38" s="144"/>
      <c r="F38" s="144"/>
      <c r="G38" s="145"/>
      <c r="H38" s="143">
        <f t="shared" ref="H38" si="58">IFERROR(I35/(I35+K35),"")</f>
        <v>0.82352941176470584</v>
      </c>
      <c r="I38" s="144"/>
      <c r="J38" s="144"/>
      <c r="K38" s="145"/>
      <c r="L38" s="143">
        <f t="shared" ref="L38" si="59">IFERROR(M35/(M35+O35),"")</f>
        <v>0.95</v>
      </c>
      <c r="M38" s="144"/>
      <c r="N38" s="144"/>
      <c r="O38" s="145"/>
      <c r="P38" s="143">
        <f t="shared" ref="P38" si="60">IFERROR(Q35/(Q35+S35),"")</f>
        <v>0.7384615384615385</v>
      </c>
      <c r="Q38" s="144"/>
      <c r="R38" s="144"/>
      <c r="S38" s="145"/>
      <c r="T38" s="143">
        <f t="shared" ref="T38" si="61">IFERROR(U35/(U35+W35),"")</f>
        <v>0.73333333333333328</v>
      </c>
      <c r="U38" s="144"/>
      <c r="V38" s="144"/>
      <c r="W38" s="145"/>
      <c r="X38" s="143">
        <f t="shared" ref="X38" si="62">IFERROR(Y35/(Y35+AA35),"")</f>
        <v>0.9859154929577465</v>
      </c>
      <c r="Y38" s="144"/>
      <c r="Z38" s="144"/>
      <c r="AA38" s="145"/>
      <c r="AB38" s="143">
        <f t="shared" ref="AB38" si="63">IFERROR(AC35/(AC35+AE35),"")</f>
        <v>1</v>
      </c>
      <c r="AC38" s="144"/>
      <c r="AD38" s="144"/>
      <c r="AE38" s="145"/>
      <c r="AF38" s="143">
        <f t="shared" ref="AF38" si="64">IFERROR(AG35/(AG35+AI35),"")</f>
        <v>0.97222222222222221</v>
      </c>
      <c r="AG38" s="144"/>
      <c r="AH38" s="144"/>
      <c r="AI38" s="145"/>
      <c r="AJ38" s="143">
        <f t="shared" ref="AJ38" si="65">IFERROR(AK35/(AK35+AM35),"")</f>
        <v>0.88888888888888884</v>
      </c>
      <c r="AK38" s="144"/>
      <c r="AL38" s="144"/>
      <c r="AM38" s="145"/>
      <c r="AN38" s="143">
        <f t="shared" ref="AN38" si="66">IFERROR(AO35/(AO35+AQ35),"")</f>
        <v>0.25</v>
      </c>
      <c r="AO38" s="144"/>
      <c r="AP38" s="144"/>
      <c r="AQ38" s="145"/>
      <c r="AR38" s="143">
        <f t="shared" ref="AR38" si="67">IFERROR(AS35/(AS35+AU35),"")</f>
        <v>0.23076923076923078</v>
      </c>
      <c r="AS38" s="144"/>
      <c r="AT38" s="144"/>
      <c r="AU38" s="145"/>
      <c r="AV38" s="143">
        <f t="shared" ref="AV38" si="68">IFERROR(AW35/(AW35+AY35),"")</f>
        <v>0.14285714285714285</v>
      </c>
      <c r="AW38" s="144"/>
      <c r="AX38" s="144"/>
      <c r="AY38" s="145"/>
      <c r="AZ38" s="143">
        <f t="shared" ref="AZ38" si="69">IFERROR(BA35/(BA35+BC35),"")</f>
        <v>0.60465116279069764</v>
      </c>
      <c r="BA38" s="144"/>
      <c r="BB38" s="144"/>
      <c r="BC38" s="145"/>
      <c r="BD38" s="143">
        <f t="shared" ref="BD38" si="70">IFERROR(BE35/(BE35+BG35),"")</f>
        <v>1</v>
      </c>
      <c r="BE38" s="144"/>
      <c r="BF38" s="144"/>
      <c r="BG38" s="145"/>
      <c r="BH38" s="143">
        <f t="shared" ref="BH38" si="71">IFERROR(BI35/(BI35+BK35),"")</f>
        <v>1</v>
      </c>
      <c r="BI38" s="144"/>
      <c r="BJ38" s="144"/>
      <c r="BK38" s="145"/>
      <c r="BL38" s="143">
        <f t="shared" ref="BL38" si="72">IFERROR(BM35/(BM35+BO35),"")</f>
        <v>0</v>
      </c>
      <c r="BM38" s="144"/>
      <c r="BN38" s="144"/>
      <c r="BO38" s="145"/>
      <c r="BP38" s="143">
        <f t="shared" ref="BP38" si="73">IFERROR(BQ35/(BQ35+BS35),"")</f>
        <v>0.5</v>
      </c>
      <c r="BQ38" s="144"/>
      <c r="BR38" s="144"/>
      <c r="BS38" s="145"/>
    </row>
    <row r="39" spans="1:77" x14ac:dyDescent="0.35">
      <c r="C39" s="134" t="s">
        <v>24</v>
      </c>
      <c r="D39" s="143">
        <f>IFERROR(2*D37*D38/(D37+D38),IF(AND(D37=0,D38=0),0,""))</f>
        <v>1</v>
      </c>
      <c r="E39" s="144"/>
      <c r="F39" s="144"/>
      <c r="G39" s="145"/>
      <c r="H39" s="143">
        <f t="shared" ref="H39" si="74">IFERROR(2*H37*H38/(H37+H38),IF(AND(H37=0,H38=0),0,""))</f>
        <v>0.865979381443299</v>
      </c>
      <c r="I39" s="144"/>
      <c r="J39" s="144"/>
      <c r="K39" s="145"/>
      <c r="L39" s="143">
        <f t="shared" ref="L39" si="75">IFERROR(2*L37*L38/(L37+L38),IF(AND(L37=0,L38=0),0,""))</f>
        <v>0.97435897435897434</v>
      </c>
      <c r="M39" s="144"/>
      <c r="N39" s="144"/>
      <c r="O39" s="145"/>
      <c r="P39" s="143">
        <f t="shared" ref="P39" si="76">IFERROR(2*P37*P38/(P37+P38),IF(AND(P37=0,P38=0),0,""))</f>
        <v>0.84955752212389379</v>
      </c>
      <c r="Q39" s="144"/>
      <c r="R39" s="144"/>
      <c r="S39" s="145"/>
      <c r="T39" s="143">
        <f t="shared" ref="T39" si="77">IFERROR(2*T37*T38/(T37+T38),IF(AND(T37=0,T38=0),0,""))</f>
        <v>0.81481481481481477</v>
      </c>
      <c r="U39" s="144"/>
      <c r="V39" s="144"/>
      <c r="W39" s="145"/>
      <c r="X39" s="143">
        <f t="shared" ref="X39" si="78">IFERROR(2*X37*X38/(X37+X38),IF(AND(X37=0,X38=0),0,""))</f>
        <v>0.97902097902097895</v>
      </c>
      <c r="Y39" s="144"/>
      <c r="Z39" s="144"/>
      <c r="AA39" s="145"/>
      <c r="AB39" s="143">
        <f t="shared" ref="AB39" si="79">IFERROR(2*AB37*AB38/(AB37+AB38),IF(AND(AB37=0,AB38=0),0,""))</f>
        <v>1</v>
      </c>
      <c r="AC39" s="144"/>
      <c r="AD39" s="144"/>
      <c r="AE39" s="145"/>
      <c r="AF39" s="143">
        <f t="shared" ref="AF39" si="80">IFERROR(2*AF37*AF38/(AF37+AF38),IF(AND(AF37=0,AF38=0),0,""))</f>
        <v>0.97222222222222221</v>
      </c>
      <c r="AG39" s="144"/>
      <c r="AH39" s="144"/>
      <c r="AI39" s="145"/>
      <c r="AJ39" s="143">
        <f t="shared" ref="AJ39" si="81">IFERROR(2*AJ37*AJ38/(AJ37+AJ38),IF(AND(AJ37=0,AJ38=0),0,""))</f>
        <v>0.94117647058823528</v>
      </c>
      <c r="AK39" s="144"/>
      <c r="AL39" s="144"/>
      <c r="AM39" s="145"/>
      <c r="AN39" s="143">
        <f t="shared" ref="AN39" si="82">IFERROR(2*AN37*AN38/(AN37+AN38),IF(AND(AN37=0,AN38=0),0,""))</f>
        <v>0.33333333333333331</v>
      </c>
      <c r="AO39" s="144"/>
      <c r="AP39" s="144"/>
      <c r="AQ39" s="145"/>
      <c r="AR39" s="143">
        <f t="shared" ref="AR39" si="83">IFERROR(2*AR37*AR38/(AR37+AR38),IF(AND(AR37=0,AR38=0),0,""))</f>
        <v>0.3529411764705882</v>
      </c>
      <c r="AS39" s="144"/>
      <c r="AT39" s="144"/>
      <c r="AU39" s="145"/>
      <c r="AV39" s="143">
        <f t="shared" ref="AV39" si="84">IFERROR(2*AV37*AV38/(AV37+AV38),IF(AND(AV37=0,AV38=0),0,""))</f>
        <v>0.13333333333333333</v>
      </c>
      <c r="AW39" s="144"/>
      <c r="AX39" s="144"/>
      <c r="AY39" s="145"/>
      <c r="AZ39" s="143">
        <f t="shared" ref="AZ39" si="85">IFERROR(2*AZ37*AZ38/(AZ37+AZ38),IF(AND(AZ37=0,AZ38=0),0,""))</f>
        <v>0.65822784810126589</v>
      </c>
      <c r="BA39" s="144"/>
      <c r="BB39" s="144"/>
      <c r="BC39" s="145"/>
      <c r="BD39" s="143">
        <f t="shared" ref="BD39" si="86">IFERROR(2*BD37*BD38/(BD37+BD38),IF(AND(BD37=0,BD38=0),0,""))</f>
        <v>0.76923076923076927</v>
      </c>
      <c r="BE39" s="144"/>
      <c r="BF39" s="144"/>
      <c r="BG39" s="145"/>
      <c r="BH39" s="143">
        <f t="shared" ref="BH39" si="87">IFERROR(2*BH37*BH38/(BH37+BH38),IF(AND(BH37=0,BH38=0),0,""))</f>
        <v>1</v>
      </c>
      <c r="BI39" s="144"/>
      <c r="BJ39" s="144"/>
      <c r="BK39" s="145"/>
      <c r="BL39" s="143" t="str">
        <f t="shared" ref="BL39" si="88">IFERROR(2*BL37*BL38/(BL37+BL38),IF(AND(BL37=0,BL38=0),0,""))</f>
        <v/>
      </c>
      <c r="BM39" s="144"/>
      <c r="BN39" s="144"/>
      <c r="BO39" s="145"/>
      <c r="BP39" s="143">
        <f t="shared" ref="BP39" si="89">IFERROR(2*BP37*BP38/(BP37+BP38),IF(AND(BP37=0,BP38=0),0,""))</f>
        <v>0.25</v>
      </c>
      <c r="BQ39" s="144"/>
      <c r="BR39" s="144"/>
      <c r="BS39" s="145"/>
    </row>
  </sheetData>
  <mergeCells count="82">
    <mergeCell ref="A1:A2"/>
    <mergeCell ref="B1:B2"/>
    <mergeCell ref="C1:C2"/>
    <mergeCell ref="D1:G1"/>
    <mergeCell ref="H1:K1"/>
    <mergeCell ref="BX1:BX2"/>
    <mergeCell ref="AZ1:BC1"/>
    <mergeCell ref="BD1:BG1"/>
    <mergeCell ref="BH1:BK1"/>
    <mergeCell ref="BL1:BO1"/>
    <mergeCell ref="BP1:BS1"/>
    <mergeCell ref="B3:B34"/>
    <mergeCell ref="BT1:BT2"/>
    <mergeCell ref="BU1:BU2"/>
    <mergeCell ref="BV1:BV2"/>
    <mergeCell ref="BW1:BW2"/>
    <mergeCell ref="AF1:AI1"/>
    <mergeCell ref="AJ1:AM1"/>
    <mergeCell ref="AN1:AQ1"/>
    <mergeCell ref="AR1:AU1"/>
    <mergeCell ref="AV1:AY1"/>
    <mergeCell ref="L1:O1"/>
    <mergeCell ref="P1:S1"/>
    <mergeCell ref="T1:W1"/>
    <mergeCell ref="X1:AA1"/>
    <mergeCell ref="AB1:AE1"/>
    <mergeCell ref="CC1:CC2"/>
    <mergeCell ref="CD1:CD2"/>
    <mergeCell ref="CE1:CE2"/>
    <mergeCell ref="CF1:CF2"/>
    <mergeCell ref="BY1:BY2"/>
    <mergeCell ref="D37:G37"/>
    <mergeCell ref="H37:K37"/>
    <mergeCell ref="L37:O37"/>
    <mergeCell ref="P37:S37"/>
    <mergeCell ref="T37:W37"/>
    <mergeCell ref="X37:AA37"/>
    <mergeCell ref="AB37:AE37"/>
    <mergeCell ref="AF37:AI37"/>
    <mergeCell ref="AJ37:AM37"/>
    <mergeCell ref="AN37:AQ37"/>
    <mergeCell ref="X38:AA38"/>
    <mergeCell ref="AB38:AE38"/>
    <mergeCell ref="AF38:AI38"/>
    <mergeCell ref="AJ38:AM38"/>
    <mergeCell ref="AN38:AQ38"/>
    <mergeCell ref="D38:G38"/>
    <mergeCell ref="H38:K38"/>
    <mergeCell ref="L38:O38"/>
    <mergeCell ref="P38:S38"/>
    <mergeCell ref="T38:W38"/>
    <mergeCell ref="AR39:AU39"/>
    <mergeCell ref="AV39:AY39"/>
    <mergeCell ref="AZ39:BC39"/>
    <mergeCell ref="BL37:BO37"/>
    <mergeCell ref="BP37:BS37"/>
    <mergeCell ref="AR38:AU38"/>
    <mergeCell ref="AV38:AY38"/>
    <mergeCell ref="AZ38:BC38"/>
    <mergeCell ref="BD38:BG38"/>
    <mergeCell ref="AR37:AU37"/>
    <mergeCell ref="AV37:AY37"/>
    <mergeCell ref="AZ37:BC37"/>
    <mergeCell ref="BD37:BG37"/>
    <mergeCell ref="BH37:BK37"/>
    <mergeCell ref="BD39:BG39"/>
    <mergeCell ref="BH39:BK39"/>
    <mergeCell ref="X39:AA39"/>
    <mergeCell ref="AB39:AE39"/>
    <mergeCell ref="AF39:AI39"/>
    <mergeCell ref="AJ39:AM39"/>
    <mergeCell ref="AN39:AQ39"/>
    <mergeCell ref="D39:G39"/>
    <mergeCell ref="H39:K39"/>
    <mergeCell ref="L39:O39"/>
    <mergeCell ref="P39:S39"/>
    <mergeCell ref="T39:W39"/>
    <mergeCell ref="BL39:BO39"/>
    <mergeCell ref="BP39:BS39"/>
    <mergeCell ref="BH38:BK38"/>
    <mergeCell ref="BL38:BO38"/>
    <mergeCell ref="BP38:BS38"/>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24219-0F2C-4DA1-BBA7-D3B636D06222}">
  <dimension ref="A1:CF39"/>
  <sheetViews>
    <sheetView topLeftCell="AD1" zoomScale="34" zoomScaleNormal="75" workbookViewId="0">
      <pane ySplit="2" topLeftCell="A3" activePane="bottomLeft" state="frozen"/>
      <selection activeCell="E37" sqref="E37:BT39"/>
      <selection pane="bottomLeft" activeCell="BY1" sqref="BY1:BY2"/>
    </sheetView>
  </sheetViews>
  <sheetFormatPr defaultRowHeight="14.5" x14ac:dyDescent="0.35"/>
  <cols>
    <col min="2" max="2" width="17.54296875" customWidth="1"/>
    <col min="3" max="3" width="19.36328125" customWidth="1"/>
    <col min="4" max="4" width="15.453125" customWidth="1"/>
    <col min="5" max="5" width="14" customWidth="1"/>
    <col min="71" max="71" width="5.453125" customWidth="1"/>
    <col min="76" max="76" width="12.453125" bestFit="1" customWidth="1"/>
    <col min="77" max="77" width="11.7265625" customWidth="1"/>
    <col min="78" max="78" width="12" customWidth="1"/>
    <col min="81" max="81" width="12.90625" bestFit="1" customWidth="1"/>
    <col min="83" max="83" width="12.453125" bestFit="1" customWidth="1"/>
  </cols>
  <sheetData>
    <row r="1" spans="1:84" ht="15.5" thickTop="1" thickBot="1" x14ac:dyDescent="0.4">
      <c r="A1" s="153" t="s">
        <v>0</v>
      </c>
      <c r="B1" s="161" t="s">
        <v>54</v>
      </c>
      <c r="C1" s="176" t="s">
        <v>55</v>
      </c>
      <c r="D1" s="151" t="s">
        <v>2</v>
      </c>
      <c r="E1" s="164" t="s">
        <v>3</v>
      </c>
      <c r="F1" s="165"/>
      <c r="G1" s="165"/>
      <c r="H1" s="166"/>
      <c r="I1" s="158" t="s">
        <v>95</v>
      </c>
      <c r="J1" s="158"/>
      <c r="K1" s="158"/>
      <c r="L1" s="159"/>
      <c r="M1" s="153" t="s">
        <v>96</v>
      </c>
      <c r="N1" s="149"/>
      <c r="O1" s="149"/>
      <c r="P1" s="151"/>
      <c r="Q1" s="153" t="s">
        <v>97</v>
      </c>
      <c r="R1" s="149"/>
      <c r="S1" s="149"/>
      <c r="T1" s="151"/>
      <c r="U1" s="153" t="s">
        <v>98</v>
      </c>
      <c r="V1" s="149"/>
      <c r="W1" s="149"/>
      <c r="X1" s="151"/>
      <c r="Y1" s="153" t="s">
        <v>99</v>
      </c>
      <c r="Z1" s="149"/>
      <c r="AA1" s="149"/>
      <c r="AB1" s="151"/>
      <c r="AC1" s="153" t="s">
        <v>100</v>
      </c>
      <c r="AD1" s="149"/>
      <c r="AE1" s="149"/>
      <c r="AF1" s="151"/>
      <c r="AG1" s="153" t="s">
        <v>101</v>
      </c>
      <c r="AH1" s="149"/>
      <c r="AI1" s="149"/>
      <c r="AJ1" s="151"/>
      <c r="AK1" s="153" t="s">
        <v>102</v>
      </c>
      <c r="AL1" s="149"/>
      <c r="AM1" s="149"/>
      <c r="AN1" s="151"/>
      <c r="AO1" s="153" t="s">
        <v>103</v>
      </c>
      <c r="AP1" s="149"/>
      <c r="AQ1" s="149"/>
      <c r="AR1" s="151"/>
      <c r="AS1" s="153" t="s">
        <v>104</v>
      </c>
      <c r="AT1" s="149"/>
      <c r="AU1" s="149"/>
      <c r="AV1" s="151"/>
      <c r="AW1" s="153" t="s">
        <v>105</v>
      </c>
      <c r="AX1" s="149"/>
      <c r="AY1" s="149"/>
      <c r="AZ1" s="156"/>
      <c r="BA1" s="157" t="s">
        <v>106</v>
      </c>
      <c r="BB1" s="158"/>
      <c r="BC1" s="158"/>
      <c r="BD1" s="159"/>
      <c r="BE1" s="153" t="s">
        <v>107</v>
      </c>
      <c r="BF1" s="149"/>
      <c r="BG1" s="149"/>
      <c r="BH1" s="151"/>
      <c r="BI1" s="153" t="s">
        <v>108</v>
      </c>
      <c r="BJ1" s="149"/>
      <c r="BK1" s="149"/>
      <c r="BL1" s="151"/>
      <c r="BM1" s="153" t="s">
        <v>109</v>
      </c>
      <c r="BN1" s="149"/>
      <c r="BO1" s="149"/>
      <c r="BP1" s="151"/>
      <c r="BQ1" s="153" t="s">
        <v>110</v>
      </c>
      <c r="BR1" s="149"/>
      <c r="BS1" s="149"/>
      <c r="BT1" s="151"/>
      <c r="BU1" s="154" t="s">
        <v>20</v>
      </c>
      <c r="BV1" s="149" t="s">
        <v>21</v>
      </c>
      <c r="BW1" s="149" t="s">
        <v>22</v>
      </c>
      <c r="BX1" s="149" t="s">
        <v>23</v>
      </c>
      <c r="BY1" s="149" t="s">
        <v>141</v>
      </c>
      <c r="BZ1" s="151" t="s">
        <v>24</v>
      </c>
      <c r="CC1" s="146" t="s">
        <v>2</v>
      </c>
      <c r="CD1" s="146" t="str">
        <f>BX1</f>
        <v>Recall</v>
      </c>
      <c r="CE1" s="146" t="str">
        <f>BY1</f>
        <v>Precision</v>
      </c>
      <c r="CF1" s="146" t="str">
        <f>BZ1</f>
        <v>F1</v>
      </c>
    </row>
    <row r="2" spans="1:84" ht="15.5" thickTop="1" thickBot="1" x14ac:dyDescent="0.4">
      <c r="A2" s="160"/>
      <c r="B2" s="162"/>
      <c r="C2" s="177"/>
      <c r="D2" s="163"/>
      <c r="E2" s="6" t="s">
        <v>25</v>
      </c>
      <c r="F2" s="1" t="s">
        <v>20</v>
      </c>
      <c r="G2" s="1" t="s">
        <v>21</v>
      </c>
      <c r="H2" s="2" t="s">
        <v>22</v>
      </c>
      <c r="I2" s="1" t="s">
        <v>25</v>
      </c>
      <c r="J2" s="4" t="s">
        <v>20</v>
      </c>
      <c r="K2" s="4" t="s">
        <v>21</v>
      </c>
      <c r="L2" s="2" t="s">
        <v>22</v>
      </c>
      <c r="M2" s="1" t="s">
        <v>25</v>
      </c>
      <c r="N2" s="4" t="s">
        <v>20</v>
      </c>
      <c r="O2" s="4" t="s">
        <v>21</v>
      </c>
      <c r="P2" s="2" t="s">
        <v>22</v>
      </c>
      <c r="Q2" s="1" t="s">
        <v>25</v>
      </c>
      <c r="R2" s="4" t="s">
        <v>20</v>
      </c>
      <c r="S2" s="4" t="s">
        <v>21</v>
      </c>
      <c r="T2" s="2" t="s">
        <v>22</v>
      </c>
      <c r="U2" s="1" t="s">
        <v>25</v>
      </c>
      <c r="V2" s="4" t="s">
        <v>20</v>
      </c>
      <c r="W2" s="4" t="s">
        <v>21</v>
      </c>
      <c r="X2" s="2" t="s">
        <v>22</v>
      </c>
      <c r="Y2" s="1" t="s">
        <v>25</v>
      </c>
      <c r="Z2" s="4" t="s">
        <v>20</v>
      </c>
      <c r="AA2" s="4" t="s">
        <v>21</v>
      </c>
      <c r="AB2" s="2" t="s">
        <v>22</v>
      </c>
      <c r="AC2" s="1" t="s">
        <v>25</v>
      </c>
      <c r="AD2" s="4" t="s">
        <v>20</v>
      </c>
      <c r="AE2" s="4" t="s">
        <v>21</v>
      </c>
      <c r="AF2" s="2" t="s">
        <v>22</v>
      </c>
      <c r="AG2" s="1" t="s">
        <v>25</v>
      </c>
      <c r="AH2" s="4" t="s">
        <v>20</v>
      </c>
      <c r="AI2" s="4" t="s">
        <v>21</v>
      </c>
      <c r="AJ2" s="2" t="s">
        <v>22</v>
      </c>
      <c r="AK2" s="1" t="s">
        <v>25</v>
      </c>
      <c r="AL2" s="4" t="s">
        <v>20</v>
      </c>
      <c r="AM2" s="4" t="s">
        <v>21</v>
      </c>
      <c r="AN2" s="2" t="s">
        <v>22</v>
      </c>
      <c r="AO2" s="1" t="s">
        <v>25</v>
      </c>
      <c r="AP2" s="4" t="s">
        <v>20</v>
      </c>
      <c r="AQ2" s="4" t="s">
        <v>21</v>
      </c>
      <c r="AR2" s="2" t="s">
        <v>22</v>
      </c>
      <c r="AS2" s="1" t="s">
        <v>25</v>
      </c>
      <c r="AT2" s="4" t="s">
        <v>20</v>
      </c>
      <c r="AU2" s="4" t="s">
        <v>21</v>
      </c>
      <c r="AV2" s="2" t="s">
        <v>22</v>
      </c>
      <c r="AW2" s="1" t="s">
        <v>25</v>
      </c>
      <c r="AX2" s="4" t="s">
        <v>20</v>
      </c>
      <c r="AY2" s="4" t="s">
        <v>21</v>
      </c>
      <c r="AZ2" s="122" t="s">
        <v>22</v>
      </c>
      <c r="BA2" s="121" t="s">
        <v>25</v>
      </c>
      <c r="BB2" s="3" t="s">
        <v>20</v>
      </c>
      <c r="BC2" s="3" t="s">
        <v>21</v>
      </c>
      <c r="BD2" s="122" t="s">
        <v>22</v>
      </c>
      <c r="BE2" s="6" t="s">
        <v>25</v>
      </c>
      <c r="BF2" s="4" t="s">
        <v>20</v>
      </c>
      <c r="BG2" s="4" t="s">
        <v>21</v>
      </c>
      <c r="BH2" s="2" t="s">
        <v>22</v>
      </c>
      <c r="BI2" s="1" t="s">
        <v>25</v>
      </c>
      <c r="BJ2" s="4" t="s">
        <v>20</v>
      </c>
      <c r="BK2" s="4" t="s">
        <v>21</v>
      </c>
      <c r="BL2" s="2" t="s">
        <v>22</v>
      </c>
      <c r="BM2" s="1" t="s">
        <v>25</v>
      </c>
      <c r="BN2" s="4" t="s">
        <v>20</v>
      </c>
      <c r="BO2" s="4" t="s">
        <v>21</v>
      </c>
      <c r="BP2" s="2" t="s">
        <v>22</v>
      </c>
      <c r="BQ2" s="1" t="s">
        <v>25</v>
      </c>
      <c r="BR2" s="4" t="s">
        <v>20</v>
      </c>
      <c r="BS2" s="4" t="s">
        <v>21</v>
      </c>
      <c r="BT2" s="2" t="s">
        <v>22</v>
      </c>
      <c r="BU2" s="155"/>
      <c r="BV2" s="150"/>
      <c r="BW2" s="150"/>
      <c r="BX2" s="150"/>
      <c r="BY2" s="150"/>
      <c r="BZ2" s="152"/>
      <c r="CC2" s="146"/>
      <c r="CD2" s="146"/>
      <c r="CE2" s="146"/>
      <c r="CF2" s="146"/>
    </row>
    <row r="3" spans="1:84" ht="15" thickTop="1" x14ac:dyDescent="0.35">
      <c r="A3" s="49" t="s">
        <v>48</v>
      </c>
      <c r="B3" s="147" t="s">
        <v>53</v>
      </c>
      <c r="C3" s="147" t="s">
        <v>56</v>
      </c>
      <c r="D3" s="7" t="s">
        <v>26</v>
      </c>
      <c r="E3" s="8">
        <v>3</v>
      </c>
      <c r="F3" s="9">
        <v>3</v>
      </c>
      <c r="G3" s="9">
        <f t="shared" ref="G3:G34" si="0">E3-F3</f>
        <v>0</v>
      </c>
      <c r="H3" s="7">
        <v>0</v>
      </c>
      <c r="I3" s="10">
        <v>3</v>
      </c>
      <c r="J3" s="9">
        <v>3</v>
      </c>
      <c r="K3" s="9">
        <f t="shared" ref="K3:K13" si="1">I3-J3</f>
        <v>0</v>
      </c>
      <c r="L3" s="7">
        <v>0</v>
      </c>
      <c r="M3" s="10">
        <v>6</v>
      </c>
      <c r="N3" s="9">
        <v>0</v>
      </c>
      <c r="O3" s="9">
        <f t="shared" ref="O3:O13" si="2">M3-N3</f>
        <v>6</v>
      </c>
      <c r="P3" s="7">
        <v>0</v>
      </c>
      <c r="Q3" s="10">
        <v>4</v>
      </c>
      <c r="R3" s="9">
        <v>4</v>
      </c>
      <c r="S3" s="9">
        <f t="shared" ref="S3:S34" si="3">Q3-R3</f>
        <v>0</v>
      </c>
      <c r="T3" s="7">
        <v>0</v>
      </c>
      <c r="U3" s="10">
        <v>4</v>
      </c>
      <c r="V3" s="9">
        <v>4</v>
      </c>
      <c r="W3" s="9">
        <f t="shared" ref="W3:W13" si="4">U3-V3</f>
        <v>0</v>
      </c>
      <c r="X3" s="7">
        <v>0</v>
      </c>
      <c r="Y3" s="10">
        <v>3</v>
      </c>
      <c r="Z3" s="9">
        <v>3</v>
      </c>
      <c r="AA3" s="9">
        <f t="shared" ref="AA3:AA15" si="5">Y3-Z3</f>
        <v>0</v>
      </c>
      <c r="AB3" s="7">
        <v>0</v>
      </c>
      <c r="AC3" s="10">
        <v>0</v>
      </c>
      <c r="AD3" s="9">
        <v>0</v>
      </c>
      <c r="AE3" s="9">
        <f t="shared" ref="AE3:AE29" si="6">AC3-AD3</f>
        <v>0</v>
      </c>
      <c r="AF3" s="7">
        <v>0</v>
      </c>
      <c r="AG3" s="10">
        <v>3</v>
      </c>
      <c r="AH3" s="9">
        <v>3</v>
      </c>
      <c r="AI3" s="9">
        <f t="shared" ref="AI3:AI34" si="7">AG3-AH3</f>
        <v>0</v>
      </c>
      <c r="AJ3" s="7">
        <v>0</v>
      </c>
      <c r="AK3" s="10">
        <v>2</v>
      </c>
      <c r="AL3" s="9">
        <v>2</v>
      </c>
      <c r="AM3" s="9">
        <f t="shared" ref="AM3:AM34" si="8">AK3-AL3</f>
        <v>0</v>
      </c>
      <c r="AN3" s="7">
        <v>0</v>
      </c>
      <c r="AO3" s="10">
        <v>0</v>
      </c>
      <c r="AP3" s="9">
        <v>0</v>
      </c>
      <c r="AQ3" s="9">
        <f t="shared" ref="AQ3:AQ34" si="9">AO3-AP3</f>
        <v>0</v>
      </c>
      <c r="AR3" s="7">
        <v>0</v>
      </c>
      <c r="AS3" s="10">
        <v>0</v>
      </c>
      <c r="AT3" s="9">
        <v>0</v>
      </c>
      <c r="AU3" s="9">
        <f t="shared" ref="AU3:AU34" si="10">AS3-AT3</f>
        <v>0</v>
      </c>
      <c r="AV3" s="7">
        <v>0</v>
      </c>
      <c r="AW3" s="10">
        <v>0</v>
      </c>
      <c r="AX3" s="9">
        <v>0</v>
      </c>
      <c r="AY3" s="9">
        <f t="shared" ref="AY3:AY34" si="11">AW3-AX3</f>
        <v>0</v>
      </c>
      <c r="AZ3" s="7">
        <v>0</v>
      </c>
      <c r="BA3" s="8">
        <v>2</v>
      </c>
      <c r="BB3" s="124">
        <v>2</v>
      </c>
      <c r="BC3" s="124">
        <f t="shared" ref="BC3:BC34" si="12">BA3-BB3</f>
        <v>0</v>
      </c>
      <c r="BD3" s="123">
        <v>0</v>
      </c>
      <c r="BE3" s="8">
        <v>0</v>
      </c>
      <c r="BF3" s="9">
        <v>0</v>
      </c>
      <c r="BG3" s="9">
        <f t="shared" ref="BG3:BG34" si="13">BE3-BF3</f>
        <v>0</v>
      </c>
      <c r="BH3" s="7">
        <v>0</v>
      </c>
      <c r="BI3" s="10">
        <v>0</v>
      </c>
      <c r="BJ3" s="9">
        <v>0</v>
      </c>
      <c r="BK3" s="9">
        <f t="shared" ref="BK3:BK34" si="14">BI3-BJ3</f>
        <v>0</v>
      </c>
      <c r="BL3" s="7">
        <v>0</v>
      </c>
      <c r="BM3" s="10">
        <v>0</v>
      </c>
      <c r="BN3" s="9">
        <v>0</v>
      </c>
      <c r="BO3" s="9">
        <f t="shared" ref="BO3:BO34" si="15">BM3-BN3</f>
        <v>0</v>
      </c>
      <c r="BP3" s="7">
        <v>0</v>
      </c>
      <c r="BQ3" s="10">
        <v>0</v>
      </c>
      <c r="BR3" s="9">
        <v>0</v>
      </c>
      <c r="BS3" s="9">
        <f t="shared" ref="BS3:BS34" si="16">BQ3-BR3</f>
        <v>0</v>
      </c>
      <c r="BT3" s="7">
        <v>0</v>
      </c>
      <c r="BU3" s="10">
        <f t="shared" ref="BU3:BU34" si="17">SUM(F3,J3,N3,R3,V3,Z3,AD3,AH3,AL3,AP3,AT3,AX3,BF3,BJ3,BN3,BR3,BB3)</f>
        <v>24</v>
      </c>
      <c r="BV3" s="9">
        <f t="shared" ref="BV3:BV34" si="18">SUM(BS3,BO3,BK3,BG3,AY3,AU3,AQ3,AM3,AI3,AE3,AA3,W3,S3,O3,K3,G3,BC3)</f>
        <v>6</v>
      </c>
      <c r="BW3" s="124">
        <f t="shared" ref="BW3:BW34" si="19">SUM(BT3,BP3,BL3,BH3,AZ3,AV3,AR3,AN3,AJ3,AF3,AB3,X3,T3,P3,L3,H3, BD3)</f>
        <v>0</v>
      </c>
      <c r="BX3" s="9">
        <f t="shared" ref="BX3:BX34" si="20">BU3/(BU3+BV3)</f>
        <v>0.8</v>
      </c>
      <c r="BY3" s="9">
        <f t="shared" ref="BY3:BY34" si="21">BU3/(BU3+BW3)</f>
        <v>1</v>
      </c>
      <c r="BZ3" s="7">
        <f t="shared" ref="BZ3:BZ34" si="22">2*(BY3*BX3)/(BY3+BX3)</f>
        <v>0.88888888888888895</v>
      </c>
      <c r="CC3" s="133" t="s">
        <v>75</v>
      </c>
      <c r="CD3">
        <f>AVERAGE(BX3:BX4)</f>
        <v>0.78333333333333344</v>
      </c>
      <c r="CE3">
        <f t="shared" ref="CE3:CF3" si="23">AVERAGE(BY3:BY4)</f>
        <v>1</v>
      </c>
      <c r="CF3">
        <f t="shared" si="23"/>
        <v>0.87840670859538794</v>
      </c>
    </row>
    <row r="4" spans="1:84" x14ac:dyDescent="0.35">
      <c r="A4" s="49" t="s">
        <v>48</v>
      </c>
      <c r="B4" s="148"/>
      <c r="C4" s="148"/>
      <c r="D4" s="123" t="s">
        <v>60</v>
      </c>
      <c r="E4" s="8">
        <v>3</v>
      </c>
      <c r="F4" s="124">
        <v>3</v>
      </c>
      <c r="G4" s="124">
        <f t="shared" si="0"/>
        <v>0</v>
      </c>
      <c r="H4" s="123">
        <v>0</v>
      </c>
      <c r="I4" s="8">
        <v>3</v>
      </c>
      <c r="J4" s="124">
        <v>2</v>
      </c>
      <c r="K4" s="124">
        <f t="shared" si="1"/>
        <v>1</v>
      </c>
      <c r="L4" s="123">
        <v>0</v>
      </c>
      <c r="M4" s="8">
        <v>6</v>
      </c>
      <c r="N4" s="124">
        <v>0</v>
      </c>
      <c r="O4" s="124">
        <f t="shared" si="2"/>
        <v>6</v>
      </c>
      <c r="P4" s="123">
        <v>0</v>
      </c>
      <c r="Q4" s="8">
        <v>4</v>
      </c>
      <c r="R4" s="124">
        <v>4</v>
      </c>
      <c r="S4" s="124">
        <f t="shared" si="3"/>
        <v>0</v>
      </c>
      <c r="T4" s="123">
        <v>0</v>
      </c>
      <c r="U4" s="8">
        <v>4</v>
      </c>
      <c r="V4" s="124">
        <v>4</v>
      </c>
      <c r="W4" s="124">
        <f t="shared" si="4"/>
        <v>0</v>
      </c>
      <c r="X4" s="123">
        <v>0</v>
      </c>
      <c r="Y4" s="8">
        <v>3</v>
      </c>
      <c r="Z4" s="124">
        <v>3</v>
      </c>
      <c r="AA4" s="124">
        <f t="shared" si="5"/>
        <v>0</v>
      </c>
      <c r="AB4" s="123">
        <v>0</v>
      </c>
      <c r="AC4" s="8">
        <v>0</v>
      </c>
      <c r="AD4" s="124">
        <v>0</v>
      </c>
      <c r="AE4" s="124">
        <f t="shared" si="6"/>
        <v>0</v>
      </c>
      <c r="AF4" s="123">
        <v>0</v>
      </c>
      <c r="AG4" s="8">
        <v>3</v>
      </c>
      <c r="AH4" s="124">
        <v>3</v>
      </c>
      <c r="AI4" s="124">
        <f t="shared" si="7"/>
        <v>0</v>
      </c>
      <c r="AJ4" s="123">
        <v>0</v>
      </c>
      <c r="AK4" s="8">
        <v>2</v>
      </c>
      <c r="AL4" s="124">
        <v>2</v>
      </c>
      <c r="AM4" s="124">
        <f t="shared" si="8"/>
        <v>0</v>
      </c>
      <c r="AN4" s="123">
        <v>0</v>
      </c>
      <c r="AO4" s="8">
        <v>0</v>
      </c>
      <c r="AP4" s="124">
        <v>0</v>
      </c>
      <c r="AQ4" s="124">
        <f t="shared" si="9"/>
        <v>0</v>
      </c>
      <c r="AR4" s="123">
        <v>0</v>
      </c>
      <c r="AS4" s="8">
        <v>0</v>
      </c>
      <c r="AT4" s="124">
        <v>0</v>
      </c>
      <c r="AU4" s="124">
        <f t="shared" si="10"/>
        <v>0</v>
      </c>
      <c r="AV4" s="123">
        <v>0</v>
      </c>
      <c r="AW4" s="8">
        <v>0</v>
      </c>
      <c r="AX4" s="124">
        <v>0</v>
      </c>
      <c r="AY4" s="124">
        <f t="shared" si="11"/>
        <v>0</v>
      </c>
      <c r="AZ4" s="123">
        <v>0</v>
      </c>
      <c r="BA4" s="8">
        <v>2</v>
      </c>
      <c r="BB4" s="124">
        <v>2</v>
      </c>
      <c r="BC4" s="124">
        <f t="shared" si="12"/>
        <v>0</v>
      </c>
      <c r="BD4" s="123">
        <v>0</v>
      </c>
      <c r="BE4" s="8">
        <v>0</v>
      </c>
      <c r="BF4" s="124">
        <v>0</v>
      </c>
      <c r="BG4" s="124">
        <f t="shared" si="13"/>
        <v>0</v>
      </c>
      <c r="BH4" s="123">
        <v>0</v>
      </c>
      <c r="BI4" s="8">
        <v>0</v>
      </c>
      <c r="BJ4" s="124">
        <v>0</v>
      </c>
      <c r="BK4" s="124">
        <f t="shared" si="14"/>
        <v>0</v>
      </c>
      <c r="BL4" s="123">
        <v>0</v>
      </c>
      <c r="BM4" s="8">
        <v>0</v>
      </c>
      <c r="BN4" s="124">
        <v>0</v>
      </c>
      <c r="BO4" s="124">
        <f t="shared" si="15"/>
        <v>0</v>
      </c>
      <c r="BP4" s="123">
        <v>0</v>
      </c>
      <c r="BQ4" s="8">
        <v>0</v>
      </c>
      <c r="BR4" s="124">
        <v>0</v>
      </c>
      <c r="BS4" s="124">
        <f t="shared" si="16"/>
        <v>0</v>
      </c>
      <c r="BT4" s="123">
        <v>0</v>
      </c>
      <c r="BU4" s="8">
        <f t="shared" si="17"/>
        <v>23</v>
      </c>
      <c r="BV4" s="124">
        <f t="shared" si="18"/>
        <v>7</v>
      </c>
      <c r="BW4" s="124">
        <f t="shared" si="19"/>
        <v>0</v>
      </c>
      <c r="BX4" s="124">
        <f t="shared" si="20"/>
        <v>0.76666666666666672</v>
      </c>
      <c r="BY4" s="124">
        <f t="shared" si="21"/>
        <v>1</v>
      </c>
      <c r="BZ4" s="123">
        <f t="shared" si="22"/>
        <v>0.86792452830188693</v>
      </c>
      <c r="CC4" s="133" t="s">
        <v>76</v>
      </c>
      <c r="CD4">
        <f>AVERAGE(BX5:BX6)</f>
        <v>0.8</v>
      </c>
      <c r="CE4">
        <f t="shared" ref="CE4:CF4" si="24">AVERAGE(BY5:BY6)</f>
        <v>0.64102564102564097</v>
      </c>
      <c r="CF4">
        <f t="shared" si="24"/>
        <v>0.71146245059288526</v>
      </c>
    </row>
    <row r="5" spans="1:84" x14ac:dyDescent="0.35">
      <c r="A5" s="50" t="s">
        <v>48</v>
      </c>
      <c r="B5" s="148"/>
      <c r="C5" s="148"/>
      <c r="D5" s="11" t="s">
        <v>27</v>
      </c>
      <c r="E5" s="12">
        <v>2</v>
      </c>
      <c r="F5" s="13">
        <v>2</v>
      </c>
      <c r="G5" s="13">
        <f t="shared" si="0"/>
        <v>0</v>
      </c>
      <c r="H5" s="11">
        <v>0</v>
      </c>
      <c r="I5" s="12">
        <v>2</v>
      </c>
      <c r="J5" s="13">
        <v>2</v>
      </c>
      <c r="K5" s="13">
        <f t="shared" si="1"/>
        <v>0</v>
      </c>
      <c r="L5" s="11">
        <v>0</v>
      </c>
      <c r="M5" s="12">
        <v>0</v>
      </c>
      <c r="N5" s="13">
        <v>0</v>
      </c>
      <c r="O5" s="13">
        <f t="shared" si="2"/>
        <v>0</v>
      </c>
      <c r="P5" s="11">
        <v>0</v>
      </c>
      <c r="Q5" s="12">
        <v>0</v>
      </c>
      <c r="R5" s="13">
        <v>0</v>
      </c>
      <c r="S5" s="13">
        <f t="shared" si="3"/>
        <v>0</v>
      </c>
      <c r="T5" s="11">
        <v>1</v>
      </c>
      <c r="U5" s="12">
        <v>0</v>
      </c>
      <c r="V5" s="13">
        <v>0</v>
      </c>
      <c r="W5" s="13">
        <f t="shared" si="4"/>
        <v>0</v>
      </c>
      <c r="X5" s="11">
        <v>0</v>
      </c>
      <c r="Y5" s="12">
        <v>2</v>
      </c>
      <c r="Z5" s="13">
        <v>2</v>
      </c>
      <c r="AA5" s="13">
        <f t="shared" si="5"/>
        <v>0</v>
      </c>
      <c r="AB5" s="11">
        <v>0</v>
      </c>
      <c r="AC5" s="12">
        <v>0</v>
      </c>
      <c r="AD5" s="13">
        <v>0</v>
      </c>
      <c r="AE5" s="13">
        <f t="shared" si="6"/>
        <v>0</v>
      </c>
      <c r="AF5" s="11">
        <v>0</v>
      </c>
      <c r="AG5" s="12">
        <v>2</v>
      </c>
      <c r="AH5" s="13">
        <v>2</v>
      </c>
      <c r="AI5" s="13">
        <f t="shared" si="7"/>
        <v>0</v>
      </c>
      <c r="AJ5" s="11">
        <v>0</v>
      </c>
      <c r="AK5" s="12">
        <v>0</v>
      </c>
      <c r="AL5" s="13">
        <v>0</v>
      </c>
      <c r="AM5" s="13">
        <f t="shared" si="8"/>
        <v>0</v>
      </c>
      <c r="AN5" s="11">
        <v>1</v>
      </c>
      <c r="AO5" s="12">
        <v>0</v>
      </c>
      <c r="AP5" s="13">
        <v>0</v>
      </c>
      <c r="AQ5" s="13">
        <f t="shared" si="9"/>
        <v>0</v>
      </c>
      <c r="AR5" s="11">
        <v>1</v>
      </c>
      <c r="AS5" s="12">
        <v>0</v>
      </c>
      <c r="AT5" s="13">
        <v>0</v>
      </c>
      <c r="AU5" s="13">
        <f t="shared" si="10"/>
        <v>0</v>
      </c>
      <c r="AV5" s="11">
        <v>0</v>
      </c>
      <c r="AW5" s="12">
        <v>1</v>
      </c>
      <c r="AX5" s="13">
        <v>0</v>
      </c>
      <c r="AY5" s="13">
        <f t="shared" si="11"/>
        <v>1</v>
      </c>
      <c r="AZ5" s="11">
        <v>1</v>
      </c>
      <c r="BA5" s="12">
        <v>1</v>
      </c>
      <c r="BB5" s="13">
        <v>0</v>
      </c>
      <c r="BC5" s="13">
        <f t="shared" si="12"/>
        <v>1</v>
      </c>
      <c r="BD5" s="11">
        <v>1</v>
      </c>
      <c r="BE5" s="12">
        <v>0</v>
      </c>
      <c r="BF5" s="13">
        <v>0</v>
      </c>
      <c r="BG5" s="13">
        <f t="shared" si="13"/>
        <v>0</v>
      </c>
      <c r="BH5" s="11">
        <v>0</v>
      </c>
      <c r="BI5" s="12">
        <v>0</v>
      </c>
      <c r="BJ5" s="13">
        <v>0</v>
      </c>
      <c r="BK5" s="13">
        <f t="shared" si="14"/>
        <v>0</v>
      </c>
      <c r="BL5" s="11">
        <v>0</v>
      </c>
      <c r="BM5" s="12">
        <v>0</v>
      </c>
      <c r="BN5" s="13">
        <v>0</v>
      </c>
      <c r="BO5" s="13">
        <f t="shared" si="15"/>
        <v>0</v>
      </c>
      <c r="BP5" s="11">
        <v>0</v>
      </c>
      <c r="BQ5" s="12">
        <v>0</v>
      </c>
      <c r="BR5" s="13">
        <v>0</v>
      </c>
      <c r="BS5" s="13">
        <f t="shared" si="16"/>
        <v>0</v>
      </c>
      <c r="BT5" s="11">
        <v>0</v>
      </c>
      <c r="BU5" s="12">
        <f t="shared" si="17"/>
        <v>8</v>
      </c>
      <c r="BV5" s="13">
        <f t="shared" si="18"/>
        <v>2</v>
      </c>
      <c r="BW5" s="13">
        <f t="shared" si="19"/>
        <v>5</v>
      </c>
      <c r="BX5" s="13">
        <f t="shared" si="20"/>
        <v>0.8</v>
      </c>
      <c r="BY5" s="13">
        <f t="shared" si="21"/>
        <v>0.61538461538461542</v>
      </c>
      <c r="BZ5" s="11">
        <f t="shared" si="22"/>
        <v>0.69565217391304346</v>
      </c>
      <c r="CC5" s="133" t="s">
        <v>77</v>
      </c>
      <c r="CD5">
        <f>AVERAGE(BX7:BX8)</f>
        <v>0.84375</v>
      </c>
      <c r="CE5">
        <f t="shared" ref="CE5:CF5" si="25">AVERAGE(BY7:BY8)</f>
        <v>0.93095238095238098</v>
      </c>
      <c r="CF5">
        <f t="shared" si="25"/>
        <v>0.88494623655913973</v>
      </c>
    </row>
    <row r="6" spans="1:84" x14ac:dyDescent="0.35">
      <c r="A6" s="50" t="s">
        <v>48</v>
      </c>
      <c r="B6" s="148"/>
      <c r="C6" s="148"/>
      <c r="D6" s="11" t="s">
        <v>61</v>
      </c>
      <c r="E6" s="12">
        <v>2</v>
      </c>
      <c r="F6" s="13">
        <v>2</v>
      </c>
      <c r="G6" s="13">
        <f t="shared" si="0"/>
        <v>0</v>
      </c>
      <c r="H6" s="11">
        <v>0</v>
      </c>
      <c r="I6" s="12">
        <v>2</v>
      </c>
      <c r="J6" s="13">
        <v>2</v>
      </c>
      <c r="K6" s="13">
        <f t="shared" si="1"/>
        <v>0</v>
      </c>
      <c r="L6" s="11">
        <v>0</v>
      </c>
      <c r="M6" s="12">
        <v>0</v>
      </c>
      <c r="N6" s="13">
        <v>0</v>
      </c>
      <c r="O6" s="13">
        <f t="shared" si="2"/>
        <v>0</v>
      </c>
      <c r="P6" s="11">
        <v>0</v>
      </c>
      <c r="Q6" s="12">
        <v>0</v>
      </c>
      <c r="R6" s="13">
        <v>0</v>
      </c>
      <c r="S6" s="13">
        <f t="shared" si="3"/>
        <v>0</v>
      </c>
      <c r="T6" s="11">
        <v>1</v>
      </c>
      <c r="U6" s="12">
        <v>0</v>
      </c>
      <c r="V6" s="13">
        <v>0</v>
      </c>
      <c r="W6" s="13">
        <f t="shared" si="4"/>
        <v>0</v>
      </c>
      <c r="X6" s="11">
        <v>0</v>
      </c>
      <c r="Y6" s="12">
        <v>2</v>
      </c>
      <c r="Z6" s="13">
        <v>2</v>
      </c>
      <c r="AA6" s="13">
        <f t="shared" si="5"/>
        <v>0</v>
      </c>
      <c r="AB6" s="11">
        <v>0</v>
      </c>
      <c r="AC6" s="12">
        <v>0</v>
      </c>
      <c r="AD6" s="13">
        <v>0</v>
      </c>
      <c r="AE6" s="13">
        <f t="shared" si="6"/>
        <v>0</v>
      </c>
      <c r="AF6" s="11">
        <v>0</v>
      </c>
      <c r="AG6" s="12">
        <v>2</v>
      </c>
      <c r="AH6" s="13">
        <v>2</v>
      </c>
      <c r="AI6" s="13">
        <f t="shared" si="7"/>
        <v>0</v>
      </c>
      <c r="AJ6" s="11">
        <v>0</v>
      </c>
      <c r="AK6" s="12">
        <v>0</v>
      </c>
      <c r="AL6" s="13">
        <v>0</v>
      </c>
      <c r="AM6" s="13">
        <f t="shared" si="8"/>
        <v>0</v>
      </c>
      <c r="AN6" s="11">
        <v>0</v>
      </c>
      <c r="AO6" s="12">
        <v>0</v>
      </c>
      <c r="AP6" s="13">
        <v>0</v>
      </c>
      <c r="AQ6" s="13">
        <f t="shared" si="9"/>
        <v>0</v>
      </c>
      <c r="AR6" s="11">
        <v>1</v>
      </c>
      <c r="AS6" s="12">
        <v>0</v>
      </c>
      <c r="AT6" s="13">
        <v>0</v>
      </c>
      <c r="AU6" s="13">
        <f t="shared" si="10"/>
        <v>0</v>
      </c>
      <c r="AV6" s="11">
        <v>0</v>
      </c>
      <c r="AW6" s="12">
        <v>1</v>
      </c>
      <c r="AX6" s="13">
        <v>0</v>
      </c>
      <c r="AY6" s="13">
        <f t="shared" si="11"/>
        <v>1</v>
      </c>
      <c r="AZ6" s="11">
        <v>1</v>
      </c>
      <c r="BA6" s="12">
        <v>1</v>
      </c>
      <c r="BB6" s="13">
        <v>0</v>
      </c>
      <c r="BC6" s="13">
        <f t="shared" si="12"/>
        <v>1</v>
      </c>
      <c r="BD6" s="11">
        <v>1</v>
      </c>
      <c r="BE6" s="12">
        <v>0</v>
      </c>
      <c r="BF6" s="13">
        <v>0</v>
      </c>
      <c r="BG6" s="13">
        <f t="shared" si="13"/>
        <v>0</v>
      </c>
      <c r="BH6" s="11">
        <v>0</v>
      </c>
      <c r="BI6" s="12">
        <v>0</v>
      </c>
      <c r="BJ6" s="13">
        <v>0</v>
      </c>
      <c r="BK6" s="13">
        <f t="shared" si="14"/>
        <v>0</v>
      </c>
      <c r="BL6" s="11">
        <v>0</v>
      </c>
      <c r="BM6" s="12">
        <v>0</v>
      </c>
      <c r="BN6" s="13">
        <v>0</v>
      </c>
      <c r="BO6" s="13">
        <f t="shared" si="15"/>
        <v>0</v>
      </c>
      <c r="BP6" s="11">
        <v>0</v>
      </c>
      <c r="BQ6" s="12">
        <v>0</v>
      </c>
      <c r="BR6" s="13">
        <v>0</v>
      </c>
      <c r="BS6" s="13">
        <f t="shared" si="16"/>
        <v>0</v>
      </c>
      <c r="BT6" s="11">
        <v>0</v>
      </c>
      <c r="BU6" s="12">
        <f t="shared" si="17"/>
        <v>8</v>
      </c>
      <c r="BV6" s="13">
        <f t="shared" si="18"/>
        <v>2</v>
      </c>
      <c r="BW6" s="13">
        <f t="shared" si="19"/>
        <v>4</v>
      </c>
      <c r="BX6" s="13">
        <f t="shared" si="20"/>
        <v>0.8</v>
      </c>
      <c r="BY6" s="13">
        <f t="shared" si="21"/>
        <v>0.66666666666666663</v>
      </c>
      <c r="BZ6" s="11">
        <f t="shared" si="22"/>
        <v>0.72727272727272718</v>
      </c>
      <c r="CC6" s="133" t="s">
        <v>78</v>
      </c>
      <c r="CD6">
        <f>AVERAGE(BX9:BX10)</f>
        <v>0.66666666666666663</v>
      </c>
      <c r="CE6">
        <f t="shared" ref="CE6:CF6" si="26">AVERAGE(BY9:BY10)</f>
        <v>0.80808080808080807</v>
      </c>
      <c r="CF6">
        <f t="shared" si="26"/>
        <v>0.72877846790890266</v>
      </c>
    </row>
    <row r="7" spans="1:84" x14ac:dyDescent="0.35">
      <c r="A7" s="51" t="s">
        <v>48</v>
      </c>
      <c r="B7" s="148"/>
      <c r="C7" s="148"/>
      <c r="D7" s="14" t="s">
        <v>28</v>
      </c>
      <c r="E7" s="15">
        <v>2</v>
      </c>
      <c r="F7" s="16">
        <v>2</v>
      </c>
      <c r="G7" s="16">
        <f t="shared" si="0"/>
        <v>0</v>
      </c>
      <c r="H7" s="14">
        <v>0</v>
      </c>
      <c r="I7" s="15">
        <v>1</v>
      </c>
      <c r="J7" s="16">
        <v>1</v>
      </c>
      <c r="K7" s="16">
        <f t="shared" si="1"/>
        <v>0</v>
      </c>
      <c r="L7" s="14">
        <v>0</v>
      </c>
      <c r="M7" s="15">
        <v>1</v>
      </c>
      <c r="N7" s="16">
        <v>1</v>
      </c>
      <c r="O7" s="16">
        <f t="shared" si="2"/>
        <v>0</v>
      </c>
      <c r="P7" s="14">
        <v>0</v>
      </c>
      <c r="Q7" s="15">
        <v>1</v>
      </c>
      <c r="R7" s="16">
        <v>1</v>
      </c>
      <c r="S7" s="16">
        <f t="shared" si="3"/>
        <v>0</v>
      </c>
      <c r="T7" s="14">
        <v>0</v>
      </c>
      <c r="U7" s="15">
        <v>1</v>
      </c>
      <c r="V7" s="16">
        <v>1</v>
      </c>
      <c r="W7" s="16">
        <f t="shared" si="4"/>
        <v>0</v>
      </c>
      <c r="X7" s="14">
        <v>0</v>
      </c>
      <c r="Y7" s="15">
        <v>3</v>
      </c>
      <c r="Z7" s="16">
        <v>3</v>
      </c>
      <c r="AA7" s="16">
        <f t="shared" si="5"/>
        <v>0</v>
      </c>
      <c r="AB7" s="14">
        <v>0</v>
      </c>
      <c r="AC7" s="15">
        <v>0</v>
      </c>
      <c r="AD7" s="16">
        <v>0</v>
      </c>
      <c r="AE7" s="16">
        <f t="shared" si="6"/>
        <v>0</v>
      </c>
      <c r="AF7" s="14">
        <v>0</v>
      </c>
      <c r="AG7" s="15">
        <v>3</v>
      </c>
      <c r="AH7" s="16">
        <v>3</v>
      </c>
      <c r="AI7" s="16">
        <f t="shared" si="7"/>
        <v>0</v>
      </c>
      <c r="AJ7" s="14">
        <v>0</v>
      </c>
      <c r="AK7" s="15">
        <v>0</v>
      </c>
      <c r="AL7" s="16">
        <v>0</v>
      </c>
      <c r="AM7" s="16">
        <f t="shared" si="8"/>
        <v>0</v>
      </c>
      <c r="AN7" s="14">
        <v>1</v>
      </c>
      <c r="AO7" s="15">
        <v>1</v>
      </c>
      <c r="AP7" s="16">
        <v>0</v>
      </c>
      <c r="AQ7" s="16">
        <f t="shared" si="9"/>
        <v>1</v>
      </c>
      <c r="AR7" s="14">
        <v>0</v>
      </c>
      <c r="AS7" s="15">
        <v>0</v>
      </c>
      <c r="AT7" s="16">
        <v>0</v>
      </c>
      <c r="AU7" s="16">
        <f t="shared" si="10"/>
        <v>0</v>
      </c>
      <c r="AV7" s="14">
        <v>0</v>
      </c>
      <c r="AW7" s="15">
        <v>0</v>
      </c>
      <c r="AX7" s="16">
        <v>0</v>
      </c>
      <c r="AY7" s="16">
        <f t="shared" si="11"/>
        <v>0</v>
      </c>
      <c r="AZ7" s="14">
        <v>0</v>
      </c>
      <c r="BA7" s="15">
        <v>1</v>
      </c>
      <c r="BB7" s="16">
        <v>1</v>
      </c>
      <c r="BC7" s="16">
        <f t="shared" si="12"/>
        <v>0</v>
      </c>
      <c r="BD7" s="14">
        <v>0</v>
      </c>
      <c r="BE7" s="15">
        <v>2</v>
      </c>
      <c r="BF7" s="16">
        <v>1</v>
      </c>
      <c r="BG7" s="16">
        <f t="shared" si="13"/>
        <v>1</v>
      </c>
      <c r="BH7" s="14">
        <v>0</v>
      </c>
      <c r="BI7" s="15">
        <v>0</v>
      </c>
      <c r="BJ7" s="16">
        <v>0</v>
      </c>
      <c r="BK7" s="16">
        <f t="shared" si="14"/>
        <v>0</v>
      </c>
      <c r="BL7" s="14">
        <v>0</v>
      </c>
      <c r="BM7" s="15">
        <v>0</v>
      </c>
      <c r="BN7" s="16">
        <v>0</v>
      </c>
      <c r="BO7" s="16">
        <f t="shared" si="15"/>
        <v>0</v>
      </c>
      <c r="BP7" s="14">
        <v>0</v>
      </c>
      <c r="BQ7" s="15">
        <v>0</v>
      </c>
      <c r="BR7" s="16">
        <v>0</v>
      </c>
      <c r="BS7" s="16">
        <f t="shared" si="16"/>
        <v>0</v>
      </c>
      <c r="BT7" s="14">
        <v>0</v>
      </c>
      <c r="BU7" s="15">
        <f t="shared" si="17"/>
        <v>14</v>
      </c>
      <c r="BV7" s="16">
        <f t="shared" si="18"/>
        <v>2</v>
      </c>
      <c r="BW7" s="16">
        <f t="shared" si="19"/>
        <v>1</v>
      </c>
      <c r="BX7" s="16">
        <f t="shared" si="20"/>
        <v>0.875</v>
      </c>
      <c r="BY7" s="16">
        <f t="shared" si="21"/>
        <v>0.93333333333333335</v>
      </c>
      <c r="BZ7" s="14">
        <f t="shared" si="22"/>
        <v>0.90322580645161288</v>
      </c>
      <c r="CC7" s="133" t="s">
        <v>79</v>
      </c>
      <c r="CD7">
        <f>AVERAGE(BX11:BX12)</f>
        <v>0.9285714285714286</v>
      </c>
      <c r="CE7">
        <f t="shared" ref="CE7:CF7" si="27">AVERAGE(BY11:BY12)</f>
        <v>0.97499999999999998</v>
      </c>
      <c r="CF7">
        <f t="shared" si="27"/>
        <v>0.95121951219512191</v>
      </c>
    </row>
    <row r="8" spans="1:84" x14ac:dyDescent="0.35">
      <c r="A8" s="51" t="s">
        <v>48</v>
      </c>
      <c r="B8" s="148"/>
      <c r="C8" s="148"/>
      <c r="D8" s="14" t="s">
        <v>62</v>
      </c>
      <c r="E8" s="15">
        <v>2</v>
      </c>
      <c r="F8" s="16">
        <v>2</v>
      </c>
      <c r="G8" s="16">
        <f t="shared" si="0"/>
        <v>0</v>
      </c>
      <c r="H8" s="14">
        <v>0</v>
      </c>
      <c r="I8" s="15">
        <v>1</v>
      </c>
      <c r="J8" s="16">
        <v>1</v>
      </c>
      <c r="K8" s="16">
        <f t="shared" si="1"/>
        <v>0</v>
      </c>
      <c r="L8" s="14">
        <v>0</v>
      </c>
      <c r="M8" s="15">
        <v>1</v>
      </c>
      <c r="N8" s="16">
        <v>1</v>
      </c>
      <c r="O8" s="16">
        <f t="shared" si="2"/>
        <v>0</v>
      </c>
      <c r="P8" s="14">
        <v>0</v>
      </c>
      <c r="Q8" s="15">
        <v>1</v>
      </c>
      <c r="R8" s="16">
        <v>1</v>
      </c>
      <c r="S8" s="16">
        <f t="shared" si="3"/>
        <v>0</v>
      </c>
      <c r="T8" s="14">
        <v>0</v>
      </c>
      <c r="U8" s="15">
        <v>1</v>
      </c>
      <c r="V8" s="16">
        <v>1</v>
      </c>
      <c r="W8" s="16">
        <f t="shared" si="4"/>
        <v>0</v>
      </c>
      <c r="X8" s="14">
        <v>0</v>
      </c>
      <c r="Y8" s="15">
        <v>3</v>
      </c>
      <c r="Z8" s="16">
        <v>3</v>
      </c>
      <c r="AA8" s="16">
        <f t="shared" si="5"/>
        <v>0</v>
      </c>
      <c r="AB8" s="14">
        <v>0</v>
      </c>
      <c r="AC8" s="15">
        <v>0</v>
      </c>
      <c r="AD8" s="16">
        <v>0</v>
      </c>
      <c r="AE8" s="16">
        <f t="shared" si="6"/>
        <v>0</v>
      </c>
      <c r="AF8" s="14">
        <v>0</v>
      </c>
      <c r="AG8" s="15">
        <v>3</v>
      </c>
      <c r="AH8" s="16">
        <v>3</v>
      </c>
      <c r="AI8" s="16">
        <f t="shared" si="7"/>
        <v>0</v>
      </c>
      <c r="AJ8" s="14">
        <v>0</v>
      </c>
      <c r="AK8" s="15">
        <v>0</v>
      </c>
      <c r="AL8" s="16">
        <v>0</v>
      </c>
      <c r="AM8" s="16">
        <f t="shared" si="8"/>
        <v>0</v>
      </c>
      <c r="AN8" s="14">
        <v>1</v>
      </c>
      <c r="AO8" s="15">
        <v>1</v>
      </c>
      <c r="AP8" s="16">
        <v>0</v>
      </c>
      <c r="AQ8" s="16">
        <f t="shared" si="9"/>
        <v>1</v>
      </c>
      <c r="AR8" s="14">
        <v>0</v>
      </c>
      <c r="AS8" s="15">
        <v>0</v>
      </c>
      <c r="AT8" s="16">
        <v>0</v>
      </c>
      <c r="AU8" s="16">
        <f t="shared" si="10"/>
        <v>0</v>
      </c>
      <c r="AV8" s="14">
        <v>0</v>
      </c>
      <c r="AW8" s="15">
        <v>0</v>
      </c>
      <c r="AX8" s="16">
        <v>0</v>
      </c>
      <c r="AY8" s="16">
        <f t="shared" si="11"/>
        <v>0</v>
      </c>
      <c r="AZ8" s="14">
        <v>0</v>
      </c>
      <c r="BA8" s="15">
        <v>1</v>
      </c>
      <c r="BB8" s="16">
        <v>1</v>
      </c>
      <c r="BC8" s="16">
        <f t="shared" si="12"/>
        <v>0</v>
      </c>
      <c r="BD8" s="14">
        <v>0</v>
      </c>
      <c r="BE8" s="15">
        <v>2</v>
      </c>
      <c r="BF8" s="16">
        <v>0</v>
      </c>
      <c r="BG8" s="16">
        <f t="shared" si="13"/>
        <v>2</v>
      </c>
      <c r="BH8" s="14">
        <v>0</v>
      </c>
      <c r="BI8" s="15">
        <v>0</v>
      </c>
      <c r="BJ8" s="16">
        <v>0</v>
      </c>
      <c r="BK8" s="16">
        <f t="shared" si="14"/>
        <v>0</v>
      </c>
      <c r="BL8" s="14">
        <v>0</v>
      </c>
      <c r="BM8" s="15">
        <v>0</v>
      </c>
      <c r="BN8" s="16">
        <v>0</v>
      </c>
      <c r="BO8" s="16">
        <f t="shared" si="15"/>
        <v>0</v>
      </c>
      <c r="BP8" s="14">
        <v>0</v>
      </c>
      <c r="BQ8" s="15">
        <v>0</v>
      </c>
      <c r="BR8" s="16">
        <v>0</v>
      </c>
      <c r="BS8" s="16">
        <f t="shared" si="16"/>
        <v>0</v>
      </c>
      <c r="BT8" s="14">
        <v>0</v>
      </c>
      <c r="BU8" s="15">
        <f t="shared" si="17"/>
        <v>13</v>
      </c>
      <c r="BV8" s="16">
        <f t="shared" si="18"/>
        <v>3</v>
      </c>
      <c r="BW8" s="16">
        <f t="shared" si="19"/>
        <v>1</v>
      </c>
      <c r="BX8" s="16">
        <f t="shared" si="20"/>
        <v>0.8125</v>
      </c>
      <c r="BY8" s="16">
        <f t="shared" si="21"/>
        <v>0.9285714285714286</v>
      </c>
      <c r="BZ8" s="14">
        <f t="shared" si="22"/>
        <v>0.86666666666666659</v>
      </c>
      <c r="CC8" s="133" t="s">
        <v>80</v>
      </c>
      <c r="CD8">
        <f>AVERAGE(BX13:BX14)</f>
        <v>1</v>
      </c>
      <c r="CE8">
        <f t="shared" ref="CE8:CF8" si="28">AVERAGE(BY13:BY14)</f>
        <v>1</v>
      </c>
      <c r="CF8">
        <f t="shared" si="28"/>
        <v>1</v>
      </c>
    </row>
    <row r="9" spans="1:84" x14ac:dyDescent="0.35">
      <c r="A9" s="52" t="s">
        <v>48</v>
      </c>
      <c r="B9" s="148"/>
      <c r="C9" s="148"/>
      <c r="D9" s="17" t="s">
        <v>29</v>
      </c>
      <c r="E9" s="18">
        <v>1</v>
      </c>
      <c r="F9" s="19">
        <v>1</v>
      </c>
      <c r="G9" s="19">
        <f t="shared" si="0"/>
        <v>0</v>
      </c>
      <c r="H9" s="17">
        <v>0</v>
      </c>
      <c r="I9" s="18">
        <v>0</v>
      </c>
      <c r="J9" s="19">
        <v>0</v>
      </c>
      <c r="K9" s="19">
        <f t="shared" si="1"/>
        <v>0</v>
      </c>
      <c r="L9" s="17">
        <v>0</v>
      </c>
      <c r="M9" s="18">
        <v>0</v>
      </c>
      <c r="N9" s="19">
        <v>0</v>
      </c>
      <c r="O9" s="19">
        <f t="shared" si="2"/>
        <v>0</v>
      </c>
      <c r="P9" s="17">
        <v>0</v>
      </c>
      <c r="Q9" s="18">
        <v>0</v>
      </c>
      <c r="R9" s="19">
        <v>0</v>
      </c>
      <c r="S9" s="19">
        <f t="shared" si="3"/>
        <v>0</v>
      </c>
      <c r="T9" s="17">
        <v>0</v>
      </c>
      <c r="U9" s="18">
        <v>0</v>
      </c>
      <c r="V9" s="19">
        <v>0</v>
      </c>
      <c r="W9" s="19">
        <f t="shared" si="4"/>
        <v>0</v>
      </c>
      <c r="X9" s="17">
        <v>0</v>
      </c>
      <c r="Y9" s="18">
        <v>3</v>
      </c>
      <c r="Z9" s="19">
        <v>3</v>
      </c>
      <c r="AA9" s="19">
        <f t="shared" si="5"/>
        <v>0</v>
      </c>
      <c r="AB9" s="17">
        <v>0</v>
      </c>
      <c r="AC9" s="18">
        <v>4</v>
      </c>
      <c r="AD9" s="19">
        <v>0</v>
      </c>
      <c r="AE9" s="19">
        <f t="shared" si="6"/>
        <v>4</v>
      </c>
      <c r="AF9" s="17">
        <v>0</v>
      </c>
      <c r="AG9" s="18">
        <v>3</v>
      </c>
      <c r="AH9" s="19">
        <v>3</v>
      </c>
      <c r="AI9" s="19">
        <f t="shared" si="7"/>
        <v>0</v>
      </c>
      <c r="AJ9" s="17">
        <v>0</v>
      </c>
      <c r="AK9" s="18">
        <v>0</v>
      </c>
      <c r="AL9" s="19">
        <v>0</v>
      </c>
      <c r="AM9" s="19">
        <f t="shared" si="8"/>
        <v>0</v>
      </c>
      <c r="AN9" s="17">
        <v>0</v>
      </c>
      <c r="AO9" s="18">
        <v>0</v>
      </c>
      <c r="AP9" s="19">
        <v>0</v>
      </c>
      <c r="AQ9" s="19">
        <f t="shared" si="9"/>
        <v>0</v>
      </c>
      <c r="AR9" s="17">
        <v>0</v>
      </c>
      <c r="AS9" s="18">
        <v>0</v>
      </c>
      <c r="AT9" s="19">
        <v>0</v>
      </c>
      <c r="AU9" s="19">
        <f t="shared" si="10"/>
        <v>0</v>
      </c>
      <c r="AV9" s="17">
        <v>1</v>
      </c>
      <c r="AW9" s="18">
        <v>0</v>
      </c>
      <c r="AX9" s="19">
        <v>0</v>
      </c>
      <c r="AY9" s="19">
        <f t="shared" si="11"/>
        <v>0</v>
      </c>
      <c r="AZ9" s="17">
        <v>0</v>
      </c>
      <c r="BA9" s="18">
        <v>0</v>
      </c>
      <c r="BB9" s="19">
        <v>0</v>
      </c>
      <c r="BC9" s="19">
        <f t="shared" si="12"/>
        <v>0</v>
      </c>
      <c r="BD9" s="17">
        <v>0</v>
      </c>
      <c r="BE9" s="18">
        <v>0</v>
      </c>
      <c r="BF9" s="19">
        <v>0</v>
      </c>
      <c r="BG9" s="19">
        <f t="shared" si="13"/>
        <v>0</v>
      </c>
      <c r="BH9" s="17">
        <v>0</v>
      </c>
      <c r="BI9" s="18">
        <v>1</v>
      </c>
      <c r="BJ9" s="19">
        <v>1</v>
      </c>
      <c r="BK9" s="19">
        <f t="shared" si="14"/>
        <v>0</v>
      </c>
      <c r="BL9" s="17">
        <v>0</v>
      </c>
      <c r="BM9" s="18">
        <v>0</v>
      </c>
      <c r="BN9" s="19">
        <v>0</v>
      </c>
      <c r="BO9" s="19">
        <f t="shared" si="15"/>
        <v>0</v>
      </c>
      <c r="BP9" s="17">
        <v>0</v>
      </c>
      <c r="BQ9" s="18">
        <v>0</v>
      </c>
      <c r="BR9" s="19">
        <v>0</v>
      </c>
      <c r="BS9" s="19">
        <f t="shared" si="16"/>
        <v>0</v>
      </c>
      <c r="BT9" s="17">
        <v>0</v>
      </c>
      <c r="BU9" s="18">
        <f t="shared" si="17"/>
        <v>8</v>
      </c>
      <c r="BV9" s="19">
        <f t="shared" si="18"/>
        <v>4</v>
      </c>
      <c r="BW9" s="19">
        <f t="shared" si="19"/>
        <v>1</v>
      </c>
      <c r="BX9" s="19">
        <f t="shared" si="20"/>
        <v>0.66666666666666663</v>
      </c>
      <c r="BY9" s="19">
        <f t="shared" si="21"/>
        <v>0.88888888888888884</v>
      </c>
      <c r="BZ9" s="17">
        <f t="shared" si="22"/>
        <v>0.76190476190476197</v>
      </c>
      <c r="CC9" s="133" t="s">
        <v>81</v>
      </c>
      <c r="CD9">
        <f>AVERAGE(BX15:BX16)</f>
        <v>1</v>
      </c>
      <c r="CE9">
        <f t="shared" ref="CE9:CF9" si="29">AVERAGE(BY15:BY16)</f>
        <v>1</v>
      </c>
      <c r="CF9">
        <f t="shared" si="29"/>
        <v>1</v>
      </c>
    </row>
    <row r="10" spans="1:84" x14ac:dyDescent="0.35">
      <c r="A10" s="52" t="s">
        <v>48</v>
      </c>
      <c r="B10" s="148"/>
      <c r="C10" s="148"/>
      <c r="D10" s="17" t="s">
        <v>45</v>
      </c>
      <c r="E10" s="18">
        <v>1</v>
      </c>
      <c r="F10" s="19">
        <v>1</v>
      </c>
      <c r="G10" s="19">
        <f t="shared" si="0"/>
        <v>0</v>
      </c>
      <c r="H10" s="17">
        <v>0</v>
      </c>
      <c r="I10" s="18">
        <v>0</v>
      </c>
      <c r="J10" s="19">
        <v>0</v>
      </c>
      <c r="K10" s="19">
        <f t="shared" si="1"/>
        <v>0</v>
      </c>
      <c r="L10" s="17">
        <v>0</v>
      </c>
      <c r="M10" s="18">
        <v>0</v>
      </c>
      <c r="N10" s="19">
        <v>0</v>
      </c>
      <c r="O10" s="19">
        <f t="shared" si="2"/>
        <v>0</v>
      </c>
      <c r="P10" s="17">
        <v>0</v>
      </c>
      <c r="Q10" s="18">
        <v>0</v>
      </c>
      <c r="R10" s="19">
        <v>0</v>
      </c>
      <c r="S10" s="19">
        <f t="shared" si="3"/>
        <v>0</v>
      </c>
      <c r="T10" s="17">
        <v>0</v>
      </c>
      <c r="U10" s="18">
        <v>0</v>
      </c>
      <c r="V10" s="19">
        <v>0</v>
      </c>
      <c r="W10" s="19">
        <f t="shared" si="4"/>
        <v>0</v>
      </c>
      <c r="X10" s="17">
        <v>0</v>
      </c>
      <c r="Y10" s="18">
        <v>3</v>
      </c>
      <c r="Z10" s="19">
        <v>3</v>
      </c>
      <c r="AA10" s="19">
        <f t="shared" si="5"/>
        <v>0</v>
      </c>
      <c r="AB10" s="17">
        <v>0</v>
      </c>
      <c r="AC10" s="18">
        <v>4</v>
      </c>
      <c r="AD10" s="19">
        <v>0</v>
      </c>
      <c r="AE10" s="19">
        <f t="shared" si="6"/>
        <v>4</v>
      </c>
      <c r="AF10" s="17">
        <v>0</v>
      </c>
      <c r="AG10" s="18">
        <v>3</v>
      </c>
      <c r="AH10" s="19">
        <v>3</v>
      </c>
      <c r="AI10" s="19">
        <f t="shared" si="7"/>
        <v>0</v>
      </c>
      <c r="AJ10" s="17">
        <v>0</v>
      </c>
      <c r="AK10" s="18">
        <v>0</v>
      </c>
      <c r="AL10" s="19">
        <v>0</v>
      </c>
      <c r="AM10" s="19">
        <f t="shared" si="8"/>
        <v>0</v>
      </c>
      <c r="AN10" s="17">
        <v>0</v>
      </c>
      <c r="AO10" s="18">
        <v>0</v>
      </c>
      <c r="AP10" s="19">
        <v>0</v>
      </c>
      <c r="AQ10" s="19">
        <f t="shared" si="9"/>
        <v>0</v>
      </c>
      <c r="AR10" s="17">
        <v>0</v>
      </c>
      <c r="AS10" s="18">
        <v>0</v>
      </c>
      <c r="AT10" s="19">
        <v>0</v>
      </c>
      <c r="AU10" s="19">
        <f t="shared" si="10"/>
        <v>0</v>
      </c>
      <c r="AV10" s="17">
        <v>2</v>
      </c>
      <c r="AW10" s="18">
        <v>0</v>
      </c>
      <c r="AX10" s="19">
        <v>0</v>
      </c>
      <c r="AY10" s="19">
        <f t="shared" si="11"/>
        <v>0</v>
      </c>
      <c r="AZ10" s="17">
        <v>0</v>
      </c>
      <c r="BA10" s="18">
        <v>0</v>
      </c>
      <c r="BB10" s="19">
        <v>0</v>
      </c>
      <c r="BC10" s="19">
        <f t="shared" si="12"/>
        <v>0</v>
      </c>
      <c r="BD10" s="17">
        <v>1</v>
      </c>
      <c r="BE10" s="18">
        <v>0</v>
      </c>
      <c r="BF10" s="19">
        <v>0</v>
      </c>
      <c r="BG10" s="19">
        <f t="shared" si="13"/>
        <v>0</v>
      </c>
      <c r="BH10" s="17">
        <v>0</v>
      </c>
      <c r="BI10" s="18">
        <v>1</v>
      </c>
      <c r="BJ10" s="19">
        <v>1</v>
      </c>
      <c r="BK10" s="19">
        <f t="shared" si="14"/>
        <v>0</v>
      </c>
      <c r="BL10" s="17">
        <v>0</v>
      </c>
      <c r="BM10" s="18">
        <v>0</v>
      </c>
      <c r="BN10" s="19">
        <v>0</v>
      </c>
      <c r="BO10" s="19">
        <f t="shared" si="15"/>
        <v>0</v>
      </c>
      <c r="BP10" s="17">
        <v>0</v>
      </c>
      <c r="BQ10" s="18">
        <v>0</v>
      </c>
      <c r="BR10" s="19">
        <v>0</v>
      </c>
      <c r="BS10" s="19">
        <f t="shared" si="16"/>
        <v>0</v>
      </c>
      <c r="BT10" s="17">
        <v>0</v>
      </c>
      <c r="BU10" s="18">
        <f t="shared" si="17"/>
        <v>8</v>
      </c>
      <c r="BV10" s="19">
        <f t="shared" si="18"/>
        <v>4</v>
      </c>
      <c r="BW10" s="19">
        <f t="shared" si="19"/>
        <v>3</v>
      </c>
      <c r="BX10" s="19">
        <f t="shared" si="20"/>
        <v>0.66666666666666663</v>
      </c>
      <c r="BY10" s="19">
        <f t="shared" si="21"/>
        <v>0.72727272727272729</v>
      </c>
      <c r="BZ10" s="17">
        <f t="shared" si="22"/>
        <v>0.69565217391304346</v>
      </c>
      <c r="CC10" s="133" t="s">
        <v>82</v>
      </c>
      <c r="CD10">
        <f>AVERAGE(BX17:BX18)</f>
        <v>0.81818181818181823</v>
      </c>
      <c r="CE10">
        <f t="shared" ref="CE10:CF10" si="30">AVERAGE(BY17:BY18)</f>
        <v>0.78409090909090917</v>
      </c>
      <c r="CF10">
        <f t="shared" si="30"/>
        <v>0.80039525691699609</v>
      </c>
    </row>
    <row r="11" spans="1:84" x14ac:dyDescent="0.35">
      <c r="A11" s="53" t="s">
        <v>48</v>
      </c>
      <c r="B11" s="148"/>
      <c r="C11" s="148"/>
      <c r="D11" s="20" t="s">
        <v>30</v>
      </c>
      <c r="E11" s="21">
        <v>2</v>
      </c>
      <c r="F11" s="22">
        <v>2</v>
      </c>
      <c r="G11" s="22">
        <f t="shared" si="0"/>
        <v>0</v>
      </c>
      <c r="H11" s="20">
        <v>0</v>
      </c>
      <c r="I11" s="21">
        <v>1</v>
      </c>
      <c r="J11" s="22">
        <v>1</v>
      </c>
      <c r="K11" s="22">
        <f t="shared" si="1"/>
        <v>0</v>
      </c>
      <c r="L11" s="20">
        <v>0</v>
      </c>
      <c r="M11" s="21">
        <v>2</v>
      </c>
      <c r="N11" s="22">
        <v>2</v>
      </c>
      <c r="O11" s="22">
        <f t="shared" si="2"/>
        <v>0</v>
      </c>
      <c r="P11" s="20">
        <v>0</v>
      </c>
      <c r="Q11" s="21">
        <v>2</v>
      </c>
      <c r="R11" s="22">
        <v>2</v>
      </c>
      <c r="S11" s="22">
        <f t="shared" si="3"/>
        <v>0</v>
      </c>
      <c r="T11" s="20">
        <v>0</v>
      </c>
      <c r="U11" s="21">
        <v>2</v>
      </c>
      <c r="V11" s="22">
        <v>2</v>
      </c>
      <c r="W11" s="22">
        <f t="shared" si="4"/>
        <v>0</v>
      </c>
      <c r="X11" s="20">
        <v>0</v>
      </c>
      <c r="Y11" s="21">
        <v>4</v>
      </c>
      <c r="Z11" s="22">
        <v>4</v>
      </c>
      <c r="AA11" s="22">
        <f t="shared" si="5"/>
        <v>0</v>
      </c>
      <c r="AB11" s="20">
        <v>0</v>
      </c>
      <c r="AC11" s="21">
        <v>0</v>
      </c>
      <c r="AD11" s="22">
        <v>0</v>
      </c>
      <c r="AE11" s="22">
        <f t="shared" si="6"/>
        <v>0</v>
      </c>
      <c r="AF11" s="20">
        <v>0</v>
      </c>
      <c r="AG11" s="21">
        <v>4</v>
      </c>
      <c r="AH11" s="22">
        <v>4</v>
      </c>
      <c r="AI11" s="22">
        <f t="shared" si="7"/>
        <v>0</v>
      </c>
      <c r="AJ11" s="20">
        <v>0</v>
      </c>
      <c r="AK11" s="21">
        <v>1</v>
      </c>
      <c r="AL11" s="22">
        <v>1</v>
      </c>
      <c r="AM11" s="22">
        <f t="shared" si="8"/>
        <v>0</v>
      </c>
      <c r="AN11" s="20">
        <v>0</v>
      </c>
      <c r="AO11" s="21">
        <v>0</v>
      </c>
      <c r="AP11" s="22">
        <v>0</v>
      </c>
      <c r="AQ11" s="22">
        <f t="shared" si="9"/>
        <v>0</v>
      </c>
      <c r="AR11" s="20">
        <v>0</v>
      </c>
      <c r="AS11" s="21">
        <v>0</v>
      </c>
      <c r="AT11" s="22">
        <v>0</v>
      </c>
      <c r="AU11" s="22">
        <f t="shared" si="10"/>
        <v>0</v>
      </c>
      <c r="AV11" s="20">
        <v>0</v>
      </c>
      <c r="AW11" s="21">
        <v>0</v>
      </c>
      <c r="AX11" s="22">
        <v>0</v>
      </c>
      <c r="AY11" s="22">
        <f t="shared" si="11"/>
        <v>0</v>
      </c>
      <c r="AZ11" s="20">
        <v>0</v>
      </c>
      <c r="BA11" s="21">
        <v>1</v>
      </c>
      <c r="BB11" s="22">
        <v>1</v>
      </c>
      <c r="BC11" s="22">
        <f t="shared" si="12"/>
        <v>0</v>
      </c>
      <c r="BD11" s="20">
        <v>0</v>
      </c>
      <c r="BE11" s="21">
        <v>2</v>
      </c>
      <c r="BF11" s="22">
        <v>1</v>
      </c>
      <c r="BG11" s="22">
        <f t="shared" si="13"/>
        <v>1</v>
      </c>
      <c r="BH11" s="20">
        <v>0</v>
      </c>
      <c r="BI11" s="21">
        <v>0</v>
      </c>
      <c r="BJ11" s="22">
        <v>0</v>
      </c>
      <c r="BK11" s="22">
        <f t="shared" si="14"/>
        <v>0</v>
      </c>
      <c r="BL11" s="20">
        <v>0</v>
      </c>
      <c r="BM11" s="21">
        <v>0</v>
      </c>
      <c r="BN11" s="22">
        <v>0</v>
      </c>
      <c r="BO11" s="22">
        <f t="shared" si="15"/>
        <v>0</v>
      </c>
      <c r="BP11" s="20">
        <v>0</v>
      </c>
      <c r="BQ11" s="21">
        <v>0</v>
      </c>
      <c r="BR11" s="22">
        <v>0</v>
      </c>
      <c r="BS11" s="22">
        <f t="shared" si="16"/>
        <v>0</v>
      </c>
      <c r="BT11" s="20">
        <v>0</v>
      </c>
      <c r="BU11" s="21">
        <f t="shared" si="17"/>
        <v>20</v>
      </c>
      <c r="BV11" s="22">
        <f t="shared" si="18"/>
        <v>1</v>
      </c>
      <c r="BW11" s="22">
        <f t="shared" si="19"/>
        <v>0</v>
      </c>
      <c r="BX11" s="22">
        <f t="shared" si="20"/>
        <v>0.95238095238095233</v>
      </c>
      <c r="BY11" s="22">
        <f t="shared" si="21"/>
        <v>1</v>
      </c>
      <c r="BZ11" s="20">
        <f t="shared" si="22"/>
        <v>0.97560975609756095</v>
      </c>
      <c r="CC11" s="133" t="s">
        <v>83</v>
      </c>
      <c r="CD11">
        <f>AVERAGE(BX19:BX20)</f>
        <v>0.83333333333333337</v>
      </c>
      <c r="CE11">
        <f t="shared" ref="CE11:CF11" si="31">AVERAGE(BY19:BY20)</f>
        <v>0.52631578947368418</v>
      </c>
      <c r="CF11">
        <f t="shared" si="31"/>
        <v>0.64516129032258063</v>
      </c>
    </row>
    <row r="12" spans="1:84" x14ac:dyDescent="0.35">
      <c r="A12" s="53" t="s">
        <v>48</v>
      </c>
      <c r="B12" s="148"/>
      <c r="C12" s="148"/>
      <c r="D12" s="20" t="s">
        <v>63</v>
      </c>
      <c r="E12" s="21">
        <v>2</v>
      </c>
      <c r="F12" s="22">
        <v>2</v>
      </c>
      <c r="G12" s="22">
        <f t="shared" si="0"/>
        <v>0</v>
      </c>
      <c r="H12" s="20">
        <v>0</v>
      </c>
      <c r="I12" s="21">
        <v>1</v>
      </c>
      <c r="J12" s="22">
        <v>1</v>
      </c>
      <c r="K12" s="22">
        <f t="shared" si="1"/>
        <v>0</v>
      </c>
      <c r="L12" s="20">
        <v>0</v>
      </c>
      <c r="M12" s="21">
        <v>2</v>
      </c>
      <c r="N12" s="22">
        <v>2</v>
      </c>
      <c r="O12" s="22">
        <f t="shared" si="2"/>
        <v>0</v>
      </c>
      <c r="P12" s="20">
        <v>0</v>
      </c>
      <c r="Q12" s="21">
        <v>2</v>
      </c>
      <c r="R12" s="22">
        <v>2</v>
      </c>
      <c r="S12" s="22">
        <f t="shared" si="3"/>
        <v>0</v>
      </c>
      <c r="T12" s="20">
        <v>0</v>
      </c>
      <c r="U12" s="21">
        <v>2</v>
      </c>
      <c r="V12" s="22">
        <v>2</v>
      </c>
      <c r="W12" s="22">
        <f t="shared" si="4"/>
        <v>0</v>
      </c>
      <c r="X12" s="20">
        <v>0</v>
      </c>
      <c r="Y12" s="21">
        <v>4</v>
      </c>
      <c r="Z12" s="22">
        <v>4</v>
      </c>
      <c r="AA12" s="22">
        <f t="shared" si="5"/>
        <v>0</v>
      </c>
      <c r="AB12" s="20">
        <v>0</v>
      </c>
      <c r="AC12" s="21">
        <v>0</v>
      </c>
      <c r="AD12" s="22">
        <v>0</v>
      </c>
      <c r="AE12" s="22">
        <f t="shared" si="6"/>
        <v>0</v>
      </c>
      <c r="AF12" s="20">
        <v>0</v>
      </c>
      <c r="AG12" s="21">
        <v>4</v>
      </c>
      <c r="AH12" s="22">
        <v>4</v>
      </c>
      <c r="AI12" s="22">
        <f t="shared" si="7"/>
        <v>0</v>
      </c>
      <c r="AJ12" s="20">
        <v>0</v>
      </c>
      <c r="AK12" s="21">
        <v>1</v>
      </c>
      <c r="AL12" s="22">
        <v>1</v>
      </c>
      <c r="AM12" s="22">
        <f t="shared" si="8"/>
        <v>0</v>
      </c>
      <c r="AN12" s="20">
        <v>0</v>
      </c>
      <c r="AO12" s="21">
        <v>0</v>
      </c>
      <c r="AP12" s="22">
        <v>0</v>
      </c>
      <c r="AQ12" s="22">
        <f t="shared" si="9"/>
        <v>0</v>
      </c>
      <c r="AR12" s="20">
        <v>0</v>
      </c>
      <c r="AS12" s="21">
        <v>0</v>
      </c>
      <c r="AT12" s="22">
        <v>0</v>
      </c>
      <c r="AU12" s="22">
        <f t="shared" si="10"/>
        <v>0</v>
      </c>
      <c r="AV12" s="20">
        <v>0</v>
      </c>
      <c r="AW12" s="21">
        <v>0</v>
      </c>
      <c r="AX12" s="22">
        <v>0</v>
      </c>
      <c r="AY12" s="22">
        <f t="shared" si="11"/>
        <v>0</v>
      </c>
      <c r="AZ12" s="20">
        <v>0</v>
      </c>
      <c r="BA12" s="21">
        <v>1</v>
      </c>
      <c r="BB12" s="22">
        <v>0</v>
      </c>
      <c r="BC12" s="22">
        <f t="shared" si="12"/>
        <v>1</v>
      </c>
      <c r="BD12" s="20">
        <v>1</v>
      </c>
      <c r="BE12" s="21">
        <v>2</v>
      </c>
      <c r="BF12" s="22">
        <v>1</v>
      </c>
      <c r="BG12" s="22">
        <f t="shared" si="13"/>
        <v>1</v>
      </c>
      <c r="BH12" s="20">
        <v>0</v>
      </c>
      <c r="BI12" s="21">
        <v>0</v>
      </c>
      <c r="BJ12" s="22">
        <v>0</v>
      </c>
      <c r="BK12" s="22">
        <f t="shared" si="14"/>
        <v>0</v>
      </c>
      <c r="BL12" s="20">
        <v>0</v>
      </c>
      <c r="BM12" s="21">
        <v>0</v>
      </c>
      <c r="BN12" s="22">
        <v>0</v>
      </c>
      <c r="BO12" s="22">
        <f t="shared" si="15"/>
        <v>0</v>
      </c>
      <c r="BP12" s="20">
        <v>0</v>
      </c>
      <c r="BQ12" s="21">
        <v>0</v>
      </c>
      <c r="BR12" s="22">
        <v>0</v>
      </c>
      <c r="BS12" s="22">
        <f t="shared" si="16"/>
        <v>0</v>
      </c>
      <c r="BT12" s="20">
        <v>0</v>
      </c>
      <c r="BU12" s="21">
        <f t="shared" si="17"/>
        <v>19</v>
      </c>
      <c r="BV12" s="22">
        <f t="shared" si="18"/>
        <v>2</v>
      </c>
      <c r="BW12" s="22">
        <f t="shared" si="19"/>
        <v>1</v>
      </c>
      <c r="BX12" s="22">
        <f t="shared" si="20"/>
        <v>0.90476190476190477</v>
      </c>
      <c r="BY12" s="22">
        <f t="shared" si="21"/>
        <v>0.95</v>
      </c>
      <c r="BZ12" s="20">
        <f t="shared" si="22"/>
        <v>0.92682926829268286</v>
      </c>
      <c r="CC12" s="133" t="s">
        <v>84</v>
      </c>
      <c r="CD12">
        <f>AVERAGE(BX21:BX22)</f>
        <v>0.58823529411764708</v>
      </c>
      <c r="CE12">
        <f t="shared" ref="CE12:CF12" si="32">AVERAGE(BY21:BY22)</f>
        <v>0.7142857142857143</v>
      </c>
      <c r="CF12">
        <f t="shared" si="32"/>
        <v>0.64516129032258063</v>
      </c>
    </row>
    <row r="13" spans="1:84" x14ac:dyDescent="0.35">
      <c r="A13" s="54" t="s">
        <v>48</v>
      </c>
      <c r="B13" s="148"/>
      <c r="C13" s="148"/>
      <c r="D13" s="23" t="s">
        <v>31</v>
      </c>
      <c r="E13" s="24">
        <v>4</v>
      </c>
      <c r="F13" s="25">
        <v>4</v>
      </c>
      <c r="G13" s="25">
        <f t="shared" si="0"/>
        <v>0</v>
      </c>
      <c r="H13" s="23">
        <v>0</v>
      </c>
      <c r="I13" s="24">
        <v>0</v>
      </c>
      <c r="J13" s="25">
        <v>0</v>
      </c>
      <c r="K13" s="25">
        <f t="shared" si="1"/>
        <v>0</v>
      </c>
      <c r="L13" s="23">
        <v>0</v>
      </c>
      <c r="M13" s="24">
        <v>0</v>
      </c>
      <c r="N13" s="25">
        <v>0</v>
      </c>
      <c r="O13" s="25">
        <f t="shared" si="2"/>
        <v>0</v>
      </c>
      <c r="P13" s="23">
        <v>0</v>
      </c>
      <c r="Q13" s="24">
        <v>0</v>
      </c>
      <c r="R13" s="25">
        <v>0</v>
      </c>
      <c r="S13" s="25">
        <f t="shared" si="3"/>
        <v>0</v>
      </c>
      <c r="T13" s="23">
        <v>0</v>
      </c>
      <c r="U13" s="24">
        <v>0</v>
      </c>
      <c r="V13" s="25">
        <v>0</v>
      </c>
      <c r="W13" s="25">
        <f t="shared" si="4"/>
        <v>0</v>
      </c>
      <c r="X13" s="23">
        <v>0</v>
      </c>
      <c r="Y13" s="24">
        <v>4</v>
      </c>
      <c r="Z13" s="25">
        <v>4</v>
      </c>
      <c r="AA13" s="25">
        <f t="shared" si="5"/>
        <v>0</v>
      </c>
      <c r="AB13" s="23">
        <v>0</v>
      </c>
      <c r="AC13" s="24">
        <v>0</v>
      </c>
      <c r="AD13" s="25">
        <v>0</v>
      </c>
      <c r="AE13" s="25">
        <f t="shared" si="6"/>
        <v>0</v>
      </c>
      <c r="AF13" s="23">
        <v>0</v>
      </c>
      <c r="AG13" s="24">
        <v>4</v>
      </c>
      <c r="AH13" s="25">
        <v>4</v>
      </c>
      <c r="AI13" s="25">
        <f t="shared" si="7"/>
        <v>0</v>
      </c>
      <c r="AJ13" s="23">
        <v>0</v>
      </c>
      <c r="AK13" s="24">
        <v>3</v>
      </c>
      <c r="AL13" s="25">
        <v>3</v>
      </c>
      <c r="AM13" s="25">
        <f t="shared" si="8"/>
        <v>0</v>
      </c>
      <c r="AN13" s="23">
        <v>0</v>
      </c>
      <c r="AO13" s="24">
        <v>0</v>
      </c>
      <c r="AP13" s="25">
        <v>0</v>
      </c>
      <c r="AQ13" s="25">
        <f t="shared" si="9"/>
        <v>0</v>
      </c>
      <c r="AR13" s="23">
        <v>0</v>
      </c>
      <c r="AS13" s="24">
        <v>0</v>
      </c>
      <c r="AT13" s="25">
        <v>0</v>
      </c>
      <c r="AU13" s="25">
        <f t="shared" si="10"/>
        <v>0</v>
      </c>
      <c r="AV13" s="23">
        <v>0</v>
      </c>
      <c r="AW13" s="24">
        <v>0</v>
      </c>
      <c r="AX13" s="25">
        <v>0</v>
      </c>
      <c r="AY13" s="25">
        <f t="shared" si="11"/>
        <v>0</v>
      </c>
      <c r="AZ13" s="23">
        <v>0</v>
      </c>
      <c r="BA13" s="24">
        <v>3</v>
      </c>
      <c r="BB13" s="25">
        <v>3</v>
      </c>
      <c r="BC13" s="25">
        <f t="shared" si="12"/>
        <v>0</v>
      </c>
      <c r="BD13" s="23">
        <v>0</v>
      </c>
      <c r="BE13" s="24">
        <v>0</v>
      </c>
      <c r="BF13" s="25">
        <v>0</v>
      </c>
      <c r="BG13" s="25">
        <f t="shared" si="13"/>
        <v>0</v>
      </c>
      <c r="BH13" s="23">
        <v>0</v>
      </c>
      <c r="BI13" s="24">
        <v>0</v>
      </c>
      <c r="BJ13" s="25">
        <v>0</v>
      </c>
      <c r="BK13" s="25">
        <f t="shared" si="14"/>
        <v>0</v>
      </c>
      <c r="BL13" s="23">
        <v>0</v>
      </c>
      <c r="BM13" s="24">
        <v>0</v>
      </c>
      <c r="BN13" s="25">
        <v>0</v>
      </c>
      <c r="BO13" s="25">
        <f t="shared" si="15"/>
        <v>0</v>
      </c>
      <c r="BP13" s="23">
        <v>0</v>
      </c>
      <c r="BQ13" s="24">
        <v>0</v>
      </c>
      <c r="BR13" s="25">
        <v>0</v>
      </c>
      <c r="BS13" s="25">
        <f t="shared" si="16"/>
        <v>0</v>
      </c>
      <c r="BT13" s="23">
        <v>0</v>
      </c>
      <c r="BU13" s="24">
        <f t="shared" si="17"/>
        <v>18</v>
      </c>
      <c r="BV13" s="25">
        <f t="shared" si="18"/>
        <v>0</v>
      </c>
      <c r="BW13" s="25">
        <f t="shared" si="19"/>
        <v>0</v>
      </c>
      <c r="BX13" s="25">
        <f t="shared" si="20"/>
        <v>1</v>
      </c>
      <c r="BY13" s="25">
        <f t="shared" si="21"/>
        <v>1</v>
      </c>
      <c r="BZ13" s="23">
        <f t="shared" si="22"/>
        <v>1</v>
      </c>
      <c r="CC13" s="133" t="s">
        <v>85</v>
      </c>
      <c r="CD13">
        <f>AVERAGE(BX23:BX24)</f>
        <v>0.90909090909090906</v>
      </c>
      <c r="CE13">
        <f t="shared" ref="CE13:CF13" si="33">AVERAGE(BY23:BY24)</f>
        <v>0.83333333333333337</v>
      </c>
      <c r="CF13">
        <f t="shared" si="33"/>
        <v>0.86956521739130432</v>
      </c>
    </row>
    <row r="14" spans="1:84" x14ac:dyDescent="0.35">
      <c r="A14" s="54" t="s">
        <v>48</v>
      </c>
      <c r="B14" s="148"/>
      <c r="C14" s="148"/>
      <c r="D14" s="23" t="s">
        <v>64</v>
      </c>
      <c r="E14" s="24">
        <v>4</v>
      </c>
      <c r="F14" s="25">
        <v>4</v>
      </c>
      <c r="G14" s="25">
        <f t="shared" si="0"/>
        <v>0</v>
      </c>
      <c r="H14" s="23">
        <v>0</v>
      </c>
      <c r="I14" s="24">
        <v>0</v>
      </c>
      <c r="J14" s="24">
        <v>0</v>
      </c>
      <c r="K14" s="24">
        <v>0</v>
      </c>
      <c r="L14" s="23">
        <v>0</v>
      </c>
      <c r="M14" s="24">
        <v>0</v>
      </c>
      <c r="N14" s="24">
        <v>0</v>
      </c>
      <c r="O14" s="24">
        <v>0</v>
      </c>
      <c r="P14" s="23">
        <v>0</v>
      </c>
      <c r="Q14" s="24">
        <v>0</v>
      </c>
      <c r="R14" s="25">
        <v>0</v>
      </c>
      <c r="S14" s="25">
        <f t="shared" si="3"/>
        <v>0</v>
      </c>
      <c r="T14" s="23">
        <v>0</v>
      </c>
      <c r="U14" s="24">
        <v>0</v>
      </c>
      <c r="V14" s="25">
        <v>0</v>
      </c>
      <c r="W14" s="25">
        <v>0</v>
      </c>
      <c r="X14" s="23">
        <v>0</v>
      </c>
      <c r="Y14" s="24">
        <v>4</v>
      </c>
      <c r="Z14" s="24">
        <v>4</v>
      </c>
      <c r="AA14" s="24">
        <f t="shared" si="5"/>
        <v>0</v>
      </c>
      <c r="AB14" s="23">
        <v>0</v>
      </c>
      <c r="AC14" s="24">
        <v>0</v>
      </c>
      <c r="AD14" s="24">
        <v>0</v>
      </c>
      <c r="AE14" s="24">
        <f t="shared" si="6"/>
        <v>0</v>
      </c>
      <c r="AF14" s="23">
        <v>0</v>
      </c>
      <c r="AG14" s="24">
        <v>4</v>
      </c>
      <c r="AH14" s="24">
        <v>4</v>
      </c>
      <c r="AI14" s="24">
        <f t="shared" si="7"/>
        <v>0</v>
      </c>
      <c r="AJ14" s="23">
        <v>0</v>
      </c>
      <c r="AK14" s="24">
        <v>3</v>
      </c>
      <c r="AL14" s="24">
        <v>3</v>
      </c>
      <c r="AM14" s="24">
        <f t="shared" si="8"/>
        <v>0</v>
      </c>
      <c r="AN14" s="23">
        <v>0</v>
      </c>
      <c r="AO14" s="24">
        <v>0</v>
      </c>
      <c r="AP14" s="24">
        <v>0</v>
      </c>
      <c r="AQ14" s="24">
        <f t="shared" si="9"/>
        <v>0</v>
      </c>
      <c r="AR14" s="23">
        <v>0</v>
      </c>
      <c r="AS14" s="24">
        <v>0</v>
      </c>
      <c r="AT14" s="25">
        <v>0</v>
      </c>
      <c r="AU14" s="25">
        <f t="shared" si="10"/>
        <v>0</v>
      </c>
      <c r="AV14" s="23">
        <v>0</v>
      </c>
      <c r="AW14" s="24">
        <v>0</v>
      </c>
      <c r="AX14" s="25">
        <v>0</v>
      </c>
      <c r="AY14" s="25">
        <f t="shared" si="11"/>
        <v>0</v>
      </c>
      <c r="AZ14" s="23">
        <v>0</v>
      </c>
      <c r="BA14" s="24">
        <v>3</v>
      </c>
      <c r="BB14" s="25">
        <v>3</v>
      </c>
      <c r="BC14" s="25">
        <f t="shared" si="12"/>
        <v>0</v>
      </c>
      <c r="BD14" s="23">
        <v>0</v>
      </c>
      <c r="BE14" s="24">
        <v>0</v>
      </c>
      <c r="BF14" s="25">
        <v>0</v>
      </c>
      <c r="BG14" s="25">
        <f t="shared" si="13"/>
        <v>0</v>
      </c>
      <c r="BH14" s="23">
        <v>0</v>
      </c>
      <c r="BI14" s="24">
        <v>0</v>
      </c>
      <c r="BJ14" s="25">
        <v>0</v>
      </c>
      <c r="BK14" s="25">
        <f t="shared" si="14"/>
        <v>0</v>
      </c>
      <c r="BL14" s="23">
        <v>0</v>
      </c>
      <c r="BM14" s="24">
        <v>0</v>
      </c>
      <c r="BN14" s="25">
        <v>0</v>
      </c>
      <c r="BO14" s="25">
        <f t="shared" si="15"/>
        <v>0</v>
      </c>
      <c r="BP14" s="23">
        <v>0</v>
      </c>
      <c r="BQ14" s="24">
        <v>0</v>
      </c>
      <c r="BR14" s="25">
        <v>0</v>
      </c>
      <c r="BS14" s="25">
        <f t="shared" si="16"/>
        <v>0</v>
      </c>
      <c r="BT14" s="23">
        <v>0</v>
      </c>
      <c r="BU14" s="24">
        <f t="shared" si="17"/>
        <v>18</v>
      </c>
      <c r="BV14" s="25">
        <f t="shared" si="18"/>
        <v>0</v>
      </c>
      <c r="BW14" s="25">
        <f t="shared" si="19"/>
        <v>0</v>
      </c>
      <c r="BX14" s="25">
        <f t="shared" si="20"/>
        <v>1</v>
      </c>
      <c r="BY14" s="25">
        <f t="shared" si="21"/>
        <v>1</v>
      </c>
      <c r="BZ14" s="23">
        <f t="shared" si="22"/>
        <v>1</v>
      </c>
      <c r="CC14" s="133" t="s">
        <v>86</v>
      </c>
      <c r="CD14">
        <f>AVERAGE(BX25:BX26)</f>
        <v>0.84375</v>
      </c>
      <c r="CE14">
        <f t="shared" ref="CE14:CF14" si="34">AVERAGE(BY25:BY26)</f>
        <v>0.93095238095238098</v>
      </c>
      <c r="CF14">
        <f t="shared" si="34"/>
        <v>0.88494623655913973</v>
      </c>
    </row>
    <row r="15" spans="1:84" x14ac:dyDescent="0.35">
      <c r="A15" s="55" t="s">
        <v>48</v>
      </c>
      <c r="B15" s="148"/>
      <c r="C15" s="148"/>
      <c r="D15" s="26" t="s">
        <v>32</v>
      </c>
      <c r="E15" s="27">
        <v>3</v>
      </c>
      <c r="F15" s="28">
        <v>3</v>
      </c>
      <c r="G15" s="28">
        <f t="shared" si="0"/>
        <v>0</v>
      </c>
      <c r="H15" s="26">
        <v>0</v>
      </c>
      <c r="I15" s="27">
        <v>0</v>
      </c>
      <c r="J15" s="27">
        <v>0</v>
      </c>
      <c r="K15" s="27">
        <f t="shared" ref="K15:K34" si="35">I15-J15</f>
        <v>0</v>
      </c>
      <c r="L15" s="26">
        <v>0</v>
      </c>
      <c r="M15" s="27">
        <v>0</v>
      </c>
      <c r="N15" s="27">
        <v>0</v>
      </c>
      <c r="O15" s="27">
        <f t="shared" ref="O15:O34" si="36">M15-N15</f>
        <v>0</v>
      </c>
      <c r="P15" s="26">
        <v>0</v>
      </c>
      <c r="Q15" s="27">
        <v>0</v>
      </c>
      <c r="R15" s="28">
        <v>0</v>
      </c>
      <c r="S15" s="28">
        <f t="shared" si="3"/>
        <v>0</v>
      </c>
      <c r="T15" s="26">
        <v>0</v>
      </c>
      <c r="U15" s="27">
        <v>0</v>
      </c>
      <c r="V15" s="28">
        <v>0</v>
      </c>
      <c r="W15" s="28">
        <f t="shared" ref="W15:W34" si="37">U15-V15</f>
        <v>0</v>
      </c>
      <c r="X15" s="26">
        <v>0</v>
      </c>
      <c r="Y15" s="27">
        <v>3</v>
      </c>
      <c r="Z15" s="27">
        <v>3</v>
      </c>
      <c r="AA15" s="27">
        <f t="shared" si="5"/>
        <v>0</v>
      </c>
      <c r="AB15" s="26">
        <v>0</v>
      </c>
      <c r="AC15" s="27">
        <v>0</v>
      </c>
      <c r="AD15" s="27">
        <v>0</v>
      </c>
      <c r="AE15" s="27">
        <f t="shared" si="6"/>
        <v>0</v>
      </c>
      <c r="AF15" s="26">
        <v>0</v>
      </c>
      <c r="AG15" s="27">
        <v>3</v>
      </c>
      <c r="AH15" s="27">
        <v>3</v>
      </c>
      <c r="AI15" s="27">
        <f t="shared" si="7"/>
        <v>0</v>
      </c>
      <c r="AJ15" s="26">
        <v>0</v>
      </c>
      <c r="AK15" s="27">
        <v>2</v>
      </c>
      <c r="AL15" s="27">
        <v>2</v>
      </c>
      <c r="AM15" s="27">
        <f t="shared" si="8"/>
        <v>0</v>
      </c>
      <c r="AN15" s="26">
        <v>0</v>
      </c>
      <c r="AO15" s="27">
        <v>0</v>
      </c>
      <c r="AP15" s="27">
        <v>0</v>
      </c>
      <c r="AQ15" s="27">
        <f t="shared" si="9"/>
        <v>0</v>
      </c>
      <c r="AR15" s="26">
        <v>0</v>
      </c>
      <c r="AS15" s="27">
        <v>0</v>
      </c>
      <c r="AT15" s="28">
        <v>0</v>
      </c>
      <c r="AU15" s="28">
        <f t="shared" si="10"/>
        <v>0</v>
      </c>
      <c r="AV15" s="26">
        <v>0</v>
      </c>
      <c r="AW15" s="27">
        <v>0</v>
      </c>
      <c r="AX15" s="28">
        <v>0</v>
      </c>
      <c r="AY15" s="28">
        <f t="shared" si="11"/>
        <v>0</v>
      </c>
      <c r="AZ15" s="26">
        <v>0</v>
      </c>
      <c r="BA15" s="27">
        <v>2</v>
      </c>
      <c r="BB15" s="28">
        <v>2</v>
      </c>
      <c r="BC15" s="28">
        <f t="shared" si="12"/>
        <v>0</v>
      </c>
      <c r="BD15" s="26">
        <v>0</v>
      </c>
      <c r="BE15" s="27">
        <v>0</v>
      </c>
      <c r="BF15" s="28">
        <v>0</v>
      </c>
      <c r="BG15" s="28">
        <f t="shared" si="13"/>
        <v>0</v>
      </c>
      <c r="BH15" s="26">
        <v>0</v>
      </c>
      <c r="BI15" s="27">
        <v>0</v>
      </c>
      <c r="BJ15" s="28">
        <v>0</v>
      </c>
      <c r="BK15" s="28">
        <f t="shared" si="14"/>
        <v>0</v>
      </c>
      <c r="BL15" s="26">
        <v>0</v>
      </c>
      <c r="BM15" s="27">
        <v>0</v>
      </c>
      <c r="BN15" s="28">
        <v>0</v>
      </c>
      <c r="BO15" s="28">
        <f t="shared" si="15"/>
        <v>0</v>
      </c>
      <c r="BP15" s="26">
        <v>0</v>
      </c>
      <c r="BQ15" s="27">
        <v>0</v>
      </c>
      <c r="BR15" s="28">
        <v>0</v>
      </c>
      <c r="BS15" s="28">
        <f t="shared" si="16"/>
        <v>0</v>
      </c>
      <c r="BT15" s="26">
        <v>0</v>
      </c>
      <c r="BU15" s="27">
        <f t="shared" si="17"/>
        <v>13</v>
      </c>
      <c r="BV15" s="28">
        <f t="shared" si="18"/>
        <v>0</v>
      </c>
      <c r="BW15" s="28">
        <f t="shared" si="19"/>
        <v>0</v>
      </c>
      <c r="BX15" s="28">
        <f t="shared" si="20"/>
        <v>1</v>
      </c>
      <c r="BY15" s="28">
        <f t="shared" si="21"/>
        <v>1</v>
      </c>
      <c r="BZ15" s="26">
        <f t="shared" si="22"/>
        <v>1</v>
      </c>
      <c r="CC15" s="133" t="s">
        <v>87</v>
      </c>
      <c r="CD15">
        <f>AVERAGE(BX27:BX28)</f>
        <v>0.7142857142857143</v>
      </c>
      <c r="CE15">
        <f t="shared" ref="CE15:CF15" si="38">AVERAGE(BY27:BY28)</f>
        <v>1</v>
      </c>
      <c r="CF15">
        <f t="shared" si="38"/>
        <v>0.83333333333333326</v>
      </c>
    </row>
    <row r="16" spans="1:84" x14ac:dyDescent="0.35">
      <c r="A16" s="55" t="s">
        <v>48</v>
      </c>
      <c r="B16" s="148"/>
      <c r="C16" s="148"/>
      <c r="D16" s="26" t="s">
        <v>65</v>
      </c>
      <c r="E16" s="27">
        <v>3</v>
      </c>
      <c r="F16" s="28">
        <v>3</v>
      </c>
      <c r="G16" s="28">
        <f t="shared" si="0"/>
        <v>0</v>
      </c>
      <c r="H16" s="26">
        <v>0</v>
      </c>
      <c r="I16" s="27">
        <v>0</v>
      </c>
      <c r="J16" s="27">
        <v>0</v>
      </c>
      <c r="K16" s="27">
        <f t="shared" si="35"/>
        <v>0</v>
      </c>
      <c r="L16" s="26">
        <v>0</v>
      </c>
      <c r="M16" s="27">
        <v>0</v>
      </c>
      <c r="N16" s="27">
        <v>0</v>
      </c>
      <c r="O16" s="27">
        <f t="shared" si="36"/>
        <v>0</v>
      </c>
      <c r="P16" s="26">
        <v>0</v>
      </c>
      <c r="Q16" s="27">
        <v>0</v>
      </c>
      <c r="R16" s="28">
        <v>0</v>
      </c>
      <c r="S16" s="28">
        <f t="shared" si="3"/>
        <v>0</v>
      </c>
      <c r="T16" s="26">
        <v>0</v>
      </c>
      <c r="U16" s="27">
        <v>0</v>
      </c>
      <c r="V16" s="28">
        <v>0</v>
      </c>
      <c r="W16" s="28">
        <f t="shared" si="37"/>
        <v>0</v>
      </c>
      <c r="X16" s="26">
        <v>0</v>
      </c>
      <c r="Y16" s="27">
        <v>3</v>
      </c>
      <c r="Z16" s="27">
        <v>3</v>
      </c>
      <c r="AA16" s="27">
        <v>0</v>
      </c>
      <c r="AB16" s="26">
        <v>0</v>
      </c>
      <c r="AC16" s="27">
        <v>0</v>
      </c>
      <c r="AD16" s="27">
        <v>0</v>
      </c>
      <c r="AE16" s="27">
        <f t="shared" si="6"/>
        <v>0</v>
      </c>
      <c r="AF16" s="26">
        <v>0</v>
      </c>
      <c r="AG16" s="27">
        <v>3</v>
      </c>
      <c r="AH16" s="27">
        <v>3</v>
      </c>
      <c r="AI16" s="27">
        <f t="shared" si="7"/>
        <v>0</v>
      </c>
      <c r="AJ16" s="26">
        <v>0</v>
      </c>
      <c r="AK16" s="27">
        <v>2</v>
      </c>
      <c r="AL16" s="27">
        <v>2</v>
      </c>
      <c r="AM16" s="27">
        <f t="shared" si="8"/>
        <v>0</v>
      </c>
      <c r="AN16" s="26">
        <v>0</v>
      </c>
      <c r="AO16" s="27">
        <v>0</v>
      </c>
      <c r="AP16" s="27">
        <v>0</v>
      </c>
      <c r="AQ16" s="27">
        <f t="shared" si="9"/>
        <v>0</v>
      </c>
      <c r="AR16" s="26">
        <v>0</v>
      </c>
      <c r="AS16" s="27">
        <v>0</v>
      </c>
      <c r="AT16" s="28">
        <v>0</v>
      </c>
      <c r="AU16" s="28">
        <f t="shared" si="10"/>
        <v>0</v>
      </c>
      <c r="AV16" s="26">
        <v>0</v>
      </c>
      <c r="AW16" s="27">
        <v>0</v>
      </c>
      <c r="AX16" s="28">
        <v>0</v>
      </c>
      <c r="AY16" s="28">
        <f t="shared" si="11"/>
        <v>0</v>
      </c>
      <c r="AZ16" s="26">
        <v>0</v>
      </c>
      <c r="BA16" s="27">
        <v>2</v>
      </c>
      <c r="BB16" s="28">
        <v>2</v>
      </c>
      <c r="BC16" s="28">
        <f t="shared" si="12"/>
        <v>0</v>
      </c>
      <c r="BD16" s="26">
        <v>0</v>
      </c>
      <c r="BE16" s="27">
        <v>0</v>
      </c>
      <c r="BF16" s="28">
        <v>0</v>
      </c>
      <c r="BG16" s="28">
        <f t="shared" si="13"/>
        <v>0</v>
      </c>
      <c r="BH16" s="26">
        <v>0</v>
      </c>
      <c r="BI16" s="27">
        <v>0</v>
      </c>
      <c r="BJ16" s="28">
        <v>0</v>
      </c>
      <c r="BK16" s="28">
        <f t="shared" si="14"/>
        <v>0</v>
      </c>
      <c r="BL16" s="26">
        <v>0</v>
      </c>
      <c r="BM16" s="27">
        <v>0</v>
      </c>
      <c r="BN16" s="28">
        <v>0</v>
      </c>
      <c r="BO16" s="28">
        <f t="shared" si="15"/>
        <v>0</v>
      </c>
      <c r="BP16" s="26">
        <v>0</v>
      </c>
      <c r="BQ16" s="27">
        <v>0</v>
      </c>
      <c r="BR16" s="28">
        <v>0</v>
      </c>
      <c r="BS16" s="28">
        <f t="shared" si="16"/>
        <v>0</v>
      </c>
      <c r="BT16" s="26">
        <v>0</v>
      </c>
      <c r="BU16" s="27">
        <f t="shared" si="17"/>
        <v>13</v>
      </c>
      <c r="BV16" s="28">
        <f t="shared" si="18"/>
        <v>0</v>
      </c>
      <c r="BW16" s="28">
        <f t="shared" si="19"/>
        <v>0</v>
      </c>
      <c r="BX16" s="28">
        <f t="shared" si="20"/>
        <v>1</v>
      </c>
      <c r="BY16" s="28">
        <f t="shared" si="21"/>
        <v>1</v>
      </c>
      <c r="BZ16" s="26">
        <f t="shared" si="22"/>
        <v>1</v>
      </c>
      <c r="CC16" s="133" t="s">
        <v>88</v>
      </c>
      <c r="CD16">
        <f>AVERAGE(BX29:BX30)</f>
        <v>0.71590909090909083</v>
      </c>
      <c r="CE16">
        <f t="shared" ref="CE16:CF16" si="39">AVERAGE(BY29:BY30)</f>
        <v>0.78947368421052633</v>
      </c>
      <c r="CF16">
        <f t="shared" si="39"/>
        <v>0.75046904315196994</v>
      </c>
    </row>
    <row r="17" spans="1:84" x14ac:dyDescent="0.35">
      <c r="A17" s="56" t="s">
        <v>48</v>
      </c>
      <c r="B17" s="148"/>
      <c r="C17" s="148"/>
      <c r="D17" s="29" t="s">
        <v>33</v>
      </c>
      <c r="E17" s="30">
        <v>2</v>
      </c>
      <c r="F17" s="31">
        <v>2</v>
      </c>
      <c r="G17" s="31">
        <f t="shared" si="0"/>
        <v>0</v>
      </c>
      <c r="H17" s="29">
        <v>0</v>
      </c>
      <c r="I17" s="30">
        <v>2</v>
      </c>
      <c r="J17" s="31">
        <v>2</v>
      </c>
      <c r="K17" s="31">
        <f t="shared" si="35"/>
        <v>0</v>
      </c>
      <c r="L17" s="29">
        <v>0</v>
      </c>
      <c r="M17" s="30">
        <v>1</v>
      </c>
      <c r="N17" s="31">
        <v>0</v>
      </c>
      <c r="O17" s="31">
        <f t="shared" si="36"/>
        <v>1</v>
      </c>
      <c r="P17" s="29">
        <v>0</v>
      </c>
      <c r="Q17" s="30">
        <v>1</v>
      </c>
      <c r="R17" s="31">
        <v>1</v>
      </c>
      <c r="S17" s="31">
        <f t="shared" si="3"/>
        <v>0</v>
      </c>
      <c r="T17" s="29">
        <v>1</v>
      </c>
      <c r="U17" s="30">
        <v>1</v>
      </c>
      <c r="V17" s="31">
        <v>1</v>
      </c>
      <c r="W17" s="31">
        <f t="shared" si="37"/>
        <v>0</v>
      </c>
      <c r="X17" s="29">
        <v>0</v>
      </c>
      <c r="Y17" s="30">
        <v>1</v>
      </c>
      <c r="Z17" s="31">
        <v>1</v>
      </c>
      <c r="AA17" s="31">
        <f t="shared" ref="AA17:AA34" si="40">Y17-Z17</f>
        <v>0</v>
      </c>
      <c r="AB17" s="29">
        <v>0</v>
      </c>
      <c r="AC17" s="30">
        <v>0</v>
      </c>
      <c r="AD17" s="31">
        <v>0</v>
      </c>
      <c r="AE17" s="31">
        <f t="shared" si="6"/>
        <v>0</v>
      </c>
      <c r="AF17" s="29">
        <v>0</v>
      </c>
      <c r="AG17" s="30">
        <v>1</v>
      </c>
      <c r="AH17" s="31">
        <v>1</v>
      </c>
      <c r="AI17" s="31">
        <f t="shared" si="7"/>
        <v>0</v>
      </c>
      <c r="AJ17" s="29">
        <v>0</v>
      </c>
      <c r="AK17" s="30">
        <v>0</v>
      </c>
      <c r="AL17" s="31">
        <v>0</v>
      </c>
      <c r="AM17" s="31">
        <f t="shared" si="8"/>
        <v>0</v>
      </c>
      <c r="AN17" s="29">
        <v>0</v>
      </c>
      <c r="AO17" s="30">
        <v>0</v>
      </c>
      <c r="AP17" s="31">
        <v>0</v>
      </c>
      <c r="AQ17" s="31">
        <f t="shared" si="9"/>
        <v>0</v>
      </c>
      <c r="AR17" s="29">
        <v>0</v>
      </c>
      <c r="AS17" s="30">
        <v>0</v>
      </c>
      <c r="AT17" s="31">
        <v>0</v>
      </c>
      <c r="AU17" s="31">
        <f t="shared" si="10"/>
        <v>0</v>
      </c>
      <c r="AV17" s="29">
        <v>0</v>
      </c>
      <c r="AW17" s="30">
        <v>1</v>
      </c>
      <c r="AX17" s="31">
        <v>1</v>
      </c>
      <c r="AY17" s="31">
        <f t="shared" si="11"/>
        <v>0</v>
      </c>
      <c r="AZ17" s="29">
        <v>0</v>
      </c>
      <c r="BA17" s="30">
        <v>1</v>
      </c>
      <c r="BB17" s="31">
        <v>0</v>
      </c>
      <c r="BC17" s="31">
        <f t="shared" si="12"/>
        <v>1</v>
      </c>
      <c r="BD17" s="29">
        <v>1</v>
      </c>
      <c r="BE17" s="30">
        <v>0</v>
      </c>
      <c r="BF17" s="31">
        <v>0</v>
      </c>
      <c r="BG17" s="31">
        <f t="shared" si="13"/>
        <v>0</v>
      </c>
      <c r="BH17" s="29">
        <v>0</v>
      </c>
      <c r="BI17" s="30">
        <v>0</v>
      </c>
      <c r="BJ17" s="31">
        <v>0</v>
      </c>
      <c r="BK17" s="31">
        <f t="shared" si="14"/>
        <v>0</v>
      </c>
      <c r="BL17" s="29">
        <v>0</v>
      </c>
      <c r="BM17" s="30">
        <v>0</v>
      </c>
      <c r="BN17" s="31">
        <v>0</v>
      </c>
      <c r="BO17" s="31">
        <f t="shared" si="15"/>
        <v>0</v>
      </c>
      <c r="BP17" s="29">
        <v>0</v>
      </c>
      <c r="BQ17" s="30">
        <v>0</v>
      </c>
      <c r="BR17" s="31">
        <v>0</v>
      </c>
      <c r="BS17" s="31">
        <f t="shared" si="16"/>
        <v>0</v>
      </c>
      <c r="BT17" s="29">
        <v>0</v>
      </c>
      <c r="BU17" s="30">
        <f t="shared" si="17"/>
        <v>9</v>
      </c>
      <c r="BV17" s="31">
        <f t="shared" si="18"/>
        <v>2</v>
      </c>
      <c r="BW17" s="31">
        <f t="shared" si="19"/>
        <v>2</v>
      </c>
      <c r="BX17" s="31">
        <f t="shared" si="20"/>
        <v>0.81818181818181823</v>
      </c>
      <c r="BY17" s="31">
        <f t="shared" si="21"/>
        <v>0.81818181818181823</v>
      </c>
      <c r="BZ17" s="29">
        <f t="shared" si="22"/>
        <v>0.81818181818181823</v>
      </c>
      <c r="CC17" s="133" t="s">
        <v>89</v>
      </c>
      <c r="CD17">
        <f>AVERAGE(BX31:BX32)</f>
        <v>0.75</v>
      </c>
      <c r="CE17">
        <f t="shared" ref="CE17:CF17" si="41">AVERAGE(BY31:BY32)</f>
        <v>0.78409090909090917</v>
      </c>
      <c r="CF17">
        <f t="shared" si="41"/>
        <v>0.76630434782608692</v>
      </c>
    </row>
    <row r="18" spans="1:84" x14ac:dyDescent="0.35">
      <c r="A18" s="56" t="s">
        <v>48</v>
      </c>
      <c r="B18" s="148"/>
      <c r="C18" s="148"/>
      <c r="D18" s="29" t="s">
        <v>66</v>
      </c>
      <c r="E18" s="30">
        <v>2</v>
      </c>
      <c r="F18" s="31">
        <v>2</v>
      </c>
      <c r="G18" s="31">
        <f t="shared" si="0"/>
        <v>0</v>
      </c>
      <c r="H18" s="29">
        <v>0</v>
      </c>
      <c r="I18" s="30">
        <v>2</v>
      </c>
      <c r="J18" s="31">
        <v>2</v>
      </c>
      <c r="K18" s="31">
        <f t="shared" si="35"/>
        <v>0</v>
      </c>
      <c r="L18" s="29">
        <v>0</v>
      </c>
      <c r="M18" s="30">
        <v>1</v>
      </c>
      <c r="N18" s="31">
        <v>0</v>
      </c>
      <c r="O18" s="31">
        <f t="shared" si="36"/>
        <v>1</v>
      </c>
      <c r="P18" s="29">
        <v>0</v>
      </c>
      <c r="Q18" s="30">
        <v>1</v>
      </c>
      <c r="R18" s="31">
        <v>1</v>
      </c>
      <c r="S18" s="31">
        <f t="shared" si="3"/>
        <v>0</v>
      </c>
      <c r="T18" s="29">
        <v>1</v>
      </c>
      <c r="U18" s="30">
        <v>1</v>
      </c>
      <c r="V18" s="31">
        <v>1</v>
      </c>
      <c r="W18" s="31">
        <f t="shared" si="37"/>
        <v>0</v>
      </c>
      <c r="X18" s="29">
        <v>0</v>
      </c>
      <c r="Y18" s="30">
        <v>1</v>
      </c>
      <c r="Z18" s="31">
        <v>1</v>
      </c>
      <c r="AA18" s="31">
        <f t="shared" si="40"/>
        <v>0</v>
      </c>
      <c r="AB18" s="29">
        <v>0</v>
      </c>
      <c r="AC18" s="30">
        <v>0</v>
      </c>
      <c r="AD18" s="31">
        <v>0</v>
      </c>
      <c r="AE18" s="31">
        <f t="shared" si="6"/>
        <v>0</v>
      </c>
      <c r="AF18" s="29">
        <v>0</v>
      </c>
      <c r="AG18" s="30">
        <v>1</v>
      </c>
      <c r="AH18" s="31">
        <v>1</v>
      </c>
      <c r="AI18" s="31">
        <f t="shared" si="7"/>
        <v>0</v>
      </c>
      <c r="AJ18" s="29">
        <v>0</v>
      </c>
      <c r="AK18" s="30">
        <v>0</v>
      </c>
      <c r="AL18" s="31">
        <v>0</v>
      </c>
      <c r="AM18" s="31">
        <f t="shared" si="8"/>
        <v>0</v>
      </c>
      <c r="AN18" s="29">
        <v>0</v>
      </c>
      <c r="AO18" s="30">
        <v>0</v>
      </c>
      <c r="AP18" s="31">
        <v>0</v>
      </c>
      <c r="AQ18" s="31">
        <f t="shared" si="9"/>
        <v>0</v>
      </c>
      <c r="AR18" s="29">
        <v>0</v>
      </c>
      <c r="AS18" s="30">
        <v>0</v>
      </c>
      <c r="AT18" s="31">
        <v>0</v>
      </c>
      <c r="AU18" s="31">
        <f t="shared" si="10"/>
        <v>0</v>
      </c>
      <c r="AV18" s="29">
        <v>0</v>
      </c>
      <c r="AW18" s="30">
        <v>1</v>
      </c>
      <c r="AX18" s="31">
        <v>1</v>
      </c>
      <c r="AY18" s="31">
        <f t="shared" si="11"/>
        <v>0</v>
      </c>
      <c r="AZ18" s="29">
        <v>0</v>
      </c>
      <c r="BA18" s="30">
        <v>1</v>
      </c>
      <c r="BB18" s="31">
        <v>0</v>
      </c>
      <c r="BC18" s="31">
        <f t="shared" si="12"/>
        <v>1</v>
      </c>
      <c r="BD18" s="29">
        <v>1</v>
      </c>
      <c r="BE18" s="30">
        <v>0</v>
      </c>
      <c r="BF18" s="31">
        <v>0</v>
      </c>
      <c r="BG18" s="31">
        <f t="shared" si="13"/>
        <v>0</v>
      </c>
      <c r="BH18" s="29">
        <v>0</v>
      </c>
      <c r="BI18" s="30">
        <v>0</v>
      </c>
      <c r="BJ18" s="31">
        <v>0</v>
      </c>
      <c r="BK18" s="31">
        <f t="shared" si="14"/>
        <v>0</v>
      </c>
      <c r="BL18" s="29">
        <v>0</v>
      </c>
      <c r="BM18" s="30">
        <v>0</v>
      </c>
      <c r="BN18" s="31">
        <v>0</v>
      </c>
      <c r="BO18" s="31">
        <f t="shared" si="15"/>
        <v>0</v>
      </c>
      <c r="BP18" s="29">
        <v>0</v>
      </c>
      <c r="BQ18" s="30">
        <v>0</v>
      </c>
      <c r="BR18" s="31">
        <v>0</v>
      </c>
      <c r="BS18" s="31">
        <f t="shared" si="16"/>
        <v>0</v>
      </c>
      <c r="BT18" s="29">
        <v>1</v>
      </c>
      <c r="BU18" s="30">
        <f t="shared" si="17"/>
        <v>9</v>
      </c>
      <c r="BV18" s="31">
        <f t="shared" si="18"/>
        <v>2</v>
      </c>
      <c r="BW18" s="31">
        <f t="shared" si="19"/>
        <v>3</v>
      </c>
      <c r="BX18" s="31">
        <f t="shared" si="20"/>
        <v>0.81818181818181823</v>
      </c>
      <c r="BY18" s="31">
        <f t="shared" si="21"/>
        <v>0.75</v>
      </c>
      <c r="BZ18" s="29">
        <f t="shared" si="22"/>
        <v>0.78260869565217384</v>
      </c>
      <c r="CC18" s="133" t="s">
        <v>90</v>
      </c>
      <c r="CD18">
        <f>AVERAGE(BX33:BX34)</f>
        <v>0.83333333333333337</v>
      </c>
      <c r="CE18">
        <f t="shared" ref="CE18:CF18" si="42">AVERAGE(BY33:BY34)</f>
        <v>0.75</v>
      </c>
      <c r="CF18">
        <f t="shared" si="42"/>
        <v>0.78703703703703709</v>
      </c>
    </row>
    <row r="19" spans="1:84" x14ac:dyDescent="0.35">
      <c r="A19" s="57" t="s">
        <v>48</v>
      </c>
      <c r="B19" s="148"/>
      <c r="C19" s="148"/>
      <c r="D19" s="32" t="s">
        <v>34</v>
      </c>
      <c r="E19" s="33">
        <v>2</v>
      </c>
      <c r="F19" s="34">
        <v>2</v>
      </c>
      <c r="G19" s="34">
        <f t="shared" si="0"/>
        <v>0</v>
      </c>
      <c r="H19" s="32">
        <v>1</v>
      </c>
      <c r="I19" s="33">
        <v>2</v>
      </c>
      <c r="J19" s="34">
        <v>2</v>
      </c>
      <c r="K19" s="34">
        <f t="shared" si="35"/>
        <v>0</v>
      </c>
      <c r="L19" s="32">
        <v>0</v>
      </c>
      <c r="M19" s="33">
        <v>1</v>
      </c>
      <c r="N19" s="34">
        <v>1</v>
      </c>
      <c r="O19" s="34">
        <f t="shared" si="36"/>
        <v>0</v>
      </c>
      <c r="P19" s="32">
        <v>0</v>
      </c>
      <c r="Q19" s="33">
        <v>1</v>
      </c>
      <c r="R19" s="34">
        <v>1</v>
      </c>
      <c r="S19" s="34">
        <f t="shared" si="3"/>
        <v>0</v>
      </c>
      <c r="T19" s="32">
        <v>1</v>
      </c>
      <c r="U19" s="33">
        <v>1</v>
      </c>
      <c r="V19" s="34">
        <v>1</v>
      </c>
      <c r="W19" s="34">
        <f t="shared" si="37"/>
        <v>0</v>
      </c>
      <c r="X19" s="32">
        <v>0</v>
      </c>
      <c r="Y19" s="33">
        <v>1</v>
      </c>
      <c r="Z19" s="34">
        <v>1</v>
      </c>
      <c r="AA19" s="34">
        <f t="shared" si="40"/>
        <v>0</v>
      </c>
      <c r="AB19" s="32">
        <v>1</v>
      </c>
      <c r="AC19" s="33">
        <v>1</v>
      </c>
      <c r="AD19" s="34">
        <v>1</v>
      </c>
      <c r="AE19" s="34">
        <f t="shared" si="6"/>
        <v>0</v>
      </c>
      <c r="AF19" s="32">
        <v>1</v>
      </c>
      <c r="AG19" s="33">
        <v>1</v>
      </c>
      <c r="AH19" s="34">
        <v>1</v>
      </c>
      <c r="AI19" s="34">
        <f t="shared" si="7"/>
        <v>0</v>
      </c>
      <c r="AJ19" s="32">
        <v>0</v>
      </c>
      <c r="AK19" s="33">
        <v>0</v>
      </c>
      <c r="AL19" s="34">
        <v>0</v>
      </c>
      <c r="AM19" s="34">
        <f t="shared" si="8"/>
        <v>0</v>
      </c>
      <c r="AN19" s="32">
        <v>0</v>
      </c>
      <c r="AO19" s="33">
        <v>0</v>
      </c>
      <c r="AP19" s="34">
        <v>0</v>
      </c>
      <c r="AQ19" s="34">
        <f t="shared" si="9"/>
        <v>0</v>
      </c>
      <c r="AR19" s="32">
        <v>1</v>
      </c>
      <c r="AS19" s="33">
        <v>0</v>
      </c>
      <c r="AT19" s="34">
        <v>0</v>
      </c>
      <c r="AU19" s="34">
        <f t="shared" si="10"/>
        <v>0</v>
      </c>
      <c r="AV19" s="32">
        <v>0</v>
      </c>
      <c r="AW19" s="33">
        <v>1</v>
      </c>
      <c r="AX19" s="34">
        <v>0</v>
      </c>
      <c r="AY19" s="34">
        <f t="shared" si="11"/>
        <v>1</v>
      </c>
      <c r="AZ19" s="32">
        <v>1</v>
      </c>
      <c r="BA19" s="33">
        <v>1</v>
      </c>
      <c r="BB19" s="34">
        <v>0</v>
      </c>
      <c r="BC19" s="34">
        <f t="shared" si="12"/>
        <v>1</v>
      </c>
      <c r="BD19" s="32">
        <v>2</v>
      </c>
      <c r="BE19" s="33">
        <v>0</v>
      </c>
      <c r="BF19" s="34">
        <v>0</v>
      </c>
      <c r="BG19" s="34">
        <f t="shared" si="13"/>
        <v>0</v>
      </c>
      <c r="BH19" s="32">
        <v>0</v>
      </c>
      <c r="BI19" s="33">
        <v>0</v>
      </c>
      <c r="BJ19" s="34">
        <v>0</v>
      </c>
      <c r="BK19" s="34">
        <f t="shared" si="14"/>
        <v>0</v>
      </c>
      <c r="BL19" s="32">
        <v>0</v>
      </c>
      <c r="BM19" s="33">
        <v>0</v>
      </c>
      <c r="BN19" s="34">
        <v>0</v>
      </c>
      <c r="BO19" s="34">
        <f t="shared" si="15"/>
        <v>0</v>
      </c>
      <c r="BP19" s="32">
        <v>0</v>
      </c>
      <c r="BQ19" s="33">
        <v>0</v>
      </c>
      <c r="BR19" s="34">
        <v>0</v>
      </c>
      <c r="BS19" s="34">
        <f t="shared" si="16"/>
        <v>0</v>
      </c>
      <c r="BT19" s="32">
        <v>1</v>
      </c>
      <c r="BU19" s="33">
        <f t="shared" si="17"/>
        <v>10</v>
      </c>
      <c r="BV19" s="34">
        <f t="shared" si="18"/>
        <v>2</v>
      </c>
      <c r="BW19" s="34">
        <f t="shared" si="19"/>
        <v>9</v>
      </c>
      <c r="BX19" s="34">
        <f t="shared" si="20"/>
        <v>0.83333333333333337</v>
      </c>
      <c r="BY19" s="34">
        <f t="shared" si="21"/>
        <v>0.52631578947368418</v>
      </c>
      <c r="BZ19" s="32">
        <f t="shared" si="22"/>
        <v>0.64516129032258063</v>
      </c>
      <c r="CC19" s="133" t="s">
        <v>57</v>
      </c>
      <c r="CD19">
        <f>AVERAGE(CD3:CD18)</f>
        <v>0.81427755761395459</v>
      </c>
      <c r="CE19">
        <f t="shared" ref="CE19:CF19" si="43">AVERAGE(CE3:CE18)</f>
        <v>0.84172509690601793</v>
      </c>
      <c r="CF19">
        <f t="shared" si="43"/>
        <v>0.82107415179452914</v>
      </c>
    </row>
    <row r="20" spans="1:84" x14ac:dyDescent="0.35">
      <c r="A20" s="57" t="s">
        <v>48</v>
      </c>
      <c r="B20" s="148"/>
      <c r="C20" s="148"/>
      <c r="D20" s="32" t="s">
        <v>67</v>
      </c>
      <c r="E20" s="33">
        <v>2</v>
      </c>
      <c r="F20" s="34">
        <v>2</v>
      </c>
      <c r="G20" s="34">
        <f t="shared" si="0"/>
        <v>0</v>
      </c>
      <c r="H20" s="32">
        <v>1</v>
      </c>
      <c r="I20" s="33">
        <v>2</v>
      </c>
      <c r="J20" s="34">
        <v>2</v>
      </c>
      <c r="K20" s="34">
        <f t="shared" si="35"/>
        <v>0</v>
      </c>
      <c r="L20" s="32">
        <v>0</v>
      </c>
      <c r="M20" s="33">
        <v>1</v>
      </c>
      <c r="N20" s="34">
        <v>1</v>
      </c>
      <c r="O20" s="34">
        <f t="shared" si="36"/>
        <v>0</v>
      </c>
      <c r="P20" s="32">
        <v>0</v>
      </c>
      <c r="Q20" s="33">
        <v>1</v>
      </c>
      <c r="R20" s="34">
        <v>1</v>
      </c>
      <c r="S20" s="34">
        <f t="shared" si="3"/>
        <v>0</v>
      </c>
      <c r="T20" s="32">
        <v>1</v>
      </c>
      <c r="U20" s="33">
        <v>1</v>
      </c>
      <c r="V20" s="34">
        <v>1</v>
      </c>
      <c r="W20" s="34">
        <f t="shared" si="37"/>
        <v>0</v>
      </c>
      <c r="X20" s="32">
        <v>0</v>
      </c>
      <c r="Y20" s="33">
        <v>1</v>
      </c>
      <c r="Z20" s="34">
        <v>1</v>
      </c>
      <c r="AA20" s="34">
        <f t="shared" si="40"/>
        <v>0</v>
      </c>
      <c r="AB20" s="32">
        <v>1</v>
      </c>
      <c r="AC20" s="33">
        <v>1</v>
      </c>
      <c r="AD20" s="34">
        <v>1</v>
      </c>
      <c r="AE20" s="34">
        <f t="shared" si="6"/>
        <v>0</v>
      </c>
      <c r="AF20" s="32">
        <v>1</v>
      </c>
      <c r="AG20" s="33">
        <v>1</v>
      </c>
      <c r="AH20" s="34">
        <v>1</v>
      </c>
      <c r="AI20" s="34">
        <f t="shared" si="7"/>
        <v>0</v>
      </c>
      <c r="AJ20" s="32">
        <v>0</v>
      </c>
      <c r="AK20" s="33">
        <v>0</v>
      </c>
      <c r="AL20" s="34">
        <v>0</v>
      </c>
      <c r="AM20" s="34">
        <f t="shared" si="8"/>
        <v>0</v>
      </c>
      <c r="AN20" s="32">
        <v>0</v>
      </c>
      <c r="AO20" s="33">
        <v>0</v>
      </c>
      <c r="AP20" s="34">
        <v>0</v>
      </c>
      <c r="AQ20" s="34">
        <f t="shared" si="9"/>
        <v>0</v>
      </c>
      <c r="AR20" s="32">
        <v>1</v>
      </c>
      <c r="AS20" s="33">
        <v>0</v>
      </c>
      <c r="AT20" s="34">
        <v>0</v>
      </c>
      <c r="AU20" s="34">
        <f t="shared" si="10"/>
        <v>0</v>
      </c>
      <c r="AV20" s="32">
        <v>0</v>
      </c>
      <c r="AW20" s="33">
        <v>1</v>
      </c>
      <c r="AX20" s="34">
        <v>0</v>
      </c>
      <c r="AY20" s="34">
        <f t="shared" si="11"/>
        <v>1</v>
      </c>
      <c r="AZ20" s="32">
        <v>1</v>
      </c>
      <c r="BA20" s="33">
        <v>1</v>
      </c>
      <c r="BB20" s="34">
        <v>0</v>
      </c>
      <c r="BC20" s="34">
        <f t="shared" si="12"/>
        <v>1</v>
      </c>
      <c r="BD20" s="32">
        <v>2</v>
      </c>
      <c r="BE20" s="33">
        <v>0</v>
      </c>
      <c r="BF20" s="34">
        <v>0</v>
      </c>
      <c r="BG20" s="34">
        <f t="shared" si="13"/>
        <v>0</v>
      </c>
      <c r="BH20" s="32">
        <v>0</v>
      </c>
      <c r="BI20" s="33">
        <v>0</v>
      </c>
      <c r="BJ20" s="34">
        <v>0</v>
      </c>
      <c r="BK20" s="34">
        <f t="shared" si="14"/>
        <v>0</v>
      </c>
      <c r="BL20" s="32">
        <v>0</v>
      </c>
      <c r="BM20" s="33">
        <v>0</v>
      </c>
      <c r="BN20" s="34">
        <v>0</v>
      </c>
      <c r="BO20" s="34">
        <f t="shared" si="15"/>
        <v>0</v>
      </c>
      <c r="BP20" s="32">
        <v>0</v>
      </c>
      <c r="BQ20" s="33">
        <v>0</v>
      </c>
      <c r="BR20" s="34">
        <v>0</v>
      </c>
      <c r="BS20" s="34">
        <f t="shared" si="16"/>
        <v>0</v>
      </c>
      <c r="BT20" s="32">
        <v>1</v>
      </c>
      <c r="BU20" s="33">
        <f t="shared" si="17"/>
        <v>10</v>
      </c>
      <c r="BV20" s="34">
        <f t="shared" si="18"/>
        <v>2</v>
      </c>
      <c r="BW20" s="34">
        <f t="shared" si="19"/>
        <v>9</v>
      </c>
      <c r="BX20" s="34">
        <f t="shared" si="20"/>
        <v>0.83333333333333337</v>
      </c>
      <c r="BY20" s="34">
        <f t="shared" si="21"/>
        <v>0.52631578947368418</v>
      </c>
      <c r="BZ20" s="32">
        <f t="shared" si="22"/>
        <v>0.64516129032258063</v>
      </c>
    </row>
    <row r="21" spans="1:84" x14ac:dyDescent="0.35">
      <c r="A21" s="58" t="s">
        <v>48</v>
      </c>
      <c r="B21" s="148"/>
      <c r="C21" s="148"/>
      <c r="D21" s="35" t="s">
        <v>35</v>
      </c>
      <c r="E21" s="36">
        <v>2</v>
      </c>
      <c r="F21" s="37">
        <v>2</v>
      </c>
      <c r="G21" s="37">
        <f t="shared" si="0"/>
        <v>0</v>
      </c>
      <c r="H21" s="35">
        <v>0</v>
      </c>
      <c r="I21" s="36">
        <v>2</v>
      </c>
      <c r="J21" s="37">
        <v>0</v>
      </c>
      <c r="K21" s="37">
        <f t="shared" si="35"/>
        <v>2</v>
      </c>
      <c r="L21" s="35">
        <v>0</v>
      </c>
      <c r="M21" s="36">
        <v>3</v>
      </c>
      <c r="N21" s="37">
        <v>0</v>
      </c>
      <c r="O21" s="37">
        <f t="shared" si="36"/>
        <v>3</v>
      </c>
      <c r="P21" s="35">
        <v>0</v>
      </c>
      <c r="Q21" s="36">
        <v>2</v>
      </c>
      <c r="R21" s="37">
        <v>2</v>
      </c>
      <c r="S21" s="37">
        <f t="shared" si="3"/>
        <v>0</v>
      </c>
      <c r="T21" s="35">
        <v>1</v>
      </c>
      <c r="U21" s="36">
        <v>2</v>
      </c>
      <c r="V21" s="37">
        <v>2</v>
      </c>
      <c r="W21" s="37">
        <f t="shared" si="37"/>
        <v>0</v>
      </c>
      <c r="X21" s="35">
        <v>0</v>
      </c>
      <c r="Y21" s="36">
        <v>2</v>
      </c>
      <c r="Z21" s="37">
        <v>2</v>
      </c>
      <c r="AA21" s="37">
        <f t="shared" si="40"/>
        <v>0</v>
      </c>
      <c r="AB21" s="35">
        <v>0</v>
      </c>
      <c r="AC21" s="36">
        <v>0</v>
      </c>
      <c r="AD21" s="37">
        <v>0</v>
      </c>
      <c r="AE21" s="37">
        <f t="shared" si="6"/>
        <v>0</v>
      </c>
      <c r="AF21" s="35">
        <v>0</v>
      </c>
      <c r="AG21" s="36">
        <v>2</v>
      </c>
      <c r="AH21" s="37">
        <v>2</v>
      </c>
      <c r="AI21" s="37">
        <f t="shared" si="7"/>
        <v>0</v>
      </c>
      <c r="AJ21" s="35">
        <v>0</v>
      </c>
      <c r="AK21" s="36">
        <v>0</v>
      </c>
      <c r="AL21" s="37">
        <v>0</v>
      </c>
      <c r="AM21" s="37">
        <f t="shared" si="8"/>
        <v>0</v>
      </c>
      <c r="AN21" s="35">
        <v>0</v>
      </c>
      <c r="AO21" s="36">
        <v>0</v>
      </c>
      <c r="AP21" s="37">
        <v>0</v>
      </c>
      <c r="AQ21" s="37">
        <f t="shared" si="9"/>
        <v>0</v>
      </c>
      <c r="AR21" s="35">
        <v>1</v>
      </c>
      <c r="AS21" s="36">
        <v>0</v>
      </c>
      <c r="AT21" s="37">
        <v>0</v>
      </c>
      <c r="AU21" s="37">
        <f t="shared" si="10"/>
        <v>0</v>
      </c>
      <c r="AV21" s="35">
        <v>0</v>
      </c>
      <c r="AW21" s="36">
        <v>1</v>
      </c>
      <c r="AX21" s="37">
        <v>0</v>
      </c>
      <c r="AY21" s="37">
        <f t="shared" si="11"/>
        <v>1</v>
      </c>
      <c r="AZ21" s="35">
        <v>1</v>
      </c>
      <c r="BA21" s="36">
        <v>1</v>
      </c>
      <c r="BB21" s="37">
        <v>0</v>
      </c>
      <c r="BC21" s="37">
        <f t="shared" si="12"/>
        <v>1</v>
      </c>
      <c r="BD21" s="35">
        <v>1</v>
      </c>
      <c r="BE21" s="36">
        <v>0</v>
      </c>
      <c r="BF21" s="37">
        <v>0</v>
      </c>
      <c r="BG21" s="37">
        <f t="shared" si="13"/>
        <v>0</v>
      </c>
      <c r="BH21" s="35">
        <v>0</v>
      </c>
      <c r="BI21" s="36">
        <v>0</v>
      </c>
      <c r="BJ21" s="37">
        <v>0</v>
      </c>
      <c r="BK21" s="37">
        <f t="shared" si="14"/>
        <v>0</v>
      </c>
      <c r="BL21" s="35">
        <v>0</v>
      </c>
      <c r="BM21" s="36">
        <v>0</v>
      </c>
      <c r="BN21" s="37">
        <v>0</v>
      </c>
      <c r="BO21" s="37">
        <f t="shared" si="15"/>
        <v>0</v>
      </c>
      <c r="BP21" s="35">
        <v>0</v>
      </c>
      <c r="BQ21" s="36">
        <v>0</v>
      </c>
      <c r="BR21" s="37">
        <v>0</v>
      </c>
      <c r="BS21" s="37">
        <f t="shared" si="16"/>
        <v>0</v>
      </c>
      <c r="BT21" s="35">
        <v>0</v>
      </c>
      <c r="BU21" s="36">
        <f t="shared" si="17"/>
        <v>10</v>
      </c>
      <c r="BV21" s="37">
        <f t="shared" si="18"/>
        <v>7</v>
      </c>
      <c r="BW21" s="37">
        <f t="shared" si="19"/>
        <v>4</v>
      </c>
      <c r="BX21" s="37">
        <f t="shared" si="20"/>
        <v>0.58823529411764708</v>
      </c>
      <c r="BY21" s="37">
        <f t="shared" si="21"/>
        <v>0.7142857142857143</v>
      </c>
      <c r="BZ21" s="35">
        <f t="shared" si="22"/>
        <v>0.64516129032258063</v>
      </c>
    </row>
    <row r="22" spans="1:84" x14ac:dyDescent="0.35">
      <c r="A22" s="58" t="s">
        <v>48</v>
      </c>
      <c r="B22" s="148"/>
      <c r="C22" s="148"/>
      <c r="D22" s="35" t="s">
        <v>68</v>
      </c>
      <c r="E22" s="36">
        <v>2</v>
      </c>
      <c r="F22" s="37">
        <v>2</v>
      </c>
      <c r="G22" s="37">
        <f t="shared" si="0"/>
        <v>0</v>
      </c>
      <c r="H22" s="35">
        <v>0</v>
      </c>
      <c r="I22" s="36">
        <v>2</v>
      </c>
      <c r="J22" s="37">
        <v>0</v>
      </c>
      <c r="K22" s="37">
        <f t="shared" si="35"/>
        <v>2</v>
      </c>
      <c r="L22" s="35">
        <v>0</v>
      </c>
      <c r="M22" s="36">
        <v>3</v>
      </c>
      <c r="N22" s="37">
        <v>0</v>
      </c>
      <c r="O22" s="37">
        <f t="shared" si="36"/>
        <v>3</v>
      </c>
      <c r="P22" s="35">
        <v>0</v>
      </c>
      <c r="Q22" s="36">
        <v>2</v>
      </c>
      <c r="R22" s="37">
        <v>2</v>
      </c>
      <c r="S22" s="37">
        <f t="shared" si="3"/>
        <v>0</v>
      </c>
      <c r="T22" s="35">
        <v>1</v>
      </c>
      <c r="U22" s="36">
        <v>2</v>
      </c>
      <c r="V22" s="37">
        <v>2</v>
      </c>
      <c r="W22" s="37">
        <f t="shared" si="37"/>
        <v>0</v>
      </c>
      <c r="X22" s="35">
        <v>0</v>
      </c>
      <c r="Y22" s="36">
        <v>2</v>
      </c>
      <c r="Z22" s="37">
        <v>2</v>
      </c>
      <c r="AA22" s="37">
        <f t="shared" si="40"/>
        <v>0</v>
      </c>
      <c r="AB22" s="35">
        <v>0</v>
      </c>
      <c r="AC22" s="36">
        <v>0</v>
      </c>
      <c r="AD22" s="37">
        <v>0</v>
      </c>
      <c r="AE22" s="37">
        <f t="shared" si="6"/>
        <v>0</v>
      </c>
      <c r="AF22" s="35">
        <v>0</v>
      </c>
      <c r="AG22" s="36">
        <v>2</v>
      </c>
      <c r="AH22" s="37">
        <v>2</v>
      </c>
      <c r="AI22" s="37">
        <f t="shared" si="7"/>
        <v>0</v>
      </c>
      <c r="AJ22" s="35">
        <v>0</v>
      </c>
      <c r="AK22" s="36">
        <v>0</v>
      </c>
      <c r="AL22" s="37">
        <v>0</v>
      </c>
      <c r="AM22" s="37">
        <f t="shared" si="8"/>
        <v>0</v>
      </c>
      <c r="AN22" s="35">
        <v>0</v>
      </c>
      <c r="AO22" s="36">
        <v>0</v>
      </c>
      <c r="AP22" s="37">
        <v>0</v>
      </c>
      <c r="AQ22" s="37">
        <f t="shared" si="9"/>
        <v>0</v>
      </c>
      <c r="AR22" s="35">
        <v>1</v>
      </c>
      <c r="AS22" s="36">
        <v>0</v>
      </c>
      <c r="AT22" s="37">
        <v>0</v>
      </c>
      <c r="AU22" s="37">
        <f t="shared" si="10"/>
        <v>0</v>
      </c>
      <c r="AV22" s="35">
        <v>0</v>
      </c>
      <c r="AW22" s="36">
        <v>1</v>
      </c>
      <c r="AX22" s="37">
        <v>0</v>
      </c>
      <c r="AY22" s="37">
        <f t="shared" si="11"/>
        <v>1</v>
      </c>
      <c r="AZ22" s="35">
        <v>1</v>
      </c>
      <c r="BA22" s="36">
        <v>1</v>
      </c>
      <c r="BB22" s="37">
        <v>0</v>
      </c>
      <c r="BC22" s="37">
        <f t="shared" si="12"/>
        <v>1</v>
      </c>
      <c r="BD22" s="35">
        <v>1</v>
      </c>
      <c r="BE22" s="36">
        <v>0</v>
      </c>
      <c r="BF22" s="37">
        <v>0</v>
      </c>
      <c r="BG22" s="37">
        <f t="shared" si="13"/>
        <v>0</v>
      </c>
      <c r="BH22" s="35">
        <v>0</v>
      </c>
      <c r="BI22" s="36">
        <v>0</v>
      </c>
      <c r="BJ22" s="37">
        <v>0</v>
      </c>
      <c r="BK22" s="37">
        <f t="shared" si="14"/>
        <v>0</v>
      </c>
      <c r="BL22" s="35">
        <v>0</v>
      </c>
      <c r="BM22" s="36">
        <v>0</v>
      </c>
      <c r="BN22" s="37">
        <v>0</v>
      </c>
      <c r="BO22" s="37">
        <f t="shared" si="15"/>
        <v>0</v>
      </c>
      <c r="BP22" s="35">
        <v>0</v>
      </c>
      <c r="BQ22" s="36">
        <v>0</v>
      </c>
      <c r="BR22" s="37">
        <v>0</v>
      </c>
      <c r="BS22" s="37">
        <f t="shared" si="16"/>
        <v>0</v>
      </c>
      <c r="BT22" s="35">
        <v>0</v>
      </c>
      <c r="BU22" s="36">
        <f t="shared" si="17"/>
        <v>10</v>
      </c>
      <c r="BV22" s="37">
        <f t="shared" si="18"/>
        <v>7</v>
      </c>
      <c r="BW22" s="37">
        <f t="shared" si="19"/>
        <v>4</v>
      </c>
      <c r="BX22" s="37">
        <f t="shared" si="20"/>
        <v>0.58823529411764708</v>
      </c>
      <c r="BY22" s="37">
        <f t="shared" si="21"/>
        <v>0.7142857142857143</v>
      </c>
      <c r="BZ22" s="35">
        <f t="shared" si="22"/>
        <v>0.64516129032258063</v>
      </c>
    </row>
    <row r="23" spans="1:84" x14ac:dyDescent="0.35">
      <c r="A23" s="59" t="s">
        <v>48</v>
      </c>
      <c r="B23" s="148"/>
      <c r="C23" s="148"/>
      <c r="D23" s="38" t="s">
        <v>36</v>
      </c>
      <c r="E23" s="39">
        <v>2</v>
      </c>
      <c r="F23" s="40">
        <v>2</v>
      </c>
      <c r="G23" s="40">
        <f t="shared" si="0"/>
        <v>0</v>
      </c>
      <c r="H23" s="38">
        <v>0</v>
      </c>
      <c r="I23" s="39">
        <v>2</v>
      </c>
      <c r="J23" s="40">
        <v>2</v>
      </c>
      <c r="K23" s="40">
        <f t="shared" si="35"/>
        <v>0</v>
      </c>
      <c r="L23" s="38">
        <v>0</v>
      </c>
      <c r="M23" s="39">
        <v>0</v>
      </c>
      <c r="N23" s="40">
        <v>0</v>
      </c>
      <c r="O23" s="40">
        <f t="shared" si="36"/>
        <v>0</v>
      </c>
      <c r="P23" s="38">
        <v>0</v>
      </c>
      <c r="Q23" s="39">
        <v>1</v>
      </c>
      <c r="R23" s="40">
        <v>1</v>
      </c>
      <c r="S23" s="40">
        <f t="shared" si="3"/>
        <v>0</v>
      </c>
      <c r="T23" s="38">
        <v>1</v>
      </c>
      <c r="U23" s="39">
        <v>1</v>
      </c>
      <c r="V23" s="40">
        <v>1</v>
      </c>
      <c r="W23" s="40">
        <f t="shared" si="37"/>
        <v>0</v>
      </c>
      <c r="X23" s="38">
        <v>0</v>
      </c>
      <c r="Y23" s="39">
        <v>1</v>
      </c>
      <c r="Z23" s="40">
        <v>1</v>
      </c>
      <c r="AA23" s="40">
        <f t="shared" si="40"/>
        <v>0</v>
      </c>
      <c r="AB23" s="38">
        <v>0</v>
      </c>
      <c r="AC23" s="39">
        <v>1</v>
      </c>
      <c r="AD23" s="40">
        <v>1</v>
      </c>
      <c r="AE23" s="40">
        <f t="shared" si="6"/>
        <v>0</v>
      </c>
      <c r="AF23" s="38">
        <v>0</v>
      </c>
      <c r="AG23" s="39">
        <v>1</v>
      </c>
      <c r="AH23" s="40">
        <v>1</v>
      </c>
      <c r="AI23" s="40">
        <f t="shared" si="7"/>
        <v>0</v>
      </c>
      <c r="AJ23" s="38">
        <v>0</v>
      </c>
      <c r="AK23" s="39">
        <v>0</v>
      </c>
      <c r="AL23" s="40">
        <v>0</v>
      </c>
      <c r="AM23" s="40">
        <f t="shared" si="8"/>
        <v>0</v>
      </c>
      <c r="AN23" s="38">
        <v>0</v>
      </c>
      <c r="AO23" s="39">
        <v>0</v>
      </c>
      <c r="AP23" s="40">
        <v>0</v>
      </c>
      <c r="AQ23" s="40">
        <f t="shared" si="9"/>
        <v>0</v>
      </c>
      <c r="AR23" s="38">
        <v>0</v>
      </c>
      <c r="AS23" s="39">
        <v>1</v>
      </c>
      <c r="AT23" s="40">
        <v>0</v>
      </c>
      <c r="AU23" s="40">
        <f t="shared" si="10"/>
        <v>1</v>
      </c>
      <c r="AV23" s="38">
        <v>0</v>
      </c>
      <c r="AW23" s="39">
        <v>0</v>
      </c>
      <c r="AX23" s="40">
        <v>0</v>
      </c>
      <c r="AY23" s="40">
        <f t="shared" si="11"/>
        <v>0</v>
      </c>
      <c r="AZ23" s="38">
        <v>1</v>
      </c>
      <c r="BA23" s="39">
        <v>1</v>
      </c>
      <c r="BB23" s="40">
        <v>1</v>
      </c>
      <c r="BC23" s="40">
        <f t="shared" si="12"/>
        <v>0</v>
      </c>
      <c r="BD23" s="38">
        <v>0</v>
      </c>
      <c r="BE23" s="39">
        <v>0</v>
      </c>
      <c r="BF23" s="40">
        <v>0</v>
      </c>
      <c r="BG23" s="40">
        <f t="shared" si="13"/>
        <v>0</v>
      </c>
      <c r="BH23" s="38">
        <v>0</v>
      </c>
      <c r="BI23" s="39">
        <v>0</v>
      </c>
      <c r="BJ23" s="40">
        <v>0</v>
      </c>
      <c r="BK23" s="40">
        <f t="shared" si="14"/>
        <v>0</v>
      </c>
      <c r="BL23" s="38">
        <v>0</v>
      </c>
      <c r="BM23" s="39">
        <v>0</v>
      </c>
      <c r="BN23" s="40">
        <v>0</v>
      </c>
      <c r="BO23" s="40">
        <f t="shared" si="15"/>
        <v>0</v>
      </c>
      <c r="BP23" s="38">
        <v>0</v>
      </c>
      <c r="BQ23" s="39">
        <v>0</v>
      </c>
      <c r="BR23" s="40">
        <v>0</v>
      </c>
      <c r="BS23" s="40">
        <f t="shared" si="16"/>
        <v>0</v>
      </c>
      <c r="BT23" s="38">
        <v>0</v>
      </c>
      <c r="BU23" s="39">
        <f t="shared" si="17"/>
        <v>10</v>
      </c>
      <c r="BV23" s="40">
        <f t="shared" si="18"/>
        <v>1</v>
      </c>
      <c r="BW23" s="40">
        <f t="shared" si="19"/>
        <v>2</v>
      </c>
      <c r="BX23" s="40">
        <f t="shared" si="20"/>
        <v>0.90909090909090906</v>
      </c>
      <c r="BY23" s="40">
        <f t="shared" si="21"/>
        <v>0.83333333333333337</v>
      </c>
      <c r="BZ23" s="38">
        <f t="shared" si="22"/>
        <v>0.86956521739130432</v>
      </c>
    </row>
    <row r="24" spans="1:84" x14ac:dyDescent="0.35">
      <c r="A24" s="59" t="s">
        <v>48</v>
      </c>
      <c r="B24" s="148"/>
      <c r="C24" s="148"/>
      <c r="D24" s="38" t="s">
        <v>69</v>
      </c>
      <c r="E24" s="39">
        <v>2</v>
      </c>
      <c r="F24" s="40">
        <v>2</v>
      </c>
      <c r="G24" s="40">
        <f t="shared" si="0"/>
        <v>0</v>
      </c>
      <c r="H24" s="38">
        <v>0</v>
      </c>
      <c r="I24" s="39">
        <v>2</v>
      </c>
      <c r="J24" s="40">
        <v>2</v>
      </c>
      <c r="K24" s="40">
        <f t="shared" si="35"/>
        <v>0</v>
      </c>
      <c r="L24" s="38">
        <v>0</v>
      </c>
      <c r="M24" s="39">
        <v>0</v>
      </c>
      <c r="N24" s="40">
        <v>0</v>
      </c>
      <c r="O24" s="40">
        <f t="shared" si="36"/>
        <v>0</v>
      </c>
      <c r="P24" s="38">
        <v>0</v>
      </c>
      <c r="Q24" s="39">
        <v>1</v>
      </c>
      <c r="R24" s="40">
        <v>1</v>
      </c>
      <c r="S24" s="40">
        <f t="shared" si="3"/>
        <v>0</v>
      </c>
      <c r="T24" s="38">
        <v>1</v>
      </c>
      <c r="U24" s="39">
        <v>1</v>
      </c>
      <c r="V24" s="40">
        <v>1</v>
      </c>
      <c r="W24" s="40">
        <f t="shared" si="37"/>
        <v>0</v>
      </c>
      <c r="X24" s="38">
        <v>0</v>
      </c>
      <c r="Y24" s="39">
        <v>1</v>
      </c>
      <c r="Z24" s="40">
        <v>1</v>
      </c>
      <c r="AA24" s="40">
        <f t="shared" si="40"/>
        <v>0</v>
      </c>
      <c r="AB24" s="38">
        <v>0</v>
      </c>
      <c r="AC24" s="39">
        <v>1</v>
      </c>
      <c r="AD24" s="40">
        <v>1</v>
      </c>
      <c r="AE24" s="40">
        <f t="shared" si="6"/>
        <v>0</v>
      </c>
      <c r="AF24" s="38">
        <v>0</v>
      </c>
      <c r="AG24" s="39">
        <v>1</v>
      </c>
      <c r="AH24" s="40">
        <v>1</v>
      </c>
      <c r="AI24" s="40">
        <f t="shared" si="7"/>
        <v>0</v>
      </c>
      <c r="AJ24" s="38">
        <v>0</v>
      </c>
      <c r="AK24" s="39">
        <v>0</v>
      </c>
      <c r="AL24" s="40">
        <v>0</v>
      </c>
      <c r="AM24" s="40">
        <f t="shared" si="8"/>
        <v>0</v>
      </c>
      <c r="AN24" s="38">
        <v>0</v>
      </c>
      <c r="AO24" s="39">
        <v>0</v>
      </c>
      <c r="AP24" s="40">
        <v>0</v>
      </c>
      <c r="AQ24" s="40">
        <f t="shared" si="9"/>
        <v>0</v>
      </c>
      <c r="AR24" s="38">
        <v>0</v>
      </c>
      <c r="AS24" s="39">
        <v>1</v>
      </c>
      <c r="AT24" s="40">
        <v>0</v>
      </c>
      <c r="AU24" s="40">
        <f t="shared" si="10"/>
        <v>1</v>
      </c>
      <c r="AV24" s="38">
        <v>0</v>
      </c>
      <c r="AW24" s="39">
        <v>0</v>
      </c>
      <c r="AX24" s="40">
        <v>0</v>
      </c>
      <c r="AY24" s="40">
        <f t="shared" si="11"/>
        <v>0</v>
      </c>
      <c r="AZ24" s="38">
        <v>1</v>
      </c>
      <c r="BA24" s="39">
        <v>1</v>
      </c>
      <c r="BB24" s="40">
        <v>1</v>
      </c>
      <c r="BC24" s="40">
        <f t="shared" si="12"/>
        <v>0</v>
      </c>
      <c r="BD24" s="38">
        <v>0</v>
      </c>
      <c r="BE24" s="39">
        <v>0</v>
      </c>
      <c r="BF24" s="40">
        <v>0</v>
      </c>
      <c r="BG24" s="40">
        <f t="shared" si="13"/>
        <v>0</v>
      </c>
      <c r="BH24" s="38">
        <v>0</v>
      </c>
      <c r="BI24" s="39">
        <v>0</v>
      </c>
      <c r="BJ24" s="40">
        <v>0</v>
      </c>
      <c r="BK24" s="40">
        <f t="shared" si="14"/>
        <v>0</v>
      </c>
      <c r="BL24" s="38">
        <v>0</v>
      </c>
      <c r="BM24" s="39">
        <v>0</v>
      </c>
      <c r="BN24" s="40">
        <v>0</v>
      </c>
      <c r="BO24" s="40">
        <f t="shared" si="15"/>
        <v>0</v>
      </c>
      <c r="BP24" s="38">
        <v>0</v>
      </c>
      <c r="BQ24" s="39">
        <v>0</v>
      </c>
      <c r="BR24" s="40">
        <v>0</v>
      </c>
      <c r="BS24" s="40">
        <f t="shared" si="16"/>
        <v>0</v>
      </c>
      <c r="BT24" s="38">
        <v>0</v>
      </c>
      <c r="BU24" s="39">
        <f t="shared" si="17"/>
        <v>10</v>
      </c>
      <c r="BV24" s="40">
        <f t="shared" si="18"/>
        <v>1</v>
      </c>
      <c r="BW24" s="40">
        <f t="shared" si="19"/>
        <v>2</v>
      </c>
      <c r="BX24" s="40">
        <f t="shared" si="20"/>
        <v>0.90909090909090906</v>
      </c>
      <c r="BY24" s="40">
        <f t="shared" si="21"/>
        <v>0.83333333333333337</v>
      </c>
      <c r="BZ24" s="38">
        <f t="shared" si="22"/>
        <v>0.86956521739130432</v>
      </c>
    </row>
    <row r="25" spans="1:84" x14ac:dyDescent="0.35">
      <c r="A25" s="60" t="s">
        <v>48</v>
      </c>
      <c r="B25" s="148"/>
      <c r="C25" s="148"/>
      <c r="D25" s="41" t="s">
        <v>37</v>
      </c>
      <c r="E25" s="42">
        <v>2</v>
      </c>
      <c r="F25" s="43">
        <v>2</v>
      </c>
      <c r="G25" s="43">
        <f t="shared" si="0"/>
        <v>0</v>
      </c>
      <c r="H25" s="41">
        <v>0</v>
      </c>
      <c r="I25" s="42">
        <v>2</v>
      </c>
      <c r="J25" s="43">
        <v>0</v>
      </c>
      <c r="K25" s="43">
        <f t="shared" si="35"/>
        <v>2</v>
      </c>
      <c r="L25" s="41">
        <v>0</v>
      </c>
      <c r="M25" s="42">
        <v>0</v>
      </c>
      <c r="N25" s="43">
        <v>0</v>
      </c>
      <c r="O25" s="43">
        <f t="shared" si="36"/>
        <v>0</v>
      </c>
      <c r="P25" s="41">
        <v>0</v>
      </c>
      <c r="Q25" s="42">
        <v>2</v>
      </c>
      <c r="R25" s="43">
        <v>2</v>
      </c>
      <c r="S25" s="43">
        <f t="shared" si="3"/>
        <v>0</v>
      </c>
      <c r="T25" s="41">
        <v>0</v>
      </c>
      <c r="U25" s="42">
        <v>2</v>
      </c>
      <c r="V25" s="43">
        <v>2</v>
      </c>
      <c r="W25" s="43">
        <f t="shared" si="37"/>
        <v>0</v>
      </c>
      <c r="X25" s="41">
        <v>0</v>
      </c>
      <c r="Y25" s="42">
        <v>2</v>
      </c>
      <c r="Z25" s="43">
        <v>2</v>
      </c>
      <c r="AA25" s="43">
        <f t="shared" si="40"/>
        <v>0</v>
      </c>
      <c r="AB25" s="41">
        <v>0</v>
      </c>
      <c r="AC25" s="42">
        <v>2</v>
      </c>
      <c r="AD25" s="43">
        <v>2</v>
      </c>
      <c r="AE25" s="43">
        <f t="shared" si="6"/>
        <v>0</v>
      </c>
      <c r="AF25" s="41">
        <v>0</v>
      </c>
      <c r="AG25" s="42">
        <v>2</v>
      </c>
      <c r="AH25" s="43">
        <v>2</v>
      </c>
      <c r="AI25" s="43">
        <f t="shared" si="7"/>
        <v>0</v>
      </c>
      <c r="AJ25" s="41">
        <v>0</v>
      </c>
      <c r="AK25" s="42">
        <v>0</v>
      </c>
      <c r="AL25" s="43">
        <v>0</v>
      </c>
      <c r="AM25" s="43">
        <f t="shared" si="8"/>
        <v>0</v>
      </c>
      <c r="AN25" s="41">
        <v>0</v>
      </c>
      <c r="AO25" s="42">
        <v>0</v>
      </c>
      <c r="AP25" s="43">
        <v>0</v>
      </c>
      <c r="AQ25" s="43">
        <f t="shared" si="9"/>
        <v>0</v>
      </c>
      <c r="AR25" s="41">
        <v>0</v>
      </c>
      <c r="AS25" s="42">
        <v>1</v>
      </c>
      <c r="AT25" s="43">
        <v>1</v>
      </c>
      <c r="AU25" s="43">
        <f t="shared" si="10"/>
        <v>0</v>
      </c>
      <c r="AV25" s="41">
        <v>0</v>
      </c>
      <c r="AW25" s="42">
        <v>0</v>
      </c>
      <c r="AX25" s="43">
        <v>0</v>
      </c>
      <c r="AY25" s="43">
        <f t="shared" si="11"/>
        <v>0</v>
      </c>
      <c r="AZ25" s="41">
        <v>0</v>
      </c>
      <c r="BA25" s="42">
        <v>1</v>
      </c>
      <c r="BB25" s="43">
        <v>0</v>
      </c>
      <c r="BC25" s="43">
        <f t="shared" si="12"/>
        <v>1</v>
      </c>
      <c r="BD25" s="41">
        <v>1</v>
      </c>
      <c r="BE25" s="42">
        <v>0</v>
      </c>
      <c r="BF25" s="43">
        <v>0</v>
      </c>
      <c r="BG25" s="43">
        <f t="shared" si="13"/>
        <v>0</v>
      </c>
      <c r="BH25" s="41">
        <v>0</v>
      </c>
      <c r="BI25" s="42">
        <v>0</v>
      </c>
      <c r="BJ25" s="43">
        <v>0</v>
      </c>
      <c r="BK25" s="43">
        <f t="shared" si="14"/>
        <v>0</v>
      </c>
      <c r="BL25" s="41">
        <v>0</v>
      </c>
      <c r="BM25" s="42">
        <v>0</v>
      </c>
      <c r="BN25" s="43">
        <v>0</v>
      </c>
      <c r="BO25" s="43">
        <f t="shared" si="15"/>
        <v>0</v>
      </c>
      <c r="BP25" s="41">
        <v>0</v>
      </c>
      <c r="BQ25" s="42">
        <v>0</v>
      </c>
      <c r="BR25" s="43">
        <v>0</v>
      </c>
      <c r="BS25" s="43">
        <f t="shared" si="16"/>
        <v>0</v>
      </c>
      <c r="BT25" s="41">
        <v>0</v>
      </c>
      <c r="BU25" s="42">
        <f t="shared" si="17"/>
        <v>13</v>
      </c>
      <c r="BV25" s="43">
        <f t="shared" si="18"/>
        <v>3</v>
      </c>
      <c r="BW25" s="43">
        <f t="shared" si="19"/>
        <v>1</v>
      </c>
      <c r="BX25" s="43">
        <f t="shared" si="20"/>
        <v>0.8125</v>
      </c>
      <c r="BY25" s="43">
        <f t="shared" si="21"/>
        <v>0.9285714285714286</v>
      </c>
      <c r="BZ25" s="41">
        <f t="shared" si="22"/>
        <v>0.86666666666666659</v>
      </c>
    </row>
    <row r="26" spans="1:84" x14ac:dyDescent="0.35">
      <c r="A26" s="60" t="s">
        <v>48</v>
      </c>
      <c r="B26" s="148"/>
      <c r="C26" s="148"/>
      <c r="D26" s="41" t="s">
        <v>70</v>
      </c>
      <c r="E26" s="42">
        <v>2</v>
      </c>
      <c r="F26" s="43">
        <v>2</v>
      </c>
      <c r="G26" s="43">
        <f t="shared" si="0"/>
        <v>0</v>
      </c>
      <c r="H26" s="41">
        <v>0</v>
      </c>
      <c r="I26" s="42">
        <v>2</v>
      </c>
      <c r="J26" s="43">
        <v>0</v>
      </c>
      <c r="K26" s="43">
        <f t="shared" si="35"/>
        <v>2</v>
      </c>
      <c r="L26" s="41">
        <v>0</v>
      </c>
      <c r="M26" s="42">
        <v>0</v>
      </c>
      <c r="N26" s="43">
        <v>0</v>
      </c>
      <c r="O26" s="43">
        <f t="shared" si="36"/>
        <v>0</v>
      </c>
      <c r="P26" s="41">
        <v>0</v>
      </c>
      <c r="Q26" s="42">
        <v>2</v>
      </c>
      <c r="R26" s="43">
        <v>2</v>
      </c>
      <c r="S26" s="43">
        <f t="shared" si="3"/>
        <v>0</v>
      </c>
      <c r="T26" s="41">
        <v>0</v>
      </c>
      <c r="U26" s="42">
        <v>2</v>
      </c>
      <c r="V26" s="43">
        <v>2</v>
      </c>
      <c r="W26" s="43">
        <f t="shared" si="37"/>
        <v>0</v>
      </c>
      <c r="X26" s="41">
        <v>0</v>
      </c>
      <c r="Y26" s="42">
        <v>2</v>
      </c>
      <c r="Z26" s="43">
        <v>2</v>
      </c>
      <c r="AA26" s="43">
        <f t="shared" si="40"/>
        <v>0</v>
      </c>
      <c r="AB26" s="41">
        <v>0</v>
      </c>
      <c r="AC26" s="42">
        <v>2</v>
      </c>
      <c r="AD26" s="43">
        <v>2</v>
      </c>
      <c r="AE26" s="43">
        <f t="shared" si="6"/>
        <v>0</v>
      </c>
      <c r="AF26" s="41">
        <v>0</v>
      </c>
      <c r="AG26" s="42">
        <v>2</v>
      </c>
      <c r="AH26" s="43">
        <v>2</v>
      </c>
      <c r="AI26" s="43">
        <f t="shared" si="7"/>
        <v>0</v>
      </c>
      <c r="AJ26" s="41">
        <v>0</v>
      </c>
      <c r="AK26" s="42">
        <v>0</v>
      </c>
      <c r="AL26" s="43">
        <v>0</v>
      </c>
      <c r="AM26" s="43">
        <f t="shared" si="8"/>
        <v>0</v>
      </c>
      <c r="AN26" s="41">
        <v>0</v>
      </c>
      <c r="AO26" s="42">
        <v>0</v>
      </c>
      <c r="AP26" s="43">
        <v>0</v>
      </c>
      <c r="AQ26" s="43">
        <f t="shared" si="9"/>
        <v>0</v>
      </c>
      <c r="AR26" s="41">
        <v>0</v>
      </c>
      <c r="AS26" s="42">
        <v>1</v>
      </c>
      <c r="AT26" s="43">
        <v>1</v>
      </c>
      <c r="AU26" s="43">
        <f t="shared" si="10"/>
        <v>0</v>
      </c>
      <c r="AV26" s="41">
        <v>0</v>
      </c>
      <c r="AW26" s="42">
        <v>0</v>
      </c>
      <c r="AX26" s="43">
        <v>0</v>
      </c>
      <c r="AY26" s="43">
        <f t="shared" si="11"/>
        <v>0</v>
      </c>
      <c r="AZ26" s="41">
        <v>0</v>
      </c>
      <c r="BA26" s="42">
        <v>1</v>
      </c>
      <c r="BB26" s="43">
        <v>1</v>
      </c>
      <c r="BC26" s="43">
        <f t="shared" si="12"/>
        <v>0</v>
      </c>
      <c r="BD26" s="41">
        <v>1</v>
      </c>
      <c r="BE26" s="42">
        <v>0</v>
      </c>
      <c r="BF26" s="43">
        <v>0</v>
      </c>
      <c r="BG26" s="43">
        <f t="shared" si="13"/>
        <v>0</v>
      </c>
      <c r="BH26" s="41">
        <v>0</v>
      </c>
      <c r="BI26" s="42">
        <v>0</v>
      </c>
      <c r="BJ26" s="43">
        <v>0</v>
      </c>
      <c r="BK26" s="43">
        <f t="shared" si="14"/>
        <v>0</v>
      </c>
      <c r="BL26" s="41">
        <v>0</v>
      </c>
      <c r="BM26" s="42">
        <v>0</v>
      </c>
      <c r="BN26" s="43">
        <v>0</v>
      </c>
      <c r="BO26" s="43">
        <f t="shared" si="15"/>
        <v>0</v>
      </c>
      <c r="BP26" s="41">
        <v>0</v>
      </c>
      <c r="BQ26" s="42">
        <v>0</v>
      </c>
      <c r="BR26" s="43">
        <v>0</v>
      </c>
      <c r="BS26" s="43">
        <f t="shared" si="16"/>
        <v>0</v>
      </c>
      <c r="BT26" s="41">
        <v>0</v>
      </c>
      <c r="BU26" s="42">
        <f t="shared" si="17"/>
        <v>14</v>
      </c>
      <c r="BV26" s="43">
        <f t="shared" si="18"/>
        <v>2</v>
      </c>
      <c r="BW26" s="43">
        <f t="shared" si="19"/>
        <v>1</v>
      </c>
      <c r="BX26" s="43">
        <f t="shared" si="20"/>
        <v>0.875</v>
      </c>
      <c r="BY26" s="43">
        <f t="shared" si="21"/>
        <v>0.93333333333333335</v>
      </c>
      <c r="BZ26" s="41">
        <f t="shared" si="22"/>
        <v>0.90322580645161288</v>
      </c>
    </row>
    <row r="27" spans="1:84" x14ac:dyDescent="0.35">
      <c r="A27" s="47" t="s">
        <v>48</v>
      </c>
      <c r="B27" s="148"/>
      <c r="C27" s="148"/>
      <c r="D27" s="44" t="s">
        <v>38</v>
      </c>
      <c r="E27" s="45">
        <v>2</v>
      </c>
      <c r="F27" s="46">
        <v>2</v>
      </c>
      <c r="G27" s="46">
        <f t="shared" si="0"/>
        <v>0</v>
      </c>
      <c r="H27" s="44">
        <v>0</v>
      </c>
      <c r="I27" s="45">
        <v>2</v>
      </c>
      <c r="J27" s="46">
        <v>0</v>
      </c>
      <c r="K27" s="46">
        <f t="shared" si="35"/>
        <v>2</v>
      </c>
      <c r="L27" s="44">
        <v>0</v>
      </c>
      <c r="M27" s="45">
        <v>2</v>
      </c>
      <c r="N27" s="46">
        <v>0</v>
      </c>
      <c r="O27" s="46">
        <f t="shared" si="36"/>
        <v>2</v>
      </c>
      <c r="P27" s="44">
        <v>0</v>
      </c>
      <c r="Q27" s="45">
        <v>2</v>
      </c>
      <c r="R27" s="46">
        <v>2</v>
      </c>
      <c r="S27" s="46">
        <f t="shared" si="3"/>
        <v>0</v>
      </c>
      <c r="T27" s="44">
        <v>0</v>
      </c>
      <c r="U27" s="45">
        <v>2</v>
      </c>
      <c r="V27" s="46">
        <v>2</v>
      </c>
      <c r="W27" s="46">
        <f t="shared" si="37"/>
        <v>0</v>
      </c>
      <c r="X27" s="44">
        <v>0</v>
      </c>
      <c r="Y27" s="45">
        <v>1</v>
      </c>
      <c r="Z27" s="46">
        <v>1</v>
      </c>
      <c r="AA27" s="46">
        <f t="shared" si="40"/>
        <v>0</v>
      </c>
      <c r="AB27" s="44">
        <v>0</v>
      </c>
      <c r="AC27" s="45">
        <v>0</v>
      </c>
      <c r="AD27" s="46">
        <v>0</v>
      </c>
      <c r="AE27" s="46">
        <f t="shared" si="6"/>
        <v>0</v>
      </c>
      <c r="AF27" s="44">
        <v>0</v>
      </c>
      <c r="AG27" s="45">
        <v>1</v>
      </c>
      <c r="AH27" s="46">
        <v>1</v>
      </c>
      <c r="AI27" s="46">
        <f t="shared" si="7"/>
        <v>0</v>
      </c>
      <c r="AJ27" s="44">
        <v>0</v>
      </c>
      <c r="AK27" s="45">
        <v>0</v>
      </c>
      <c r="AL27" s="46">
        <v>0</v>
      </c>
      <c r="AM27" s="46">
        <f t="shared" si="8"/>
        <v>0</v>
      </c>
      <c r="AN27" s="44">
        <v>0</v>
      </c>
      <c r="AO27" s="45">
        <v>0</v>
      </c>
      <c r="AP27" s="46">
        <v>0</v>
      </c>
      <c r="AQ27" s="46">
        <f t="shared" si="9"/>
        <v>0</v>
      </c>
      <c r="AR27" s="44">
        <v>0</v>
      </c>
      <c r="AS27" s="45">
        <v>0</v>
      </c>
      <c r="AT27" s="46">
        <v>0</v>
      </c>
      <c r="AU27" s="46">
        <f t="shared" si="10"/>
        <v>0</v>
      </c>
      <c r="AV27" s="44">
        <v>0</v>
      </c>
      <c r="AW27" s="45">
        <v>0</v>
      </c>
      <c r="AX27" s="46">
        <v>0</v>
      </c>
      <c r="AY27" s="46">
        <f t="shared" si="11"/>
        <v>0</v>
      </c>
      <c r="AZ27" s="44">
        <v>0</v>
      </c>
      <c r="BA27" s="45">
        <v>1</v>
      </c>
      <c r="BB27" s="46">
        <v>1</v>
      </c>
      <c r="BC27" s="46">
        <f t="shared" si="12"/>
        <v>0</v>
      </c>
      <c r="BD27" s="44">
        <v>0</v>
      </c>
      <c r="BE27" s="45">
        <v>0</v>
      </c>
      <c r="BF27" s="46">
        <v>0</v>
      </c>
      <c r="BG27" s="46">
        <f t="shared" si="13"/>
        <v>0</v>
      </c>
      <c r="BH27" s="44">
        <v>0</v>
      </c>
      <c r="BI27" s="45">
        <v>0</v>
      </c>
      <c r="BJ27" s="46">
        <v>0</v>
      </c>
      <c r="BK27" s="46">
        <f t="shared" si="14"/>
        <v>0</v>
      </c>
      <c r="BL27" s="44">
        <v>0</v>
      </c>
      <c r="BM27" s="45">
        <v>0</v>
      </c>
      <c r="BN27" s="46">
        <v>0</v>
      </c>
      <c r="BO27" s="46">
        <f t="shared" si="15"/>
        <v>0</v>
      </c>
      <c r="BP27" s="44">
        <v>0</v>
      </c>
      <c r="BQ27" s="45">
        <v>1</v>
      </c>
      <c r="BR27" s="46">
        <v>1</v>
      </c>
      <c r="BS27" s="46">
        <f t="shared" si="16"/>
        <v>0</v>
      </c>
      <c r="BT27" s="44">
        <v>0</v>
      </c>
      <c r="BU27" s="45">
        <f t="shared" si="17"/>
        <v>10</v>
      </c>
      <c r="BV27" s="46">
        <f t="shared" si="18"/>
        <v>4</v>
      </c>
      <c r="BW27" s="46">
        <f t="shared" si="19"/>
        <v>0</v>
      </c>
      <c r="BX27" s="46">
        <f t="shared" si="20"/>
        <v>0.7142857142857143</v>
      </c>
      <c r="BY27" s="46">
        <f t="shared" si="21"/>
        <v>1</v>
      </c>
      <c r="BZ27" s="44">
        <f t="shared" si="22"/>
        <v>0.83333333333333326</v>
      </c>
    </row>
    <row r="28" spans="1:84" x14ac:dyDescent="0.35">
      <c r="A28" s="47" t="s">
        <v>48</v>
      </c>
      <c r="B28" s="148"/>
      <c r="C28" s="148"/>
      <c r="D28" s="44" t="s">
        <v>71</v>
      </c>
      <c r="E28" s="45">
        <v>2</v>
      </c>
      <c r="F28" s="46">
        <v>2</v>
      </c>
      <c r="G28" s="46">
        <f t="shared" si="0"/>
        <v>0</v>
      </c>
      <c r="H28" s="44">
        <v>0</v>
      </c>
      <c r="I28" s="45">
        <v>2</v>
      </c>
      <c r="J28" s="46">
        <v>0</v>
      </c>
      <c r="K28" s="46">
        <f t="shared" si="35"/>
        <v>2</v>
      </c>
      <c r="L28" s="44">
        <v>0</v>
      </c>
      <c r="M28" s="45">
        <v>2</v>
      </c>
      <c r="N28" s="46">
        <v>0</v>
      </c>
      <c r="O28" s="46">
        <f t="shared" si="36"/>
        <v>2</v>
      </c>
      <c r="P28" s="44">
        <v>0</v>
      </c>
      <c r="Q28" s="45">
        <v>2</v>
      </c>
      <c r="R28" s="46">
        <v>2</v>
      </c>
      <c r="S28" s="46">
        <f t="shared" si="3"/>
        <v>0</v>
      </c>
      <c r="T28" s="44">
        <v>0</v>
      </c>
      <c r="U28" s="45">
        <v>2</v>
      </c>
      <c r="V28" s="46">
        <v>2</v>
      </c>
      <c r="W28" s="46">
        <f t="shared" si="37"/>
        <v>0</v>
      </c>
      <c r="X28" s="44">
        <v>0</v>
      </c>
      <c r="Y28" s="45">
        <v>1</v>
      </c>
      <c r="Z28" s="46">
        <v>1</v>
      </c>
      <c r="AA28" s="46">
        <f t="shared" si="40"/>
        <v>0</v>
      </c>
      <c r="AB28" s="44">
        <v>0</v>
      </c>
      <c r="AC28" s="45">
        <v>0</v>
      </c>
      <c r="AD28" s="46">
        <v>0</v>
      </c>
      <c r="AE28" s="46">
        <f t="shared" si="6"/>
        <v>0</v>
      </c>
      <c r="AF28" s="44">
        <v>0</v>
      </c>
      <c r="AG28" s="45">
        <v>1</v>
      </c>
      <c r="AH28" s="46">
        <v>1</v>
      </c>
      <c r="AI28" s="46">
        <f t="shared" si="7"/>
        <v>0</v>
      </c>
      <c r="AJ28" s="44">
        <v>0</v>
      </c>
      <c r="AK28" s="45">
        <v>0</v>
      </c>
      <c r="AL28" s="46">
        <v>0</v>
      </c>
      <c r="AM28" s="46">
        <f t="shared" si="8"/>
        <v>0</v>
      </c>
      <c r="AN28" s="44">
        <v>0</v>
      </c>
      <c r="AO28" s="45">
        <v>0</v>
      </c>
      <c r="AP28" s="46">
        <v>0</v>
      </c>
      <c r="AQ28" s="46">
        <f t="shared" si="9"/>
        <v>0</v>
      </c>
      <c r="AR28" s="44">
        <v>0</v>
      </c>
      <c r="AS28" s="45">
        <v>0</v>
      </c>
      <c r="AT28" s="46">
        <v>0</v>
      </c>
      <c r="AU28" s="46">
        <f t="shared" si="10"/>
        <v>0</v>
      </c>
      <c r="AV28" s="44">
        <v>0</v>
      </c>
      <c r="AW28" s="45">
        <v>0</v>
      </c>
      <c r="AX28" s="46">
        <v>0</v>
      </c>
      <c r="AY28" s="46">
        <f t="shared" si="11"/>
        <v>0</v>
      </c>
      <c r="AZ28" s="44">
        <v>0</v>
      </c>
      <c r="BA28" s="45">
        <v>1</v>
      </c>
      <c r="BB28" s="46">
        <v>1</v>
      </c>
      <c r="BC28" s="46">
        <f t="shared" si="12"/>
        <v>0</v>
      </c>
      <c r="BD28" s="44">
        <v>0</v>
      </c>
      <c r="BE28" s="45">
        <v>0</v>
      </c>
      <c r="BF28" s="46">
        <v>0</v>
      </c>
      <c r="BG28" s="46">
        <f t="shared" si="13"/>
        <v>0</v>
      </c>
      <c r="BH28" s="44">
        <v>0</v>
      </c>
      <c r="BI28" s="45">
        <v>0</v>
      </c>
      <c r="BJ28" s="46">
        <v>0</v>
      </c>
      <c r="BK28" s="46">
        <f t="shared" si="14"/>
        <v>0</v>
      </c>
      <c r="BL28" s="44">
        <v>0</v>
      </c>
      <c r="BM28" s="45">
        <v>0</v>
      </c>
      <c r="BN28" s="46">
        <v>0</v>
      </c>
      <c r="BO28" s="46">
        <f t="shared" si="15"/>
        <v>0</v>
      </c>
      <c r="BP28" s="44">
        <v>0</v>
      </c>
      <c r="BQ28" s="45">
        <v>1</v>
      </c>
      <c r="BR28" s="46">
        <v>1</v>
      </c>
      <c r="BS28" s="46">
        <f t="shared" si="16"/>
        <v>0</v>
      </c>
      <c r="BT28" s="44">
        <v>0</v>
      </c>
      <c r="BU28" s="45">
        <f t="shared" si="17"/>
        <v>10</v>
      </c>
      <c r="BV28" s="46">
        <f t="shared" si="18"/>
        <v>4</v>
      </c>
      <c r="BW28" s="46">
        <f t="shared" si="19"/>
        <v>0</v>
      </c>
      <c r="BX28" s="46">
        <f t="shared" si="20"/>
        <v>0.7142857142857143</v>
      </c>
      <c r="BY28" s="46">
        <f t="shared" si="21"/>
        <v>1</v>
      </c>
      <c r="BZ28" s="44">
        <f t="shared" si="22"/>
        <v>0.83333333333333326</v>
      </c>
    </row>
    <row r="29" spans="1:84" x14ac:dyDescent="0.35">
      <c r="A29" s="61" t="s">
        <v>48</v>
      </c>
      <c r="B29" s="148"/>
      <c r="C29" s="148"/>
      <c r="D29" s="126" t="s">
        <v>39</v>
      </c>
      <c r="E29" s="127">
        <v>2</v>
      </c>
      <c r="F29" s="128">
        <v>2</v>
      </c>
      <c r="G29" s="128">
        <f t="shared" si="0"/>
        <v>0</v>
      </c>
      <c r="H29" s="126">
        <v>0</v>
      </c>
      <c r="I29" s="127">
        <v>2</v>
      </c>
      <c r="J29" s="128">
        <v>0</v>
      </c>
      <c r="K29" s="128">
        <f t="shared" si="35"/>
        <v>2</v>
      </c>
      <c r="L29" s="126">
        <v>0</v>
      </c>
      <c r="M29" s="127">
        <v>2</v>
      </c>
      <c r="N29" s="128">
        <v>0</v>
      </c>
      <c r="O29" s="128">
        <f t="shared" si="36"/>
        <v>2</v>
      </c>
      <c r="P29" s="126">
        <v>0</v>
      </c>
      <c r="Q29" s="127">
        <v>2</v>
      </c>
      <c r="R29" s="128">
        <v>2</v>
      </c>
      <c r="S29" s="128">
        <f t="shared" si="3"/>
        <v>0</v>
      </c>
      <c r="T29" s="126">
        <v>1</v>
      </c>
      <c r="U29" s="127">
        <v>2</v>
      </c>
      <c r="V29" s="128">
        <v>2</v>
      </c>
      <c r="W29" s="128">
        <f t="shared" si="37"/>
        <v>0</v>
      </c>
      <c r="X29" s="126">
        <v>0</v>
      </c>
      <c r="Y29" s="127">
        <v>4</v>
      </c>
      <c r="Z29" s="128">
        <v>4</v>
      </c>
      <c r="AA29" s="128">
        <f t="shared" si="40"/>
        <v>0</v>
      </c>
      <c r="AB29" s="126">
        <v>0</v>
      </c>
      <c r="AC29" s="127">
        <v>2</v>
      </c>
      <c r="AD29" s="128">
        <v>0</v>
      </c>
      <c r="AE29" s="128">
        <f t="shared" si="6"/>
        <v>2</v>
      </c>
      <c r="AF29" s="126">
        <v>2</v>
      </c>
      <c r="AG29" s="127">
        <v>4</v>
      </c>
      <c r="AH29" s="128">
        <v>4</v>
      </c>
      <c r="AI29" s="128">
        <f t="shared" si="7"/>
        <v>0</v>
      </c>
      <c r="AJ29" s="126">
        <v>0</v>
      </c>
      <c r="AK29" s="127">
        <v>0</v>
      </c>
      <c r="AL29" s="128">
        <v>0</v>
      </c>
      <c r="AM29" s="128">
        <f t="shared" si="8"/>
        <v>0</v>
      </c>
      <c r="AN29" s="126">
        <v>0</v>
      </c>
      <c r="AO29" s="127">
        <v>0</v>
      </c>
      <c r="AP29" s="128">
        <v>0</v>
      </c>
      <c r="AQ29" s="128">
        <f t="shared" si="9"/>
        <v>0</v>
      </c>
      <c r="AR29" s="126">
        <v>0</v>
      </c>
      <c r="AS29" s="127">
        <v>0</v>
      </c>
      <c r="AT29" s="128">
        <v>0</v>
      </c>
      <c r="AU29" s="128">
        <f t="shared" si="10"/>
        <v>0</v>
      </c>
      <c r="AV29" s="126">
        <v>0</v>
      </c>
      <c r="AW29" s="127">
        <v>0</v>
      </c>
      <c r="AX29" s="128">
        <v>0</v>
      </c>
      <c r="AY29" s="128">
        <f t="shared" si="11"/>
        <v>0</v>
      </c>
      <c r="AZ29" s="126">
        <v>0</v>
      </c>
      <c r="BA29" s="127">
        <v>1</v>
      </c>
      <c r="BB29" s="128">
        <v>0</v>
      </c>
      <c r="BC29" s="128">
        <f t="shared" si="12"/>
        <v>1</v>
      </c>
      <c r="BD29" s="126">
        <v>1</v>
      </c>
      <c r="BE29" s="127">
        <v>0</v>
      </c>
      <c r="BF29" s="128">
        <v>0</v>
      </c>
      <c r="BG29" s="128">
        <f t="shared" si="13"/>
        <v>0</v>
      </c>
      <c r="BH29" s="126">
        <v>0</v>
      </c>
      <c r="BI29" s="127">
        <v>0</v>
      </c>
      <c r="BJ29" s="128">
        <v>0</v>
      </c>
      <c r="BK29" s="128">
        <f t="shared" si="14"/>
        <v>0</v>
      </c>
      <c r="BL29" s="126">
        <v>0</v>
      </c>
      <c r="BM29" s="127">
        <v>0</v>
      </c>
      <c r="BN29" s="128">
        <v>0</v>
      </c>
      <c r="BO29" s="128">
        <f t="shared" si="15"/>
        <v>0</v>
      </c>
      <c r="BP29" s="126">
        <v>0</v>
      </c>
      <c r="BQ29" s="127">
        <v>1</v>
      </c>
      <c r="BR29" s="128">
        <v>1</v>
      </c>
      <c r="BS29" s="128">
        <f t="shared" si="16"/>
        <v>0</v>
      </c>
      <c r="BT29" s="126">
        <v>0</v>
      </c>
      <c r="BU29" s="127">
        <f t="shared" si="17"/>
        <v>15</v>
      </c>
      <c r="BV29" s="128">
        <f t="shared" si="18"/>
        <v>7</v>
      </c>
      <c r="BW29" s="128">
        <f t="shared" si="19"/>
        <v>4</v>
      </c>
      <c r="BX29" s="128">
        <f t="shared" si="20"/>
        <v>0.68181818181818177</v>
      </c>
      <c r="BY29" s="128">
        <f t="shared" si="21"/>
        <v>0.78947368421052633</v>
      </c>
      <c r="BZ29" s="126">
        <f t="shared" si="22"/>
        <v>0.73170731707317072</v>
      </c>
    </row>
    <row r="30" spans="1:84" x14ac:dyDescent="0.35">
      <c r="A30" s="128" t="s">
        <v>48</v>
      </c>
      <c r="B30" s="148"/>
      <c r="C30" s="148"/>
      <c r="D30" s="104" t="s">
        <v>72</v>
      </c>
      <c r="E30" s="107">
        <v>2</v>
      </c>
      <c r="F30" s="61">
        <v>2</v>
      </c>
      <c r="G30" s="61">
        <f t="shared" si="0"/>
        <v>0</v>
      </c>
      <c r="H30" s="104">
        <v>0</v>
      </c>
      <c r="I30" s="107">
        <v>2</v>
      </c>
      <c r="J30" s="61">
        <v>0</v>
      </c>
      <c r="K30" s="61">
        <f t="shared" si="35"/>
        <v>2</v>
      </c>
      <c r="L30" s="104">
        <v>0</v>
      </c>
      <c r="M30" s="107">
        <v>2</v>
      </c>
      <c r="N30" s="61">
        <v>0</v>
      </c>
      <c r="O30" s="61">
        <f t="shared" si="36"/>
        <v>2</v>
      </c>
      <c r="P30" s="104">
        <v>0</v>
      </c>
      <c r="Q30" s="107">
        <v>2</v>
      </c>
      <c r="R30" s="61">
        <v>2</v>
      </c>
      <c r="S30" s="61">
        <f t="shared" si="3"/>
        <v>0</v>
      </c>
      <c r="T30" s="104">
        <v>1</v>
      </c>
      <c r="U30" s="107">
        <v>2</v>
      </c>
      <c r="V30" s="61">
        <v>2</v>
      </c>
      <c r="W30" s="61">
        <f t="shared" si="37"/>
        <v>0</v>
      </c>
      <c r="X30" s="104">
        <v>0</v>
      </c>
      <c r="Y30" s="107">
        <v>4</v>
      </c>
      <c r="Z30" s="61">
        <v>4</v>
      </c>
      <c r="AA30" s="61">
        <f t="shared" si="40"/>
        <v>0</v>
      </c>
      <c r="AB30" s="104">
        <v>0</v>
      </c>
      <c r="AC30" s="107">
        <v>2</v>
      </c>
      <c r="AD30" s="61">
        <v>0</v>
      </c>
      <c r="AE30" s="61">
        <v>0</v>
      </c>
      <c r="AF30" s="104">
        <v>2</v>
      </c>
      <c r="AG30" s="107">
        <v>4</v>
      </c>
      <c r="AH30" s="61">
        <v>4</v>
      </c>
      <c r="AI30" s="61">
        <f t="shared" si="7"/>
        <v>0</v>
      </c>
      <c r="AJ30" s="104">
        <v>0</v>
      </c>
      <c r="AK30" s="107">
        <v>0</v>
      </c>
      <c r="AL30" s="61">
        <v>0</v>
      </c>
      <c r="AM30" s="61">
        <f t="shared" si="8"/>
        <v>0</v>
      </c>
      <c r="AN30" s="104">
        <v>0</v>
      </c>
      <c r="AO30" s="107">
        <v>0</v>
      </c>
      <c r="AP30" s="61">
        <v>0</v>
      </c>
      <c r="AQ30" s="61">
        <f t="shared" si="9"/>
        <v>0</v>
      </c>
      <c r="AR30" s="104">
        <v>0</v>
      </c>
      <c r="AS30" s="107">
        <v>0</v>
      </c>
      <c r="AT30" s="61">
        <v>0</v>
      </c>
      <c r="AU30" s="61">
        <f t="shared" si="10"/>
        <v>0</v>
      </c>
      <c r="AV30" s="104">
        <v>0</v>
      </c>
      <c r="AW30" s="107">
        <v>0</v>
      </c>
      <c r="AX30" s="61">
        <v>0</v>
      </c>
      <c r="AY30" s="61">
        <f t="shared" si="11"/>
        <v>0</v>
      </c>
      <c r="AZ30" s="104">
        <v>0</v>
      </c>
      <c r="BA30" s="107">
        <v>1</v>
      </c>
      <c r="BB30" s="61">
        <v>0</v>
      </c>
      <c r="BC30" s="61">
        <f t="shared" si="12"/>
        <v>1</v>
      </c>
      <c r="BD30" s="104">
        <v>1</v>
      </c>
      <c r="BE30" s="107">
        <v>0</v>
      </c>
      <c r="BF30" s="61">
        <v>0</v>
      </c>
      <c r="BG30" s="61">
        <f t="shared" si="13"/>
        <v>0</v>
      </c>
      <c r="BH30" s="104">
        <v>0</v>
      </c>
      <c r="BI30" s="107">
        <v>0</v>
      </c>
      <c r="BJ30" s="61">
        <v>0</v>
      </c>
      <c r="BK30" s="61">
        <f t="shared" si="14"/>
        <v>0</v>
      </c>
      <c r="BL30" s="104">
        <v>0</v>
      </c>
      <c r="BM30" s="107">
        <v>0</v>
      </c>
      <c r="BN30" s="61">
        <v>0</v>
      </c>
      <c r="BO30" s="61">
        <f t="shared" si="15"/>
        <v>0</v>
      </c>
      <c r="BP30" s="104">
        <v>0</v>
      </c>
      <c r="BQ30" s="107">
        <v>1</v>
      </c>
      <c r="BR30" s="61">
        <v>1</v>
      </c>
      <c r="BS30" s="61">
        <f t="shared" si="16"/>
        <v>0</v>
      </c>
      <c r="BT30" s="104">
        <v>0</v>
      </c>
      <c r="BU30" s="107">
        <f t="shared" si="17"/>
        <v>15</v>
      </c>
      <c r="BV30" s="61">
        <f t="shared" si="18"/>
        <v>5</v>
      </c>
      <c r="BW30" s="61">
        <f t="shared" si="19"/>
        <v>4</v>
      </c>
      <c r="BX30" s="61">
        <f t="shared" si="20"/>
        <v>0.75</v>
      </c>
      <c r="BY30" s="61">
        <f t="shared" si="21"/>
        <v>0.78947368421052633</v>
      </c>
      <c r="BZ30" s="104">
        <f t="shared" si="22"/>
        <v>0.76923076923076916</v>
      </c>
    </row>
    <row r="31" spans="1:84" x14ac:dyDescent="0.35">
      <c r="A31" s="108" t="s">
        <v>48</v>
      </c>
      <c r="B31" s="148"/>
      <c r="C31" s="148"/>
      <c r="D31" s="112" t="s">
        <v>42</v>
      </c>
      <c r="E31" s="114">
        <v>2</v>
      </c>
      <c r="F31" s="108">
        <v>2</v>
      </c>
      <c r="G31" s="108">
        <f t="shared" si="0"/>
        <v>0</v>
      </c>
      <c r="H31" s="112">
        <v>1</v>
      </c>
      <c r="I31" s="114">
        <v>1</v>
      </c>
      <c r="J31" s="108">
        <v>0</v>
      </c>
      <c r="K31" s="108">
        <f t="shared" si="35"/>
        <v>1</v>
      </c>
      <c r="L31" s="112">
        <v>0</v>
      </c>
      <c r="M31" s="114">
        <v>1</v>
      </c>
      <c r="N31" s="108">
        <v>0</v>
      </c>
      <c r="O31" s="108">
        <f t="shared" si="36"/>
        <v>1</v>
      </c>
      <c r="P31" s="112">
        <v>0</v>
      </c>
      <c r="Q31" s="114">
        <v>1</v>
      </c>
      <c r="R31" s="108">
        <v>1</v>
      </c>
      <c r="S31" s="108">
        <f t="shared" si="3"/>
        <v>0</v>
      </c>
      <c r="T31" s="112">
        <v>0</v>
      </c>
      <c r="U31" s="114">
        <v>1</v>
      </c>
      <c r="V31" s="108">
        <v>1</v>
      </c>
      <c r="W31" s="108">
        <f t="shared" si="37"/>
        <v>0</v>
      </c>
      <c r="X31" s="112">
        <v>0</v>
      </c>
      <c r="Y31" s="114">
        <v>2</v>
      </c>
      <c r="Z31" s="108">
        <v>2</v>
      </c>
      <c r="AA31" s="108">
        <f t="shared" si="40"/>
        <v>0</v>
      </c>
      <c r="AB31" s="112">
        <v>0</v>
      </c>
      <c r="AC31" s="114">
        <v>0</v>
      </c>
      <c r="AD31" s="108">
        <v>0</v>
      </c>
      <c r="AE31" s="108">
        <v>0</v>
      </c>
      <c r="AF31" s="112">
        <v>0</v>
      </c>
      <c r="AG31" s="114">
        <v>2</v>
      </c>
      <c r="AH31" s="108">
        <v>2</v>
      </c>
      <c r="AI31" s="108">
        <f t="shared" si="7"/>
        <v>0</v>
      </c>
      <c r="AJ31" s="112">
        <v>0</v>
      </c>
      <c r="AK31" s="114">
        <v>0</v>
      </c>
      <c r="AL31" s="108">
        <v>0</v>
      </c>
      <c r="AM31" s="108">
        <f t="shared" si="8"/>
        <v>0</v>
      </c>
      <c r="AN31" s="112">
        <v>0</v>
      </c>
      <c r="AO31" s="114">
        <v>0</v>
      </c>
      <c r="AP31" s="108">
        <v>0</v>
      </c>
      <c r="AQ31" s="108">
        <f t="shared" si="9"/>
        <v>0</v>
      </c>
      <c r="AR31" s="112">
        <v>1</v>
      </c>
      <c r="AS31" s="114">
        <v>0</v>
      </c>
      <c r="AT31" s="108">
        <v>0</v>
      </c>
      <c r="AU31" s="108">
        <f t="shared" si="10"/>
        <v>0</v>
      </c>
      <c r="AV31" s="112">
        <v>1</v>
      </c>
      <c r="AW31" s="114">
        <v>0</v>
      </c>
      <c r="AX31" s="108">
        <v>0</v>
      </c>
      <c r="AY31" s="108">
        <f t="shared" si="11"/>
        <v>0</v>
      </c>
      <c r="AZ31" s="112">
        <v>0</v>
      </c>
      <c r="BA31" s="114">
        <v>1</v>
      </c>
      <c r="BB31" s="108">
        <v>1</v>
      </c>
      <c r="BC31" s="108">
        <f t="shared" si="12"/>
        <v>0</v>
      </c>
      <c r="BD31" s="112">
        <v>0</v>
      </c>
      <c r="BE31" s="114">
        <v>0</v>
      </c>
      <c r="BF31" s="108">
        <v>0</v>
      </c>
      <c r="BG31" s="108">
        <f t="shared" si="13"/>
        <v>0</v>
      </c>
      <c r="BH31" s="112">
        <v>0</v>
      </c>
      <c r="BI31" s="114">
        <v>0</v>
      </c>
      <c r="BJ31" s="108">
        <v>0</v>
      </c>
      <c r="BK31" s="108">
        <f t="shared" si="14"/>
        <v>0</v>
      </c>
      <c r="BL31" s="112">
        <v>0</v>
      </c>
      <c r="BM31" s="114">
        <v>0</v>
      </c>
      <c r="BN31" s="108">
        <v>0</v>
      </c>
      <c r="BO31" s="108">
        <f t="shared" si="15"/>
        <v>0</v>
      </c>
      <c r="BP31" s="112">
        <v>0</v>
      </c>
      <c r="BQ31" s="114">
        <v>1</v>
      </c>
      <c r="BR31" s="108">
        <v>0</v>
      </c>
      <c r="BS31" s="108">
        <f t="shared" si="16"/>
        <v>1</v>
      </c>
      <c r="BT31" s="112">
        <v>0</v>
      </c>
      <c r="BU31" s="114">
        <f t="shared" si="17"/>
        <v>9</v>
      </c>
      <c r="BV31" s="108">
        <f t="shared" si="18"/>
        <v>3</v>
      </c>
      <c r="BW31" s="108">
        <f t="shared" si="19"/>
        <v>3</v>
      </c>
      <c r="BX31" s="108">
        <f t="shared" si="20"/>
        <v>0.75</v>
      </c>
      <c r="BY31" s="108">
        <f t="shared" si="21"/>
        <v>0.75</v>
      </c>
      <c r="BZ31" s="112">
        <f t="shared" si="22"/>
        <v>0.75</v>
      </c>
    </row>
    <row r="32" spans="1:84" x14ac:dyDescent="0.35">
      <c r="A32" s="108" t="s">
        <v>48</v>
      </c>
      <c r="B32" s="148"/>
      <c r="C32" s="148"/>
      <c r="D32" s="112" t="s">
        <v>73</v>
      </c>
      <c r="E32" s="114">
        <v>2</v>
      </c>
      <c r="F32" s="108">
        <v>2</v>
      </c>
      <c r="G32" s="108">
        <f t="shared" si="0"/>
        <v>0</v>
      </c>
      <c r="H32" s="112">
        <v>1</v>
      </c>
      <c r="I32" s="114">
        <v>1</v>
      </c>
      <c r="J32" s="108">
        <v>0</v>
      </c>
      <c r="K32" s="108">
        <f t="shared" si="35"/>
        <v>1</v>
      </c>
      <c r="L32" s="112">
        <v>0</v>
      </c>
      <c r="M32" s="114">
        <v>1</v>
      </c>
      <c r="N32" s="108">
        <v>0</v>
      </c>
      <c r="O32" s="108">
        <f t="shared" si="36"/>
        <v>1</v>
      </c>
      <c r="P32" s="112">
        <v>0</v>
      </c>
      <c r="Q32" s="114">
        <v>1</v>
      </c>
      <c r="R32" s="108">
        <v>1</v>
      </c>
      <c r="S32" s="108">
        <f t="shared" si="3"/>
        <v>0</v>
      </c>
      <c r="T32" s="112">
        <v>0</v>
      </c>
      <c r="U32" s="114">
        <v>1</v>
      </c>
      <c r="V32" s="108">
        <v>1</v>
      </c>
      <c r="W32" s="108">
        <f t="shared" si="37"/>
        <v>0</v>
      </c>
      <c r="X32" s="112">
        <v>0</v>
      </c>
      <c r="Y32" s="114">
        <v>2</v>
      </c>
      <c r="Z32" s="108">
        <v>2</v>
      </c>
      <c r="AA32" s="108">
        <f t="shared" si="40"/>
        <v>0</v>
      </c>
      <c r="AB32" s="112">
        <v>0</v>
      </c>
      <c r="AC32" s="114">
        <v>0</v>
      </c>
      <c r="AD32" s="108">
        <v>0</v>
      </c>
      <c r="AE32" s="108">
        <v>0</v>
      </c>
      <c r="AF32" s="112">
        <v>0</v>
      </c>
      <c r="AG32" s="114">
        <v>2</v>
      </c>
      <c r="AH32" s="108">
        <v>2</v>
      </c>
      <c r="AI32" s="108">
        <f t="shared" si="7"/>
        <v>0</v>
      </c>
      <c r="AJ32" s="112">
        <v>0</v>
      </c>
      <c r="AK32" s="114">
        <v>0</v>
      </c>
      <c r="AL32" s="108">
        <v>0</v>
      </c>
      <c r="AM32" s="108">
        <f t="shared" si="8"/>
        <v>0</v>
      </c>
      <c r="AN32" s="112">
        <v>0</v>
      </c>
      <c r="AO32" s="114">
        <v>0</v>
      </c>
      <c r="AP32" s="108">
        <v>0</v>
      </c>
      <c r="AQ32" s="108">
        <f t="shared" si="9"/>
        <v>0</v>
      </c>
      <c r="AR32" s="112">
        <v>0</v>
      </c>
      <c r="AS32" s="114">
        <v>0</v>
      </c>
      <c r="AT32" s="108">
        <v>0</v>
      </c>
      <c r="AU32" s="108">
        <f t="shared" si="10"/>
        <v>0</v>
      </c>
      <c r="AV32" s="112">
        <v>1</v>
      </c>
      <c r="AW32" s="114">
        <v>0</v>
      </c>
      <c r="AX32" s="108">
        <v>0</v>
      </c>
      <c r="AY32" s="108">
        <f t="shared" si="11"/>
        <v>0</v>
      </c>
      <c r="AZ32" s="112">
        <v>0</v>
      </c>
      <c r="BA32" s="114">
        <v>1</v>
      </c>
      <c r="BB32" s="108">
        <v>1</v>
      </c>
      <c r="BC32" s="108">
        <f t="shared" si="12"/>
        <v>0</v>
      </c>
      <c r="BD32" s="112">
        <v>0</v>
      </c>
      <c r="BE32" s="114">
        <v>0</v>
      </c>
      <c r="BF32" s="108">
        <v>0</v>
      </c>
      <c r="BG32" s="108">
        <f t="shared" si="13"/>
        <v>0</v>
      </c>
      <c r="BH32" s="112">
        <v>0</v>
      </c>
      <c r="BI32" s="114">
        <v>0</v>
      </c>
      <c r="BJ32" s="108">
        <v>0</v>
      </c>
      <c r="BK32" s="108">
        <f t="shared" si="14"/>
        <v>0</v>
      </c>
      <c r="BL32" s="112">
        <v>0</v>
      </c>
      <c r="BM32" s="114">
        <v>0</v>
      </c>
      <c r="BN32" s="108">
        <v>0</v>
      </c>
      <c r="BO32" s="108">
        <f t="shared" si="15"/>
        <v>0</v>
      </c>
      <c r="BP32" s="112">
        <v>0</v>
      </c>
      <c r="BQ32" s="114">
        <v>1</v>
      </c>
      <c r="BR32" s="108">
        <v>0</v>
      </c>
      <c r="BS32" s="108">
        <f t="shared" si="16"/>
        <v>1</v>
      </c>
      <c r="BT32" s="112">
        <v>0</v>
      </c>
      <c r="BU32" s="114">
        <f t="shared" si="17"/>
        <v>9</v>
      </c>
      <c r="BV32" s="108">
        <f t="shared" si="18"/>
        <v>3</v>
      </c>
      <c r="BW32" s="108">
        <f t="shared" si="19"/>
        <v>2</v>
      </c>
      <c r="BX32" s="108">
        <f t="shared" si="20"/>
        <v>0.75</v>
      </c>
      <c r="BY32" s="108">
        <f t="shared" si="21"/>
        <v>0.81818181818181823</v>
      </c>
      <c r="BZ32" s="112">
        <f t="shared" si="22"/>
        <v>0.78260869565217384</v>
      </c>
    </row>
    <row r="33" spans="1:78" x14ac:dyDescent="0.35">
      <c r="A33" s="109" t="s">
        <v>48</v>
      </c>
      <c r="B33" s="148"/>
      <c r="C33" s="148"/>
      <c r="D33" s="113" t="s">
        <v>43</v>
      </c>
      <c r="E33" s="115">
        <v>1</v>
      </c>
      <c r="F33" s="109">
        <v>1</v>
      </c>
      <c r="G33" s="109">
        <f t="shared" si="0"/>
        <v>0</v>
      </c>
      <c r="H33" s="113">
        <v>0</v>
      </c>
      <c r="I33" s="115">
        <v>1</v>
      </c>
      <c r="J33" s="109">
        <v>1</v>
      </c>
      <c r="K33" s="109">
        <f t="shared" si="35"/>
        <v>0</v>
      </c>
      <c r="L33" s="113">
        <v>0</v>
      </c>
      <c r="M33" s="115">
        <v>0</v>
      </c>
      <c r="N33" s="109">
        <v>0</v>
      </c>
      <c r="O33" s="109">
        <f t="shared" si="36"/>
        <v>0</v>
      </c>
      <c r="P33" s="113">
        <v>3</v>
      </c>
      <c r="Q33" s="115">
        <v>5</v>
      </c>
      <c r="R33" s="109">
        <v>5</v>
      </c>
      <c r="S33" s="109">
        <f t="shared" si="3"/>
        <v>0</v>
      </c>
      <c r="T33" s="113">
        <v>0</v>
      </c>
      <c r="U33" s="115">
        <v>5</v>
      </c>
      <c r="V33" s="109">
        <v>3</v>
      </c>
      <c r="W33" s="109">
        <f t="shared" si="37"/>
        <v>2</v>
      </c>
      <c r="X33" s="113">
        <v>2</v>
      </c>
      <c r="Y33" s="115">
        <v>0</v>
      </c>
      <c r="Z33" s="109">
        <v>0</v>
      </c>
      <c r="AA33" s="109">
        <f t="shared" si="40"/>
        <v>0</v>
      </c>
      <c r="AB33" s="113">
        <v>0</v>
      </c>
      <c r="AC33" s="115">
        <v>0</v>
      </c>
      <c r="AD33" s="109">
        <v>0</v>
      </c>
      <c r="AE33" s="109">
        <v>0</v>
      </c>
      <c r="AF33" s="113">
        <v>0</v>
      </c>
      <c r="AG33" s="115">
        <v>0</v>
      </c>
      <c r="AH33" s="109">
        <v>0</v>
      </c>
      <c r="AI33" s="109">
        <f t="shared" si="7"/>
        <v>0</v>
      </c>
      <c r="AJ33" s="113">
        <v>0</v>
      </c>
      <c r="AK33" s="115">
        <v>0</v>
      </c>
      <c r="AL33" s="109">
        <v>0</v>
      </c>
      <c r="AM33" s="109">
        <f t="shared" si="8"/>
        <v>0</v>
      </c>
      <c r="AN33" s="113">
        <v>0</v>
      </c>
      <c r="AO33" s="115">
        <v>0</v>
      </c>
      <c r="AP33" s="109">
        <v>0</v>
      </c>
      <c r="AQ33" s="109">
        <f t="shared" si="9"/>
        <v>0</v>
      </c>
      <c r="AR33" s="113">
        <v>0</v>
      </c>
      <c r="AS33" s="115">
        <v>0</v>
      </c>
      <c r="AT33" s="109">
        <v>0</v>
      </c>
      <c r="AU33" s="109">
        <f t="shared" si="10"/>
        <v>0</v>
      </c>
      <c r="AV33" s="113">
        <v>0</v>
      </c>
      <c r="AW33" s="115">
        <v>0</v>
      </c>
      <c r="AX33" s="109">
        <v>0</v>
      </c>
      <c r="AY33" s="109">
        <f t="shared" si="11"/>
        <v>0</v>
      </c>
      <c r="AZ33" s="113">
        <v>0</v>
      </c>
      <c r="BA33" s="115">
        <v>0</v>
      </c>
      <c r="BB33" s="109">
        <v>0</v>
      </c>
      <c r="BC33" s="109">
        <f t="shared" si="12"/>
        <v>0</v>
      </c>
      <c r="BD33" s="113">
        <v>0</v>
      </c>
      <c r="BE33" s="115">
        <v>0</v>
      </c>
      <c r="BF33" s="109">
        <v>0</v>
      </c>
      <c r="BG33" s="109">
        <f t="shared" si="13"/>
        <v>0</v>
      </c>
      <c r="BH33" s="113">
        <v>0</v>
      </c>
      <c r="BI33" s="115">
        <v>0</v>
      </c>
      <c r="BJ33" s="109">
        <v>0</v>
      </c>
      <c r="BK33" s="109">
        <f t="shared" si="14"/>
        <v>0</v>
      </c>
      <c r="BL33" s="113">
        <v>0</v>
      </c>
      <c r="BM33" s="115">
        <v>0</v>
      </c>
      <c r="BN33" s="109">
        <v>0</v>
      </c>
      <c r="BO33" s="109">
        <f t="shared" si="15"/>
        <v>0</v>
      </c>
      <c r="BP33" s="113">
        <v>0</v>
      </c>
      <c r="BQ33" s="115">
        <v>0</v>
      </c>
      <c r="BR33" s="109">
        <v>0</v>
      </c>
      <c r="BS33" s="109">
        <f t="shared" si="16"/>
        <v>0</v>
      </c>
      <c r="BT33" s="113">
        <v>0</v>
      </c>
      <c r="BU33" s="115">
        <f t="shared" si="17"/>
        <v>10</v>
      </c>
      <c r="BV33" s="109">
        <f t="shared" si="18"/>
        <v>2</v>
      </c>
      <c r="BW33" s="109">
        <f t="shared" si="19"/>
        <v>5</v>
      </c>
      <c r="BX33" s="109">
        <f t="shared" si="20"/>
        <v>0.83333333333333337</v>
      </c>
      <c r="BY33" s="109">
        <f t="shared" si="21"/>
        <v>0.66666666666666663</v>
      </c>
      <c r="BZ33" s="113">
        <f t="shared" si="22"/>
        <v>0.74074074074074081</v>
      </c>
    </row>
    <row r="34" spans="1:78" ht="15" thickBot="1" x14ac:dyDescent="0.4">
      <c r="A34" s="109" t="s">
        <v>48</v>
      </c>
      <c r="B34" s="148"/>
      <c r="C34" s="148"/>
      <c r="D34" s="113" t="s">
        <v>74</v>
      </c>
      <c r="E34" s="130">
        <v>1</v>
      </c>
      <c r="F34" s="131">
        <v>1</v>
      </c>
      <c r="G34" s="131">
        <f t="shared" si="0"/>
        <v>0</v>
      </c>
      <c r="H34" s="129">
        <v>0</v>
      </c>
      <c r="I34" s="130">
        <v>1</v>
      </c>
      <c r="J34" s="131">
        <v>1</v>
      </c>
      <c r="K34" s="131">
        <f t="shared" si="35"/>
        <v>0</v>
      </c>
      <c r="L34" s="129">
        <v>0</v>
      </c>
      <c r="M34" s="130">
        <v>0</v>
      </c>
      <c r="N34" s="131">
        <v>0</v>
      </c>
      <c r="O34" s="131">
        <f t="shared" si="36"/>
        <v>0</v>
      </c>
      <c r="P34" s="129">
        <v>0</v>
      </c>
      <c r="Q34" s="130">
        <v>5</v>
      </c>
      <c r="R34" s="131">
        <v>5</v>
      </c>
      <c r="S34" s="131">
        <f t="shared" si="3"/>
        <v>0</v>
      </c>
      <c r="T34" s="129">
        <v>0</v>
      </c>
      <c r="U34" s="130">
        <v>5</v>
      </c>
      <c r="V34" s="131">
        <v>3</v>
      </c>
      <c r="W34" s="131">
        <f t="shared" si="37"/>
        <v>2</v>
      </c>
      <c r="X34" s="129">
        <v>2</v>
      </c>
      <c r="Y34" s="130">
        <v>0</v>
      </c>
      <c r="Z34" s="131">
        <v>0</v>
      </c>
      <c r="AA34" s="131">
        <f t="shared" si="40"/>
        <v>0</v>
      </c>
      <c r="AB34" s="129">
        <v>0</v>
      </c>
      <c r="AC34" s="130">
        <v>0</v>
      </c>
      <c r="AD34" s="131">
        <v>0</v>
      </c>
      <c r="AE34" s="131">
        <v>0</v>
      </c>
      <c r="AF34" s="129">
        <v>0</v>
      </c>
      <c r="AG34" s="130">
        <v>0</v>
      </c>
      <c r="AH34" s="131">
        <v>0</v>
      </c>
      <c r="AI34" s="131">
        <f t="shared" si="7"/>
        <v>0</v>
      </c>
      <c r="AJ34" s="129">
        <v>0</v>
      </c>
      <c r="AK34" s="130">
        <v>0</v>
      </c>
      <c r="AL34" s="131">
        <v>0</v>
      </c>
      <c r="AM34" s="131">
        <f t="shared" si="8"/>
        <v>0</v>
      </c>
      <c r="AN34" s="129">
        <v>0</v>
      </c>
      <c r="AO34" s="130">
        <v>0</v>
      </c>
      <c r="AP34" s="131">
        <v>0</v>
      </c>
      <c r="AQ34" s="131">
        <f t="shared" si="9"/>
        <v>0</v>
      </c>
      <c r="AR34" s="129">
        <v>0</v>
      </c>
      <c r="AS34" s="130">
        <v>0</v>
      </c>
      <c r="AT34" s="131">
        <v>0</v>
      </c>
      <c r="AU34" s="131">
        <f t="shared" si="10"/>
        <v>0</v>
      </c>
      <c r="AV34" s="129">
        <v>0</v>
      </c>
      <c r="AW34" s="130">
        <v>0</v>
      </c>
      <c r="AX34" s="131">
        <v>0</v>
      </c>
      <c r="AY34" s="131">
        <f t="shared" si="11"/>
        <v>0</v>
      </c>
      <c r="AZ34" s="129">
        <v>0</v>
      </c>
      <c r="BA34" s="130">
        <v>0</v>
      </c>
      <c r="BB34" s="131">
        <v>0</v>
      </c>
      <c r="BC34" s="131">
        <f t="shared" si="12"/>
        <v>0</v>
      </c>
      <c r="BD34" s="129">
        <v>0</v>
      </c>
      <c r="BE34" s="130">
        <v>0</v>
      </c>
      <c r="BF34" s="131">
        <v>0</v>
      </c>
      <c r="BG34" s="131">
        <f t="shared" si="13"/>
        <v>0</v>
      </c>
      <c r="BH34" s="129">
        <v>0</v>
      </c>
      <c r="BI34" s="132">
        <v>0</v>
      </c>
      <c r="BJ34" s="131">
        <v>0</v>
      </c>
      <c r="BK34" s="131">
        <f t="shared" si="14"/>
        <v>0</v>
      </c>
      <c r="BL34" s="129">
        <v>0</v>
      </c>
      <c r="BM34" s="130">
        <v>0</v>
      </c>
      <c r="BN34" s="131">
        <v>0</v>
      </c>
      <c r="BO34" s="131">
        <f t="shared" si="15"/>
        <v>0</v>
      </c>
      <c r="BP34" s="129">
        <v>0</v>
      </c>
      <c r="BQ34" s="130">
        <v>0</v>
      </c>
      <c r="BR34" s="131">
        <v>0</v>
      </c>
      <c r="BS34" s="131">
        <f t="shared" si="16"/>
        <v>0</v>
      </c>
      <c r="BT34" s="129">
        <v>0</v>
      </c>
      <c r="BU34" s="130">
        <f t="shared" si="17"/>
        <v>10</v>
      </c>
      <c r="BV34" s="131">
        <f t="shared" si="18"/>
        <v>2</v>
      </c>
      <c r="BW34" s="131">
        <f t="shared" si="19"/>
        <v>2</v>
      </c>
      <c r="BX34" s="131">
        <f t="shared" si="20"/>
        <v>0.83333333333333337</v>
      </c>
      <c r="BY34" s="131">
        <f t="shared" si="21"/>
        <v>0.83333333333333337</v>
      </c>
      <c r="BZ34" s="129">
        <f t="shared" si="22"/>
        <v>0.83333333333333337</v>
      </c>
    </row>
    <row r="35" spans="1:78" ht="15" thickTop="1" x14ac:dyDescent="0.35">
      <c r="D35" s="5" t="s">
        <v>111</v>
      </c>
      <c r="E35" s="48">
        <f>SUM(E3:E34)</f>
        <v>68</v>
      </c>
      <c r="F35" s="48">
        <f t="shared" ref="F35:BQ35" si="44">SUM(F3:F34)</f>
        <v>68</v>
      </c>
      <c r="G35" s="48">
        <f t="shared" si="44"/>
        <v>0</v>
      </c>
      <c r="H35" s="48">
        <f t="shared" si="44"/>
        <v>4</v>
      </c>
      <c r="I35" s="48">
        <f t="shared" si="44"/>
        <v>46</v>
      </c>
      <c r="J35" s="48">
        <f t="shared" si="44"/>
        <v>27</v>
      </c>
      <c r="K35" s="48">
        <f t="shared" si="44"/>
        <v>19</v>
      </c>
      <c r="L35" s="48">
        <f t="shared" si="44"/>
        <v>0</v>
      </c>
      <c r="M35" s="48">
        <f t="shared" si="44"/>
        <v>38</v>
      </c>
      <c r="N35" s="48">
        <f t="shared" si="44"/>
        <v>8</v>
      </c>
      <c r="O35" s="48">
        <f t="shared" si="44"/>
        <v>30</v>
      </c>
      <c r="P35" s="48">
        <f t="shared" si="44"/>
        <v>3</v>
      </c>
      <c r="Q35" s="48">
        <f t="shared" si="44"/>
        <v>48</v>
      </c>
      <c r="R35" s="48">
        <f t="shared" si="44"/>
        <v>48</v>
      </c>
      <c r="S35" s="48">
        <f t="shared" si="44"/>
        <v>0</v>
      </c>
      <c r="T35" s="48">
        <f t="shared" si="44"/>
        <v>12</v>
      </c>
      <c r="U35" s="48">
        <f t="shared" si="44"/>
        <v>48</v>
      </c>
      <c r="V35" s="48">
        <f t="shared" si="44"/>
        <v>44</v>
      </c>
      <c r="W35" s="48">
        <f t="shared" si="44"/>
        <v>4</v>
      </c>
      <c r="X35" s="48">
        <f t="shared" si="44"/>
        <v>4</v>
      </c>
      <c r="Y35" s="48">
        <f t="shared" si="44"/>
        <v>72</v>
      </c>
      <c r="Z35" s="48">
        <f t="shared" si="44"/>
        <v>72</v>
      </c>
      <c r="AA35" s="48">
        <f t="shared" si="44"/>
        <v>0</v>
      </c>
      <c r="AB35" s="48">
        <f t="shared" si="44"/>
        <v>2</v>
      </c>
      <c r="AC35" s="48">
        <f t="shared" si="44"/>
        <v>20</v>
      </c>
      <c r="AD35" s="48">
        <f>SUM(AD3:AD34)</f>
        <v>8</v>
      </c>
      <c r="AE35" s="48">
        <f t="shared" si="44"/>
        <v>10</v>
      </c>
      <c r="AF35" s="48">
        <f t="shared" si="44"/>
        <v>6</v>
      </c>
      <c r="AG35" s="48">
        <f t="shared" si="44"/>
        <v>72</v>
      </c>
      <c r="AH35" s="48">
        <f t="shared" si="44"/>
        <v>72</v>
      </c>
      <c r="AI35" s="48">
        <f t="shared" si="44"/>
        <v>0</v>
      </c>
      <c r="AJ35" s="48">
        <f t="shared" si="44"/>
        <v>0</v>
      </c>
      <c r="AK35" s="48">
        <f t="shared" si="44"/>
        <v>16</v>
      </c>
      <c r="AL35" s="48">
        <f t="shared" si="44"/>
        <v>16</v>
      </c>
      <c r="AM35" s="48">
        <f t="shared" si="44"/>
        <v>0</v>
      </c>
      <c r="AN35" s="48">
        <f t="shared" si="44"/>
        <v>3</v>
      </c>
      <c r="AO35" s="48">
        <f t="shared" si="44"/>
        <v>2</v>
      </c>
      <c r="AP35" s="48">
        <f t="shared" si="44"/>
        <v>0</v>
      </c>
      <c r="AQ35" s="48">
        <f t="shared" si="44"/>
        <v>2</v>
      </c>
      <c r="AR35" s="48">
        <f t="shared" si="44"/>
        <v>7</v>
      </c>
      <c r="AS35" s="48">
        <f t="shared" si="44"/>
        <v>4</v>
      </c>
      <c r="AT35" s="48">
        <f t="shared" si="44"/>
        <v>2</v>
      </c>
      <c r="AU35" s="48">
        <f t="shared" si="44"/>
        <v>2</v>
      </c>
      <c r="AV35" s="48">
        <f t="shared" si="44"/>
        <v>5</v>
      </c>
      <c r="AW35" s="48">
        <f t="shared" si="44"/>
        <v>8</v>
      </c>
      <c r="AX35" s="48">
        <f t="shared" si="44"/>
        <v>2</v>
      </c>
      <c r="AY35" s="48">
        <f t="shared" si="44"/>
        <v>6</v>
      </c>
      <c r="AZ35" s="48">
        <f t="shared" si="44"/>
        <v>8</v>
      </c>
      <c r="BA35" s="48">
        <f t="shared" si="44"/>
        <v>36</v>
      </c>
      <c r="BB35" s="48">
        <f t="shared" si="44"/>
        <v>24</v>
      </c>
      <c r="BC35" s="48">
        <f t="shared" si="44"/>
        <v>12</v>
      </c>
      <c r="BD35" s="48">
        <f t="shared" si="44"/>
        <v>16</v>
      </c>
      <c r="BE35" s="48">
        <f t="shared" si="44"/>
        <v>8</v>
      </c>
      <c r="BF35" s="48">
        <f t="shared" si="44"/>
        <v>3</v>
      </c>
      <c r="BG35" s="48">
        <f t="shared" si="44"/>
        <v>5</v>
      </c>
      <c r="BH35" s="48">
        <f t="shared" si="44"/>
        <v>0</v>
      </c>
      <c r="BI35" s="48">
        <f t="shared" si="44"/>
        <v>2</v>
      </c>
      <c r="BJ35" s="48">
        <f t="shared" si="44"/>
        <v>2</v>
      </c>
      <c r="BK35" s="48">
        <f t="shared" si="44"/>
        <v>0</v>
      </c>
      <c r="BL35" s="48">
        <f t="shared" si="44"/>
        <v>0</v>
      </c>
      <c r="BM35" s="48">
        <f t="shared" si="44"/>
        <v>0</v>
      </c>
      <c r="BN35" s="48">
        <f t="shared" si="44"/>
        <v>0</v>
      </c>
      <c r="BO35" s="48">
        <f t="shared" si="44"/>
        <v>0</v>
      </c>
      <c r="BP35" s="48">
        <f t="shared" si="44"/>
        <v>0</v>
      </c>
      <c r="BQ35" s="48">
        <f t="shared" si="44"/>
        <v>6</v>
      </c>
      <c r="BR35" s="48">
        <f t="shared" ref="BR35:BT35" si="45">SUM(BR3:BR34)</f>
        <v>4</v>
      </c>
      <c r="BS35" s="48">
        <f t="shared" si="45"/>
        <v>2</v>
      </c>
      <c r="BT35" s="48">
        <f t="shared" si="45"/>
        <v>3</v>
      </c>
    </row>
    <row r="37" spans="1:78" x14ac:dyDescent="0.35">
      <c r="D37" s="134" t="s">
        <v>23</v>
      </c>
      <c r="E37" s="143">
        <f>IFERROR(F35/(F35+G35),"")</f>
        <v>1</v>
      </c>
      <c r="F37" s="144"/>
      <c r="G37" s="144"/>
      <c r="H37" s="145"/>
      <c r="I37" s="143">
        <f t="shared" ref="I37" si="46">IFERROR(J35/(J35+K35),"")</f>
        <v>0.58695652173913049</v>
      </c>
      <c r="J37" s="144"/>
      <c r="K37" s="144"/>
      <c r="L37" s="145"/>
      <c r="M37" s="143">
        <f t="shared" ref="M37" si="47">IFERROR(N35/(N35+O35),"")</f>
        <v>0.21052631578947367</v>
      </c>
      <c r="N37" s="144"/>
      <c r="O37" s="144"/>
      <c r="P37" s="145"/>
      <c r="Q37" s="143">
        <f t="shared" ref="Q37" si="48">IFERROR(R35/(R35+S35),"")</f>
        <v>1</v>
      </c>
      <c r="R37" s="144"/>
      <c r="S37" s="144"/>
      <c r="T37" s="145"/>
      <c r="U37" s="143">
        <f t="shared" ref="U37" si="49">IFERROR(V35/(V35+W35),"")</f>
        <v>0.91666666666666663</v>
      </c>
      <c r="V37" s="144"/>
      <c r="W37" s="144"/>
      <c r="X37" s="145"/>
      <c r="Y37" s="143">
        <f t="shared" ref="Y37" si="50">IFERROR(Z35/(Z35+AA35),"")</f>
        <v>1</v>
      </c>
      <c r="Z37" s="144"/>
      <c r="AA37" s="144"/>
      <c r="AB37" s="145"/>
      <c r="AC37" s="143">
        <f t="shared" ref="AC37" si="51">IFERROR(AD35/(AD35+AE35),"")</f>
        <v>0.44444444444444442</v>
      </c>
      <c r="AD37" s="144"/>
      <c r="AE37" s="144"/>
      <c r="AF37" s="145"/>
      <c r="AG37" s="143">
        <f t="shared" ref="AG37" si="52">IFERROR(AH35/(AH35+AI35),"")</f>
        <v>1</v>
      </c>
      <c r="AH37" s="144"/>
      <c r="AI37" s="144"/>
      <c r="AJ37" s="145"/>
      <c r="AK37" s="143">
        <f t="shared" ref="AK37" si="53">IFERROR(AL35/(AL35+AM35),"")</f>
        <v>1</v>
      </c>
      <c r="AL37" s="144"/>
      <c r="AM37" s="144"/>
      <c r="AN37" s="145"/>
      <c r="AO37" s="143">
        <f t="shared" ref="AO37" si="54">IFERROR(AP35/(AP35+AQ35),"")</f>
        <v>0</v>
      </c>
      <c r="AP37" s="144"/>
      <c r="AQ37" s="144"/>
      <c r="AR37" s="145"/>
      <c r="AS37" s="143">
        <f t="shared" ref="AS37" si="55">IFERROR(AT35/(AT35+AU35),"")</f>
        <v>0.5</v>
      </c>
      <c r="AT37" s="144"/>
      <c r="AU37" s="144"/>
      <c r="AV37" s="145"/>
      <c r="AW37" s="143">
        <f t="shared" ref="AW37" si="56">IFERROR(AX35/(AX35+AY35),"")</f>
        <v>0.25</v>
      </c>
      <c r="AX37" s="144"/>
      <c r="AY37" s="144"/>
      <c r="AZ37" s="145"/>
      <c r="BA37" s="143">
        <f t="shared" ref="BA37" si="57">IFERROR(BB35/(BB35+BC35),"")</f>
        <v>0.66666666666666663</v>
      </c>
      <c r="BB37" s="144"/>
      <c r="BC37" s="144"/>
      <c r="BD37" s="145"/>
      <c r="BE37" s="143">
        <f t="shared" ref="BE37" si="58">IFERROR(BF35/(BF35+BG35),"")</f>
        <v>0.375</v>
      </c>
      <c r="BF37" s="144"/>
      <c r="BG37" s="144"/>
      <c r="BH37" s="145"/>
      <c r="BI37" s="143">
        <f t="shared" ref="BI37" si="59">IFERROR(BJ35/(BJ35+BK35),"")</f>
        <v>1</v>
      </c>
      <c r="BJ37" s="144"/>
      <c r="BK37" s="144"/>
      <c r="BL37" s="145"/>
      <c r="BM37" s="143" t="str">
        <f t="shared" ref="BM37" si="60">IFERROR(BN35/(BN35+BO35),"")</f>
        <v/>
      </c>
      <c r="BN37" s="144"/>
      <c r="BO37" s="144"/>
      <c r="BP37" s="145"/>
      <c r="BQ37" s="143">
        <f t="shared" ref="BQ37" si="61">IFERROR(BR35/(BR35+BS35),"")</f>
        <v>0.66666666666666663</v>
      </c>
      <c r="BR37" s="144"/>
      <c r="BS37" s="144"/>
      <c r="BT37" s="145"/>
    </row>
    <row r="38" spans="1:78" x14ac:dyDescent="0.35">
      <c r="D38" s="134" t="s">
        <v>141</v>
      </c>
      <c r="E38" s="143">
        <f>IFERROR(F35/(F35+H35),"")</f>
        <v>0.94444444444444442</v>
      </c>
      <c r="F38" s="144"/>
      <c r="G38" s="144"/>
      <c r="H38" s="145"/>
      <c r="I38" s="143">
        <f t="shared" ref="I38" si="62">IFERROR(J35/(J35+L35),"")</f>
        <v>1</v>
      </c>
      <c r="J38" s="144"/>
      <c r="K38" s="144"/>
      <c r="L38" s="145"/>
      <c r="M38" s="143">
        <f t="shared" ref="M38" si="63">IFERROR(N35/(N35+P35),"")</f>
        <v>0.72727272727272729</v>
      </c>
      <c r="N38" s="144"/>
      <c r="O38" s="144"/>
      <c r="P38" s="145"/>
      <c r="Q38" s="143">
        <f t="shared" ref="Q38" si="64">IFERROR(R35/(R35+T35),"")</f>
        <v>0.8</v>
      </c>
      <c r="R38" s="144"/>
      <c r="S38" s="144"/>
      <c r="T38" s="145"/>
      <c r="U38" s="143">
        <f t="shared" ref="U38" si="65">IFERROR(V35/(V35+X35),"")</f>
        <v>0.91666666666666663</v>
      </c>
      <c r="V38" s="144"/>
      <c r="W38" s="144"/>
      <c r="X38" s="145"/>
      <c r="Y38" s="143">
        <f t="shared" ref="Y38" si="66">IFERROR(Z35/(Z35+AB35),"")</f>
        <v>0.97297297297297303</v>
      </c>
      <c r="Z38" s="144"/>
      <c r="AA38" s="144"/>
      <c r="AB38" s="145"/>
      <c r="AC38" s="143">
        <f t="shared" ref="AC38" si="67">IFERROR(AD35/(AD35+AF35),"")</f>
        <v>0.5714285714285714</v>
      </c>
      <c r="AD38" s="144"/>
      <c r="AE38" s="144"/>
      <c r="AF38" s="145"/>
      <c r="AG38" s="143">
        <f t="shared" ref="AG38" si="68">IFERROR(AH35/(AH35+AJ35),"")</f>
        <v>1</v>
      </c>
      <c r="AH38" s="144"/>
      <c r="AI38" s="144"/>
      <c r="AJ38" s="145"/>
      <c r="AK38" s="143">
        <f t="shared" ref="AK38" si="69">IFERROR(AL35/(AL35+AN35),"")</f>
        <v>0.84210526315789469</v>
      </c>
      <c r="AL38" s="144"/>
      <c r="AM38" s="144"/>
      <c r="AN38" s="145"/>
      <c r="AO38" s="143">
        <f t="shared" ref="AO38" si="70">IFERROR(AP35/(AP35+AR35),"")</f>
        <v>0</v>
      </c>
      <c r="AP38" s="144"/>
      <c r="AQ38" s="144"/>
      <c r="AR38" s="145"/>
      <c r="AS38" s="143">
        <f t="shared" ref="AS38" si="71">IFERROR(AT35/(AT35+AV35),"")</f>
        <v>0.2857142857142857</v>
      </c>
      <c r="AT38" s="144"/>
      <c r="AU38" s="144"/>
      <c r="AV38" s="145"/>
      <c r="AW38" s="143">
        <f t="shared" ref="AW38" si="72">IFERROR(AX35/(AX35+AZ35),"")</f>
        <v>0.2</v>
      </c>
      <c r="AX38" s="144"/>
      <c r="AY38" s="144"/>
      <c r="AZ38" s="145"/>
      <c r="BA38" s="143">
        <f t="shared" ref="BA38" si="73">IFERROR(BB35/(BB35+BD35),"")</f>
        <v>0.6</v>
      </c>
      <c r="BB38" s="144"/>
      <c r="BC38" s="144"/>
      <c r="BD38" s="145"/>
      <c r="BE38" s="143">
        <f t="shared" ref="BE38" si="74">IFERROR(BF35/(BF35+BH35),"")</f>
        <v>1</v>
      </c>
      <c r="BF38" s="144"/>
      <c r="BG38" s="144"/>
      <c r="BH38" s="145"/>
      <c r="BI38" s="143">
        <f t="shared" ref="BI38" si="75">IFERROR(BJ35/(BJ35+BL35),"")</f>
        <v>1</v>
      </c>
      <c r="BJ38" s="144"/>
      <c r="BK38" s="144"/>
      <c r="BL38" s="145"/>
      <c r="BM38" s="143" t="str">
        <f t="shared" ref="BM38" si="76">IFERROR(BN35/(BN35+BP35),"")</f>
        <v/>
      </c>
      <c r="BN38" s="144"/>
      <c r="BO38" s="144"/>
      <c r="BP38" s="145"/>
      <c r="BQ38" s="143">
        <f t="shared" ref="BQ38" si="77">IFERROR(BR35/(BR35+BT35),"")</f>
        <v>0.5714285714285714</v>
      </c>
      <c r="BR38" s="144"/>
      <c r="BS38" s="144"/>
      <c r="BT38" s="145"/>
    </row>
    <row r="39" spans="1:78" x14ac:dyDescent="0.35">
      <c r="D39" s="134" t="s">
        <v>24</v>
      </c>
      <c r="E39" s="143">
        <f>IFERROR(2*E37*E38/(E37+E38),IF(AND(E37=0,E38=0),0,""))</f>
        <v>0.97142857142857142</v>
      </c>
      <c r="F39" s="144"/>
      <c r="G39" s="144"/>
      <c r="H39" s="145"/>
      <c r="I39" s="143">
        <f t="shared" ref="I39" si="78">IFERROR(2*I37*I38/(I37+I38),IF(AND(I37=0,I38=0),0,""))</f>
        <v>0.73972602739726034</v>
      </c>
      <c r="J39" s="144"/>
      <c r="K39" s="144"/>
      <c r="L39" s="145"/>
      <c r="M39" s="143">
        <f t="shared" ref="M39" si="79">IFERROR(2*M37*M38/(M37+M38),IF(AND(M37=0,M38=0),0,""))</f>
        <v>0.32653061224489793</v>
      </c>
      <c r="N39" s="144"/>
      <c r="O39" s="144"/>
      <c r="P39" s="145"/>
      <c r="Q39" s="143">
        <f t="shared" ref="Q39" si="80">IFERROR(2*Q37*Q38/(Q37+Q38),IF(AND(Q37=0,Q38=0),0,""))</f>
        <v>0.88888888888888895</v>
      </c>
      <c r="R39" s="144"/>
      <c r="S39" s="144"/>
      <c r="T39" s="145"/>
      <c r="U39" s="143">
        <f t="shared" ref="U39" si="81">IFERROR(2*U37*U38/(U37+U38),IF(AND(U37=0,U38=0),0,""))</f>
        <v>0.91666666666666663</v>
      </c>
      <c r="V39" s="144"/>
      <c r="W39" s="144"/>
      <c r="X39" s="145"/>
      <c r="Y39" s="143">
        <f t="shared" ref="Y39" si="82">IFERROR(2*Y37*Y38/(Y37+Y38),IF(AND(Y37=0,Y38=0),0,""))</f>
        <v>0.98630136986301375</v>
      </c>
      <c r="Z39" s="144"/>
      <c r="AA39" s="144"/>
      <c r="AB39" s="145"/>
      <c r="AC39" s="143">
        <f t="shared" ref="AC39" si="83">IFERROR(2*AC37*AC38/(AC37+AC38),IF(AND(AC37=0,AC38=0),0,""))</f>
        <v>0.5</v>
      </c>
      <c r="AD39" s="144"/>
      <c r="AE39" s="144"/>
      <c r="AF39" s="145"/>
      <c r="AG39" s="143">
        <f t="shared" ref="AG39" si="84">IFERROR(2*AG37*AG38/(AG37+AG38),IF(AND(AG37=0,AG38=0),0,""))</f>
        <v>1</v>
      </c>
      <c r="AH39" s="144"/>
      <c r="AI39" s="144"/>
      <c r="AJ39" s="145"/>
      <c r="AK39" s="143">
        <f t="shared" ref="AK39" si="85">IFERROR(2*AK37*AK38/(AK37+AK38),IF(AND(AK37=0,AK38=0),0,""))</f>
        <v>0.91428571428571426</v>
      </c>
      <c r="AL39" s="144"/>
      <c r="AM39" s="144"/>
      <c r="AN39" s="145"/>
      <c r="AO39" s="143">
        <f t="shared" ref="AO39" si="86">IFERROR(2*AO37*AO38/(AO37+AO38),IF(AND(AO37=0,AO38=0),0,""))</f>
        <v>0</v>
      </c>
      <c r="AP39" s="144"/>
      <c r="AQ39" s="144"/>
      <c r="AR39" s="145"/>
      <c r="AS39" s="143">
        <f t="shared" ref="AS39" si="87">IFERROR(2*AS37*AS38/(AS37+AS38),IF(AND(AS37=0,AS38=0),0,""))</f>
        <v>0.36363636363636365</v>
      </c>
      <c r="AT39" s="144"/>
      <c r="AU39" s="144"/>
      <c r="AV39" s="145"/>
      <c r="AW39" s="143">
        <f t="shared" ref="AW39" si="88">IFERROR(2*AW37*AW38/(AW37+AW38),IF(AND(AW37=0,AW38=0),0,""))</f>
        <v>0.22222222222222224</v>
      </c>
      <c r="AX39" s="144"/>
      <c r="AY39" s="144"/>
      <c r="AZ39" s="145"/>
      <c r="BA39" s="143">
        <f t="shared" ref="BA39" si="89">IFERROR(2*BA37*BA38/(BA37+BA38),IF(AND(BA37=0,BA38=0),0,""))</f>
        <v>0.63157894736842102</v>
      </c>
      <c r="BB39" s="144"/>
      <c r="BC39" s="144"/>
      <c r="BD39" s="145"/>
      <c r="BE39" s="143">
        <f t="shared" ref="BE39" si="90">IFERROR(2*BE37*BE38/(BE37+BE38),IF(AND(BE37=0,BE38=0),0,""))</f>
        <v>0.54545454545454541</v>
      </c>
      <c r="BF39" s="144"/>
      <c r="BG39" s="144"/>
      <c r="BH39" s="145"/>
      <c r="BI39" s="143">
        <f t="shared" ref="BI39" si="91">IFERROR(2*BI37*BI38/(BI37+BI38),IF(AND(BI37=0,BI38=0),0,""))</f>
        <v>1</v>
      </c>
      <c r="BJ39" s="144"/>
      <c r="BK39" s="144"/>
      <c r="BL39" s="145"/>
      <c r="BM39" s="143" t="str">
        <f t="shared" ref="BM39" si="92">IFERROR(2*BM37*BM38/(BM37+BM38),IF(AND(BM37=0,BM38=0),0,""))</f>
        <v/>
      </c>
      <c r="BN39" s="144"/>
      <c r="BO39" s="144"/>
      <c r="BP39" s="145"/>
      <c r="BQ39" s="143">
        <f t="shared" ref="BQ39" si="93">IFERROR(2*BQ37*BQ38/(BQ37+BQ38),IF(AND(BQ37=0,BQ38=0),0,""))</f>
        <v>0.61538461538461531</v>
      </c>
      <c r="BR39" s="144"/>
      <c r="BS39" s="144"/>
      <c r="BT39" s="145"/>
    </row>
  </sheetData>
  <mergeCells count="84">
    <mergeCell ref="A1:A2"/>
    <mergeCell ref="B1:B2"/>
    <mergeCell ref="D1:D2"/>
    <mergeCell ref="E1:H1"/>
    <mergeCell ref="I1:L1"/>
    <mergeCell ref="BW1:BW2"/>
    <mergeCell ref="BX1:BX2"/>
    <mergeCell ref="BY1:BY2"/>
    <mergeCell ref="BA1:BD1"/>
    <mergeCell ref="BE1:BH1"/>
    <mergeCell ref="BI1:BL1"/>
    <mergeCell ref="BM1:BP1"/>
    <mergeCell ref="BQ1:BT1"/>
    <mergeCell ref="B3:B34"/>
    <mergeCell ref="C1:C2"/>
    <mergeCell ref="C3:C34"/>
    <mergeCell ref="BU1:BU2"/>
    <mergeCell ref="BV1:BV2"/>
    <mergeCell ref="AG1:AJ1"/>
    <mergeCell ref="AK1:AN1"/>
    <mergeCell ref="AO1:AR1"/>
    <mergeCell ref="AS1:AV1"/>
    <mergeCell ref="AW1:AZ1"/>
    <mergeCell ref="M1:P1"/>
    <mergeCell ref="Q1:T1"/>
    <mergeCell ref="U1:X1"/>
    <mergeCell ref="Y1:AB1"/>
    <mergeCell ref="AC1:AF1"/>
    <mergeCell ref="CC1:CC2"/>
    <mergeCell ref="CD1:CD2"/>
    <mergeCell ref="CE1:CE2"/>
    <mergeCell ref="CF1:CF2"/>
    <mergeCell ref="BZ1:BZ2"/>
    <mergeCell ref="E37:H37"/>
    <mergeCell ref="I37:L37"/>
    <mergeCell ref="M37:P37"/>
    <mergeCell ref="Q37:T37"/>
    <mergeCell ref="U37:X37"/>
    <mergeCell ref="Y37:AB37"/>
    <mergeCell ref="AC37:AF37"/>
    <mergeCell ref="AG37:AJ37"/>
    <mergeCell ref="AK37:AN37"/>
    <mergeCell ref="AO37:AR37"/>
    <mergeCell ref="Y38:AB38"/>
    <mergeCell ref="AC38:AF38"/>
    <mergeCell ref="AG38:AJ38"/>
    <mergeCell ref="AK38:AN38"/>
    <mergeCell ref="AO38:AR38"/>
    <mergeCell ref="E38:H38"/>
    <mergeCell ref="I38:L38"/>
    <mergeCell ref="M38:P38"/>
    <mergeCell ref="Q38:T38"/>
    <mergeCell ref="U38:X38"/>
    <mergeCell ref="AS39:AV39"/>
    <mergeCell ref="AW39:AZ39"/>
    <mergeCell ref="BA39:BD39"/>
    <mergeCell ref="BM37:BP37"/>
    <mergeCell ref="BQ37:BT37"/>
    <mergeCell ref="AS38:AV38"/>
    <mergeCell ref="AW38:AZ38"/>
    <mergeCell ref="BA38:BD38"/>
    <mergeCell ref="BE38:BH38"/>
    <mergeCell ref="AS37:AV37"/>
    <mergeCell ref="AW37:AZ37"/>
    <mergeCell ref="BA37:BD37"/>
    <mergeCell ref="BE37:BH37"/>
    <mergeCell ref="BI37:BL37"/>
    <mergeCell ref="BE39:BH39"/>
    <mergeCell ref="BI39:BL39"/>
    <mergeCell ref="Y39:AB39"/>
    <mergeCell ref="AC39:AF39"/>
    <mergeCell ref="AG39:AJ39"/>
    <mergeCell ref="AK39:AN39"/>
    <mergeCell ref="AO39:AR39"/>
    <mergeCell ref="E39:H39"/>
    <mergeCell ref="I39:L39"/>
    <mergeCell ref="M39:P39"/>
    <mergeCell ref="Q39:T39"/>
    <mergeCell ref="U39:X39"/>
    <mergeCell ref="BM39:BP39"/>
    <mergeCell ref="BQ39:BT39"/>
    <mergeCell ref="BI38:BL38"/>
    <mergeCell ref="BM38:BP38"/>
    <mergeCell ref="BQ38:BT38"/>
  </mergeCells>
  <phoneticPr fontId="4"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942EA-F8F9-4783-8D09-CD3D677E6B03}">
  <dimension ref="A1:CF39"/>
  <sheetViews>
    <sheetView topLeftCell="AU3" zoomScale="45" workbookViewId="0">
      <selection activeCell="AJ90" sqref="AJ90"/>
    </sheetView>
  </sheetViews>
  <sheetFormatPr defaultRowHeight="14.5" x14ac:dyDescent="0.35"/>
  <cols>
    <col min="2" max="2" width="20.26953125" customWidth="1"/>
    <col min="3" max="3" width="20.1796875" bestFit="1" customWidth="1"/>
    <col min="4" max="4" width="13.81640625" customWidth="1"/>
    <col min="71" max="71" width="5.453125" customWidth="1"/>
    <col min="76" max="76" width="12.54296875" bestFit="1" customWidth="1"/>
    <col min="77" max="77" width="10.90625" customWidth="1"/>
    <col min="81" max="81" width="12.90625" bestFit="1" customWidth="1"/>
    <col min="83" max="83" width="12.54296875" bestFit="1" customWidth="1"/>
  </cols>
  <sheetData>
    <row r="1" spans="1:84" ht="15.5" thickTop="1" thickBot="1" x14ac:dyDescent="0.4">
      <c r="A1" s="153" t="s">
        <v>0</v>
      </c>
      <c r="B1" s="161" t="s">
        <v>54</v>
      </c>
      <c r="C1" s="176" t="s">
        <v>55</v>
      </c>
      <c r="D1" s="151" t="s">
        <v>2</v>
      </c>
      <c r="E1" s="164" t="s">
        <v>3</v>
      </c>
      <c r="F1" s="165"/>
      <c r="G1" s="165"/>
      <c r="H1" s="166"/>
      <c r="I1" s="158" t="s">
        <v>95</v>
      </c>
      <c r="J1" s="158"/>
      <c r="K1" s="158"/>
      <c r="L1" s="159"/>
      <c r="M1" s="153" t="s">
        <v>96</v>
      </c>
      <c r="N1" s="149"/>
      <c r="O1" s="149"/>
      <c r="P1" s="151"/>
      <c r="Q1" s="153" t="s">
        <v>97</v>
      </c>
      <c r="R1" s="149"/>
      <c r="S1" s="149"/>
      <c r="T1" s="151"/>
      <c r="U1" s="153" t="s">
        <v>98</v>
      </c>
      <c r="V1" s="149"/>
      <c r="W1" s="149"/>
      <c r="X1" s="151"/>
      <c r="Y1" s="153" t="s">
        <v>99</v>
      </c>
      <c r="Z1" s="149"/>
      <c r="AA1" s="149"/>
      <c r="AB1" s="151"/>
      <c r="AC1" s="153" t="s">
        <v>100</v>
      </c>
      <c r="AD1" s="149"/>
      <c r="AE1" s="149"/>
      <c r="AF1" s="151"/>
      <c r="AG1" s="153" t="s">
        <v>101</v>
      </c>
      <c r="AH1" s="149"/>
      <c r="AI1" s="149"/>
      <c r="AJ1" s="151"/>
      <c r="AK1" s="153" t="s">
        <v>102</v>
      </c>
      <c r="AL1" s="149"/>
      <c r="AM1" s="149"/>
      <c r="AN1" s="151"/>
      <c r="AO1" s="153" t="s">
        <v>103</v>
      </c>
      <c r="AP1" s="149"/>
      <c r="AQ1" s="149"/>
      <c r="AR1" s="151"/>
      <c r="AS1" s="153" t="s">
        <v>104</v>
      </c>
      <c r="AT1" s="149"/>
      <c r="AU1" s="149"/>
      <c r="AV1" s="151"/>
      <c r="AW1" s="153" t="s">
        <v>105</v>
      </c>
      <c r="AX1" s="149"/>
      <c r="AY1" s="149"/>
      <c r="AZ1" s="156"/>
      <c r="BA1" s="157" t="s">
        <v>106</v>
      </c>
      <c r="BB1" s="158"/>
      <c r="BC1" s="158"/>
      <c r="BD1" s="159"/>
      <c r="BE1" s="153" t="s">
        <v>107</v>
      </c>
      <c r="BF1" s="149"/>
      <c r="BG1" s="149"/>
      <c r="BH1" s="151"/>
      <c r="BI1" s="153" t="s">
        <v>108</v>
      </c>
      <c r="BJ1" s="149"/>
      <c r="BK1" s="149"/>
      <c r="BL1" s="151"/>
      <c r="BM1" s="153" t="s">
        <v>109</v>
      </c>
      <c r="BN1" s="149"/>
      <c r="BO1" s="149"/>
      <c r="BP1" s="151"/>
      <c r="BQ1" s="153" t="s">
        <v>110</v>
      </c>
      <c r="BR1" s="149"/>
      <c r="BS1" s="149"/>
      <c r="BT1" s="151"/>
      <c r="BU1" s="154" t="s">
        <v>20</v>
      </c>
      <c r="BV1" s="149" t="s">
        <v>21</v>
      </c>
      <c r="BW1" s="149" t="s">
        <v>22</v>
      </c>
      <c r="BX1" s="149" t="s">
        <v>23</v>
      </c>
      <c r="BY1" s="149" t="s">
        <v>141</v>
      </c>
      <c r="BZ1" s="151" t="s">
        <v>24</v>
      </c>
      <c r="CC1" s="146" t="s">
        <v>2</v>
      </c>
      <c r="CD1" s="146" t="str">
        <f>BX1</f>
        <v>Recall</v>
      </c>
      <c r="CE1" s="146" t="str">
        <f>BY1</f>
        <v>Precision</v>
      </c>
      <c r="CF1" s="146" t="str">
        <f>BZ1</f>
        <v>F1</v>
      </c>
    </row>
    <row r="2" spans="1:84" ht="15.5" thickTop="1" thickBot="1" x14ac:dyDescent="0.4">
      <c r="A2" s="160"/>
      <c r="B2" s="162"/>
      <c r="C2" s="177"/>
      <c r="D2" s="163"/>
      <c r="E2" s="6" t="s">
        <v>25</v>
      </c>
      <c r="F2" s="1" t="s">
        <v>20</v>
      </c>
      <c r="G2" s="1" t="s">
        <v>21</v>
      </c>
      <c r="H2" s="2" t="s">
        <v>22</v>
      </c>
      <c r="I2" s="1" t="s">
        <v>25</v>
      </c>
      <c r="J2" s="4" t="s">
        <v>20</v>
      </c>
      <c r="K2" s="4" t="s">
        <v>21</v>
      </c>
      <c r="L2" s="2" t="s">
        <v>22</v>
      </c>
      <c r="M2" s="1" t="s">
        <v>25</v>
      </c>
      <c r="N2" s="4" t="s">
        <v>20</v>
      </c>
      <c r="O2" s="4" t="s">
        <v>21</v>
      </c>
      <c r="P2" s="2" t="s">
        <v>22</v>
      </c>
      <c r="Q2" s="1" t="s">
        <v>25</v>
      </c>
      <c r="R2" s="4" t="s">
        <v>20</v>
      </c>
      <c r="S2" s="4" t="s">
        <v>21</v>
      </c>
      <c r="T2" s="2" t="s">
        <v>22</v>
      </c>
      <c r="U2" s="1" t="s">
        <v>25</v>
      </c>
      <c r="V2" s="4" t="s">
        <v>20</v>
      </c>
      <c r="W2" s="4" t="s">
        <v>21</v>
      </c>
      <c r="X2" s="2" t="s">
        <v>22</v>
      </c>
      <c r="Y2" s="1" t="s">
        <v>25</v>
      </c>
      <c r="Z2" s="4" t="s">
        <v>20</v>
      </c>
      <c r="AA2" s="4" t="s">
        <v>21</v>
      </c>
      <c r="AB2" s="2" t="s">
        <v>22</v>
      </c>
      <c r="AC2" s="1" t="s">
        <v>25</v>
      </c>
      <c r="AD2" s="4" t="s">
        <v>20</v>
      </c>
      <c r="AE2" s="4" t="s">
        <v>21</v>
      </c>
      <c r="AF2" s="2" t="s">
        <v>22</v>
      </c>
      <c r="AG2" s="1" t="s">
        <v>25</v>
      </c>
      <c r="AH2" s="4" t="s">
        <v>20</v>
      </c>
      <c r="AI2" s="4" t="s">
        <v>21</v>
      </c>
      <c r="AJ2" s="2" t="s">
        <v>22</v>
      </c>
      <c r="AK2" s="1" t="s">
        <v>25</v>
      </c>
      <c r="AL2" s="4" t="s">
        <v>20</v>
      </c>
      <c r="AM2" s="4" t="s">
        <v>21</v>
      </c>
      <c r="AN2" s="2" t="s">
        <v>22</v>
      </c>
      <c r="AO2" s="1" t="s">
        <v>25</v>
      </c>
      <c r="AP2" s="4" t="s">
        <v>20</v>
      </c>
      <c r="AQ2" s="4" t="s">
        <v>21</v>
      </c>
      <c r="AR2" s="2" t="s">
        <v>22</v>
      </c>
      <c r="AS2" s="1" t="s">
        <v>25</v>
      </c>
      <c r="AT2" s="4" t="s">
        <v>20</v>
      </c>
      <c r="AU2" s="4" t="s">
        <v>21</v>
      </c>
      <c r="AV2" s="2" t="s">
        <v>22</v>
      </c>
      <c r="AW2" s="1" t="s">
        <v>25</v>
      </c>
      <c r="AX2" s="4" t="s">
        <v>20</v>
      </c>
      <c r="AY2" s="4" t="s">
        <v>21</v>
      </c>
      <c r="AZ2" s="122" t="s">
        <v>22</v>
      </c>
      <c r="BA2" s="121" t="s">
        <v>25</v>
      </c>
      <c r="BB2" s="3" t="s">
        <v>20</v>
      </c>
      <c r="BC2" s="3" t="s">
        <v>21</v>
      </c>
      <c r="BD2" s="122" t="s">
        <v>22</v>
      </c>
      <c r="BE2" s="6" t="s">
        <v>25</v>
      </c>
      <c r="BF2" s="4" t="s">
        <v>20</v>
      </c>
      <c r="BG2" s="4" t="s">
        <v>21</v>
      </c>
      <c r="BH2" s="2" t="s">
        <v>22</v>
      </c>
      <c r="BI2" s="1" t="s">
        <v>25</v>
      </c>
      <c r="BJ2" s="4" t="s">
        <v>20</v>
      </c>
      <c r="BK2" s="4" t="s">
        <v>21</v>
      </c>
      <c r="BL2" s="2" t="s">
        <v>22</v>
      </c>
      <c r="BM2" s="1" t="s">
        <v>25</v>
      </c>
      <c r="BN2" s="4" t="s">
        <v>20</v>
      </c>
      <c r="BO2" s="4" t="s">
        <v>21</v>
      </c>
      <c r="BP2" s="2" t="s">
        <v>22</v>
      </c>
      <c r="BQ2" s="1" t="s">
        <v>25</v>
      </c>
      <c r="BR2" s="4" t="s">
        <v>20</v>
      </c>
      <c r="BS2" s="4" t="s">
        <v>21</v>
      </c>
      <c r="BT2" s="2" t="s">
        <v>22</v>
      </c>
      <c r="BU2" s="155"/>
      <c r="BV2" s="150"/>
      <c r="BW2" s="150"/>
      <c r="BX2" s="150"/>
      <c r="BY2" s="150"/>
      <c r="BZ2" s="152"/>
      <c r="CC2" s="146"/>
      <c r="CD2" s="146"/>
      <c r="CE2" s="146"/>
      <c r="CF2" s="146"/>
    </row>
    <row r="3" spans="1:84" ht="15" customHeight="1" thickTop="1" x14ac:dyDescent="0.35">
      <c r="A3" s="49" t="s">
        <v>48</v>
      </c>
      <c r="B3" s="147" t="s">
        <v>53</v>
      </c>
      <c r="C3" s="147" t="s">
        <v>56</v>
      </c>
      <c r="D3" s="7" t="s">
        <v>26</v>
      </c>
      <c r="E3" s="8">
        <v>3</v>
      </c>
      <c r="F3" s="9">
        <v>3</v>
      </c>
      <c r="G3" s="9">
        <f t="shared" ref="G3:G34" si="0">E3-F3</f>
        <v>0</v>
      </c>
      <c r="H3" s="7">
        <v>0</v>
      </c>
      <c r="I3" s="10">
        <v>3</v>
      </c>
      <c r="J3" s="9">
        <v>0</v>
      </c>
      <c r="K3" s="9">
        <f t="shared" ref="K3:K13" si="1">I3-J3</f>
        <v>3</v>
      </c>
      <c r="L3" s="7">
        <v>0</v>
      </c>
      <c r="M3" s="10">
        <v>6</v>
      </c>
      <c r="N3" s="9">
        <v>0</v>
      </c>
      <c r="O3" s="9">
        <f t="shared" ref="O3:O13" si="2">M3-N3</f>
        <v>6</v>
      </c>
      <c r="P3" s="7">
        <v>0</v>
      </c>
      <c r="Q3" s="10">
        <v>4</v>
      </c>
      <c r="R3" s="9">
        <v>4</v>
      </c>
      <c r="S3" s="9">
        <f t="shared" ref="S3:S34" si="3">Q3-R3</f>
        <v>0</v>
      </c>
      <c r="T3" s="7">
        <v>0</v>
      </c>
      <c r="U3" s="10">
        <v>4</v>
      </c>
      <c r="V3" s="9">
        <v>4</v>
      </c>
      <c r="W3" s="9">
        <f t="shared" ref="W3:W13" si="4">U3-V3</f>
        <v>0</v>
      </c>
      <c r="X3" s="7">
        <v>0</v>
      </c>
      <c r="Y3" s="10">
        <v>3</v>
      </c>
      <c r="Z3" s="9">
        <v>3</v>
      </c>
      <c r="AA3" s="9">
        <f t="shared" ref="AA3:AA15" si="5">Y3-Z3</f>
        <v>0</v>
      </c>
      <c r="AB3" s="7">
        <v>0</v>
      </c>
      <c r="AC3" s="10">
        <v>0</v>
      </c>
      <c r="AD3" s="9">
        <v>0</v>
      </c>
      <c r="AE3" s="9">
        <f t="shared" ref="AE3:AE29" si="6">AC3-AD3</f>
        <v>0</v>
      </c>
      <c r="AF3" s="7">
        <v>0</v>
      </c>
      <c r="AG3" s="10">
        <v>3</v>
      </c>
      <c r="AH3" s="9">
        <v>3</v>
      </c>
      <c r="AI3" s="9">
        <f t="shared" ref="AI3:AI34" si="7">AG3-AH3</f>
        <v>0</v>
      </c>
      <c r="AJ3" s="7">
        <v>0</v>
      </c>
      <c r="AK3" s="10">
        <v>2</v>
      </c>
      <c r="AL3" s="9">
        <v>2</v>
      </c>
      <c r="AM3" s="9">
        <f t="shared" ref="AM3:AM34" si="8">AK3-AL3</f>
        <v>0</v>
      </c>
      <c r="AN3" s="7">
        <v>0</v>
      </c>
      <c r="AO3" s="10">
        <v>0</v>
      </c>
      <c r="AP3" s="9">
        <v>0</v>
      </c>
      <c r="AQ3" s="9">
        <f t="shared" ref="AQ3:AQ34" si="9">AO3-AP3</f>
        <v>0</v>
      </c>
      <c r="AR3" s="7">
        <v>0</v>
      </c>
      <c r="AS3" s="10">
        <v>0</v>
      </c>
      <c r="AT3" s="9">
        <v>0</v>
      </c>
      <c r="AU3" s="9">
        <f t="shared" ref="AU3:AU34" si="10">AS3-AT3</f>
        <v>0</v>
      </c>
      <c r="AV3" s="7">
        <v>0</v>
      </c>
      <c r="AW3" s="10">
        <v>0</v>
      </c>
      <c r="AX3" s="9">
        <v>0</v>
      </c>
      <c r="AY3" s="9">
        <f t="shared" ref="AY3:AY34" si="11">AW3-AX3</f>
        <v>0</v>
      </c>
      <c r="AZ3" s="7">
        <v>0</v>
      </c>
      <c r="BA3" s="8">
        <v>2</v>
      </c>
      <c r="BB3" s="124">
        <v>2</v>
      </c>
      <c r="BC3" s="124">
        <f t="shared" ref="BC3:BC34" si="12">BA3-BB3</f>
        <v>0</v>
      </c>
      <c r="BD3" s="123">
        <v>0</v>
      </c>
      <c r="BE3" s="8">
        <v>0</v>
      </c>
      <c r="BF3" s="9">
        <v>0</v>
      </c>
      <c r="BG3" s="9">
        <f t="shared" ref="BG3:BG34" si="13">BE3-BF3</f>
        <v>0</v>
      </c>
      <c r="BH3" s="7">
        <v>0</v>
      </c>
      <c r="BI3" s="10">
        <v>0</v>
      </c>
      <c r="BJ3" s="9">
        <v>0</v>
      </c>
      <c r="BK3" s="9">
        <f t="shared" ref="BK3:BK34" si="14">BI3-BJ3</f>
        <v>0</v>
      </c>
      <c r="BL3" s="7">
        <v>0</v>
      </c>
      <c r="BM3" s="10">
        <v>0</v>
      </c>
      <c r="BN3" s="9">
        <v>0</v>
      </c>
      <c r="BO3" s="9">
        <f t="shared" ref="BO3:BO34" si="15">BM3-BN3</f>
        <v>0</v>
      </c>
      <c r="BP3" s="7">
        <v>0</v>
      </c>
      <c r="BQ3" s="10">
        <v>0</v>
      </c>
      <c r="BR3" s="9">
        <v>0</v>
      </c>
      <c r="BS3" s="9">
        <f t="shared" ref="BS3:BS34" si="16">BQ3-BR3</f>
        <v>0</v>
      </c>
      <c r="BT3" s="7">
        <v>0</v>
      </c>
      <c r="BU3" s="10">
        <f t="shared" ref="BU3:BU34" si="17">SUM(F3,J3,N3,R3,V3,Z3,AD3,AH3,AL3,AP3,AT3,AX3,BF3,BJ3,BN3,BR3,BB3)</f>
        <v>21</v>
      </c>
      <c r="BV3" s="9">
        <f t="shared" ref="BV3:BV34" si="18">SUM(BS3,BO3,BK3,BG3,AY3,AU3,AQ3,AM3,AI3,AE3,AA3,W3,S3,O3,K3,G3,BC3)</f>
        <v>9</v>
      </c>
      <c r="BW3" s="124">
        <f t="shared" ref="BW3:BW34" si="19">SUM(BT3,BP3,BL3,BH3,AZ3,AV3,AR3,AN3,AJ3,AF3,AB3,X3,T3,P3,L3,H3, BD3)</f>
        <v>0</v>
      </c>
      <c r="BX3" s="9">
        <f t="shared" ref="BX3:BX34" si="20">BU3/(BU3+BV3)</f>
        <v>0.7</v>
      </c>
      <c r="BY3" s="9">
        <f t="shared" ref="BY3:BY34" si="21">BU3/(BU3+BW3)</f>
        <v>1</v>
      </c>
      <c r="BZ3" s="7">
        <f t="shared" ref="BZ3:BZ34" si="22">2*(BY3*BX3)/(BY3+BX3)</f>
        <v>0.82352941176470584</v>
      </c>
      <c r="CC3" s="133" t="s">
        <v>75</v>
      </c>
      <c r="CD3">
        <f>AVERAGE(BX3:BX4)</f>
        <v>0.7</v>
      </c>
      <c r="CE3">
        <f t="shared" ref="CE3:CF3" si="23">AVERAGE(BY3:BY4)</f>
        <v>0.95652173913043481</v>
      </c>
      <c r="CF3">
        <f t="shared" si="23"/>
        <v>0.80799112097669257</v>
      </c>
    </row>
    <row r="4" spans="1:84" x14ac:dyDescent="0.35">
      <c r="A4" s="49" t="s">
        <v>48</v>
      </c>
      <c r="B4" s="148"/>
      <c r="C4" s="148"/>
      <c r="D4" s="123" t="s">
        <v>60</v>
      </c>
      <c r="E4" s="8">
        <v>3</v>
      </c>
      <c r="F4" s="124">
        <v>3</v>
      </c>
      <c r="G4" s="124">
        <f t="shared" si="0"/>
        <v>0</v>
      </c>
      <c r="H4" s="123">
        <v>0</v>
      </c>
      <c r="I4" s="8">
        <v>3</v>
      </c>
      <c r="J4" s="124">
        <v>0</v>
      </c>
      <c r="K4" s="124">
        <f t="shared" si="1"/>
        <v>3</v>
      </c>
      <c r="L4" s="123">
        <v>0</v>
      </c>
      <c r="M4" s="8">
        <v>6</v>
      </c>
      <c r="N4" s="124">
        <v>0</v>
      </c>
      <c r="O4" s="124">
        <f t="shared" si="2"/>
        <v>6</v>
      </c>
      <c r="P4" s="123">
        <v>0</v>
      </c>
      <c r="Q4" s="8">
        <v>4</v>
      </c>
      <c r="R4" s="124">
        <v>4</v>
      </c>
      <c r="S4" s="124">
        <f t="shared" si="3"/>
        <v>0</v>
      </c>
      <c r="T4" s="123">
        <v>0</v>
      </c>
      <c r="U4" s="8">
        <v>4</v>
      </c>
      <c r="V4" s="124">
        <v>4</v>
      </c>
      <c r="W4" s="124">
        <f t="shared" si="4"/>
        <v>0</v>
      </c>
      <c r="X4" s="123">
        <v>0</v>
      </c>
      <c r="Y4" s="8">
        <v>3</v>
      </c>
      <c r="Z4" s="124">
        <v>3</v>
      </c>
      <c r="AA4" s="124">
        <f t="shared" si="5"/>
        <v>0</v>
      </c>
      <c r="AB4" s="123">
        <v>0</v>
      </c>
      <c r="AC4" s="8">
        <v>0</v>
      </c>
      <c r="AD4" s="124">
        <v>0</v>
      </c>
      <c r="AE4" s="124">
        <f t="shared" si="6"/>
        <v>0</v>
      </c>
      <c r="AF4" s="123">
        <v>0</v>
      </c>
      <c r="AG4" s="8">
        <v>3</v>
      </c>
      <c r="AH4" s="124">
        <v>3</v>
      </c>
      <c r="AI4" s="124">
        <f t="shared" si="7"/>
        <v>0</v>
      </c>
      <c r="AJ4" s="123">
        <v>0</v>
      </c>
      <c r="AK4" s="8">
        <v>2</v>
      </c>
      <c r="AL4" s="124">
        <v>2</v>
      </c>
      <c r="AM4" s="124">
        <f t="shared" si="8"/>
        <v>0</v>
      </c>
      <c r="AN4" s="123">
        <v>0</v>
      </c>
      <c r="AO4" s="8">
        <v>0</v>
      </c>
      <c r="AP4" s="124">
        <v>0</v>
      </c>
      <c r="AQ4" s="124">
        <f t="shared" si="9"/>
        <v>0</v>
      </c>
      <c r="AR4" s="123">
        <v>0</v>
      </c>
      <c r="AS4" s="8">
        <v>0</v>
      </c>
      <c r="AT4" s="124">
        <v>0</v>
      </c>
      <c r="AU4" s="124">
        <f t="shared" si="10"/>
        <v>0</v>
      </c>
      <c r="AV4" s="123">
        <v>0</v>
      </c>
      <c r="AW4" s="8">
        <v>0</v>
      </c>
      <c r="AX4" s="124">
        <v>0</v>
      </c>
      <c r="AY4" s="124">
        <f t="shared" si="11"/>
        <v>0</v>
      </c>
      <c r="AZ4" s="123">
        <v>0</v>
      </c>
      <c r="BA4" s="8">
        <v>2</v>
      </c>
      <c r="BB4" s="124">
        <v>2</v>
      </c>
      <c r="BC4" s="124">
        <f t="shared" si="12"/>
        <v>0</v>
      </c>
      <c r="BD4" s="123">
        <v>0</v>
      </c>
      <c r="BE4" s="8">
        <v>0</v>
      </c>
      <c r="BF4" s="124">
        <v>0</v>
      </c>
      <c r="BG4" s="124">
        <f t="shared" si="13"/>
        <v>0</v>
      </c>
      <c r="BH4" s="123">
        <v>0</v>
      </c>
      <c r="BI4" s="8">
        <v>0</v>
      </c>
      <c r="BJ4" s="124">
        <v>0</v>
      </c>
      <c r="BK4" s="124">
        <f t="shared" si="14"/>
        <v>0</v>
      </c>
      <c r="BL4" s="123">
        <v>0</v>
      </c>
      <c r="BM4" s="8">
        <v>0</v>
      </c>
      <c r="BN4" s="124">
        <v>0</v>
      </c>
      <c r="BO4" s="124">
        <f t="shared" si="15"/>
        <v>0</v>
      </c>
      <c r="BP4" s="123">
        <v>2</v>
      </c>
      <c r="BQ4" s="8">
        <v>0</v>
      </c>
      <c r="BR4" s="124">
        <v>0</v>
      </c>
      <c r="BS4" s="124">
        <f t="shared" si="16"/>
        <v>0</v>
      </c>
      <c r="BT4" s="123">
        <v>0</v>
      </c>
      <c r="BU4" s="8">
        <f t="shared" si="17"/>
        <v>21</v>
      </c>
      <c r="BV4" s="124">
        <f t="shared" si="18"/>
        <v>9</v>
      </c>
      <c r="BW4" s="124">
        <f t="shared" si="19"/>
        <v>2</v>
      </c>
      <c r="BX4" s="124">
        <f t="shared" si="20"/>
        <v>0.7</v>
      </c>
      <c r="BY4" s="124">
        <f t="shared" si="21"/>
        <v>0.91304347826086951</v>
      </c>
      <c r="BZ4" s="123">
        <f t="shared" si="22"/>
        <v>0.79245283018867929</v>
      </c>
      <c r="CC4" s="133" t="s">
        <v>76</v>
      </c>
      <c r="CD4">
        <f>AVERAGE(BX5:BX6)</f>
        <v>0.8</v>
      </c>
      <c r="CE4">
        <f t="shared" ref="CE4:CF4" si="24">AVERAGE(BY5:BY6)</f>
        <v>0.72727272727272729</v>
      </c>
      <c r="CF4">
        <f t="shared" si="24"/>
        <v>0.76190476190476197</v>
      </c>
    </row>
    <row r="5" spans="1:84" x14ac:dyDescent="0.35">
      <c r="A5" s="50" t="s">
        <v>48</v>
      </c>
      <c r="B5" s="148"/>
      <c r="C5" s="148"/>
      <c r="D5" s="11" t="s">
        <v>27</v>
      </c>
      <c r="E5" s="12">
        <v>2</v>
      </c>
      <c r="F5" s="13">
        <v>2</v>
      </c>
      <c r="G5" s="13">
        <f t="shared" si="0"/>
        <v>0</v>
      </c>
      <c r="H5" s="11">
        <v>0</v>
      </c>
      <c r="I5" s="12">
        <v>2</v>
      </c>
      <c r="J5" s="13">
        <v>2</v>
      </c>
      <c r="K5" s="13">
        <f t="shared" si="1"/>
        <v>0</v>
      </c>
      <c r="L5" s="11">
        <v>0</v>
      </c>
      <c r="M5" s="12">
        <v>0</v>
      </c>
      <c r="N5" s="13">
        <v>0</v>
      </c>
      <c r="O5" s="13">
        <f t="shared" si="2"/>
        <v>0</v>
      </c>
      <c r="P5" s="11">
        <v>0</v>
      </c>
      <c r="Q5" s="12">
        <v>0</v>
      </c>
      <c r="R5" s="13">
        <v>0</v>
      </c>
      <c r="S5" s="13">
        <f t="shared" si="3"/>
        <v>0</v>
      </c>
      <c r="T5" s="11">
        <v>1</v>
      </c>
      <c r="U5" s="12">
        <v>0</v>
      </c>
      <c r="V5" s="13">
        <v>0</v>
      </c>
      <c r="W5" s="13">
        <f t="shared" si="4"/>
        <v>0</v>
      </c>
      <c r="X5" s="11">
        <v>0</v>
      </c>
      <c r="Y5" s="12">
        <v>2</v>
      </c>
      <c r="Z5" s="13">
        <v>2</v>
      </c>
      <c r="AA5" s="13">
        <f t="shared" si="5"/>
        <v>0</v>
      </c>
      <c r="AB5" s="11">
        <v>0</v>
      </c>
      <c r="AC5" s="12">
        <v>0</v>
      </c>
      <c r="AD5" s="13">
        <v>0</v>
      </c>
      <c r="AE5" s="13">
        <f t="shared" si="6"/>
        <v>0</v>
      </c>
      <c r="AF5" s="11">
        <v>0</v>
      </c>
      <c r="AG5" s="12">
        <v>2</v>
      </c>
      <c r="AH5" s="13">
        <v>2</v>
      </c>
      <c r="AI5" s="13">
        <f t="shared" si="7"/>
        <v>0</v>
      </c>
      <c r="AJ5" s="11">
        <v>0</v>
      </c>
      <c r="AK5" s="12">
        <v>0</v>
      </c>
      <c r="AL5" s="13">
        <v>0</v>
      </c>
      <c r="AM5" s="13">
        <f t="shared" si="8"/>
        <v>0</v>
      </c>
      <c r="AN5" s="11">
        <v>0</v>
      </c>
      <c r="AO5" s="12">
        <v>0</v>
      </c>
      <c r="AP5" s="13">
        <v>0</v>
      </c>
      <c r="AQ5" s="13">
        <f t="shared" si="9"/>
        <v>0</v>
      </c>
      <c r="AR5" s="11">
        <v>0</v>
      </c>
      <c r="AS5" s="12">
        <v>0</v>
      </c>
      <c r="AT5" s="13">
        <v>0</v>
      </c>
      <c r="AU5" s="13">
        <f t="shared" si="10"/>
        <v>0</v>
      </c>
      <c r="AV5" s="11">
        <v>0</v>
      </c>
      <c r="AW5" s="12">
        <v>1</v>
      </c>
      <c r="AX5" s="13">
        <v>0</v>
      </c>
      <c r="AY5" s="13">
        <f t="shared" si="11"/>
        <v>1</v>
      </c>
      <c r="AZ5" s="11">
        <v>1</v>
      </c>
      <c r="BA5" s="12">
        <v>1</v>
      </c>
      <c r="BB5" s="13">
        <v>0</v>
      </c>
      <c r="BC5" s="13">
        <f t="shared" si="12"/>
        <v>1</v>
      </c>
      <c r="BD5" s="11">
        <v>1</v>
      </c>
      <c r="BE5" s="12">
        <v>0</v>
      </c>
      <c r="BF5" s="13">
        <v>0</v>
      </c>
      <c r="BG5" s="13">
        <f t="shared" si="13"/>
        <v>0</v>
      </c>
      <c r="BH5" s="11">
        <v>0</v>
      </c>
      <c r="BI5" s="12">
        <v>0</v>
      </c>
      <c r="BJ5" s="13">
        <v>0</v>
      </c>
      <c r="BK5" s="13">
        <f t="shared" si="14"/>
        <v>0</v>
      </c>
      <c r="BL5" s="11">
        <v>0</v>
      </c>
      <c r="BM5" s="12">
        <v>0</v>
      </c>
      <c r="BN5" s="13">
        <v>0</v>
      </c>
      <c r="BO5" s="13">
        <f t="shared" si="15"/>
        <v>0</v>
      </c>
      <c r="BP5" s="11">
        <v>0</v>
      </c>
      <c r="BQ5" s="12">
        <v>0</v>
      </c>
      <c r="BR5" s="13">
        <v>0</v>
      </c>
      <c r="BS5" s="13">
        <f t="shared" si="16"/>
        <v>0</v>
      </c>
      <c r="BT5" s="11">
        <v>0</v>
      </c>
      <c r="BU5" s="12">
        <f t="shared" si="17"/>
        <v>8</v>
      </c>
      <c r="BV5" s="13">
        <f t="shared" si="18"/>
        <v>2</v>
      </c>
      <c r="BW5" s="13">
        <f t="shared" si="19"/>
        <v>3</v>
      </c>
      <c r="BX5" s="13">
        <f t="shared" si="20"/>
        <v>0.8</v>
      </c>
      <c r="BY5" s="13">
        <f t="shared" si="21"/>
        <v>0.72727272727272729</v>
      </c>
      <c r="BZ5" s="11">
        <f t="shared" si="22"/>
        <v>0.76190476190476197</v>
      </c>
      <c r="CC5" s="133" t="s">
        <v>77</v>
      </c>
      <c r="CD5">
        <f>AVERAGE(BX7:BX8)</f>
        <v>0.75</v>
      </c>
      <c r="CE5">
        <f t="shared" ref="CE5:CF5" si="25">AVERAGE(BY7:BY8)</f>
        <v>0.85641025641025648</v>
      </c>
      <c r="CF5">
        <f t="shared" si="25"/>
        <v>0.79866518353726357</v>
      </c>
    </row>
    <row r="6" spans="1:84" x14ac:dyDescent="0.35">
      <c r="A6" s="50" t="s">
        <v>48</v>
      </c>
      <c r="B6" s="148"/>
      <c r="C6" s="148"/>
      <c r="D6" s="11" t="s">
        <v>61</v>
      </c>
      <c r="E6" s="12">
        <v>2</v>
      </c>
      <c r="F6" s="13">
        <v>2</v>
      </c>
      <c r="G6" s="13">
        <f t="shared" si="0"/>
        <v>0</v>
      </c>
      <c r="H6" s="11">
        <v>0</v>
      </c>
      <c r="I6" s="12">
        <v>2</v>
      </c>
      <c r="J6" s="13">
        <v>2</v>
      </c>
      <c r="K6" s="13">
        <f t="shared" si="1"/>
        <v>0</v>
      </c>
      <c r="L6" s="11">
        <v>0</v>
      </c>
      <c r="M6" s="12">
        <v>0</v>
      </c>
      <c r="N6" s="13">
        <v>0</v>
      </c>
      <c r="O6" s="13">
        <f t="shared" si="2"/>
        <v>0</v>
      </c>
      <c r="P6" s="11">
        <v>0</v>
      </c>
      <c r="Q6" s="12">
        <v>0</v>
      </c>
      <c r="R6" s="13">
        <v>0</v>
      </c>
      <c r="S6" s="13">
        <f t="shared" si="3"/>
        <v>0</v>
      </c>
      <c r="T6" s="11">
        <v>1</v>
      </c>
      <c r="U6" s="12">
        <v>0</v>
      </c>
      <c r="V6" s="13">
        <v>0</v>
      </c>
      <c r="W6" s="13">
        <f t="shared" si="4"/>
        <v>0</v>
      </c>
      <c r="X6" s="11">
        <v>0</v>
      </c>
      <c r="Y6" s="12">
        <v>2</v>
      </c>
      <c r="Z6" s="13">
        <v>2</v>
      </c>
      <c r="AA6" s="13">
        <f t="shared" si="5"/>
        <v>0</v>
      </c>
      <c r="AB6" s="11">
        <v>0</v>
      </c>
      <c r="AC6" s="12">
        <v>0</v>
      </c>
      <c r="AD6" s="13">
        <v>0</v>
      </c>
      <c r="AE6" s="13">
        <f t="shared" si="6"/>
        <v>0</v>
      </c>
      <c r="AF6" s="11">
        <v>0</v>
      </c>
      <c r="AG6" s="12">
        <v>2</v>
      </c>
      <c r="AH6" s="13">
        <v>2</v>
      </c>
      <c r="AI6" s="13">
        <f t="shared" si="7"/>
        <v>0</v>
      </c>
      <c r="AJ6" s="11">
        <v>0</v>
      </c>
      <c r="AK6" s="12">
        <v>0</v>
      </c>
      <c r="AL6" s="13">
        <v>0</v>
      </c>
      <c r="AM6" s="13">
        <f t="shared" si="8"/>
        <v>0</v>
      </c>
      <c r="AN6" s="11">
        <v>0</v>
      </c>
      <c r="AO6" s="12">
        <v>0</v>
      </c>
      <c r="AP6" s="13">
        <v>0</v>
      </c>
      <c r="AQ6" s="13">
        <f t="shared" si="9"/>
        <v>0</v>
      </c>
      <c r="AR6" s="11">
        <v>0</v>
      </c>
      <c r="AS6" s="12">
        <v>0</v>
      </c>
      <c r="AT6" s="13">
        <v>0</v>
      </c>
      <c r="AU6" s="13">
        <f t="shared" si="10"/>
        <v>0</v>
      </c>
      <c r="AV6" s="11">
        <v>0</v>
      </c>
      <c r="AW6" s="12">
        <v>1</v>
      </c>
      <c r="AX6" s="13">
        <v>0</v>
      </c>
      <c r="AY6" s="13">
        <f t="shared" si="11"/>
        <v>1</v>
      </c>
      <c r="AZ6" s="11">
        <v>1</v>
      </c>
      <c r="BA6" s="12">
        <v>1</v>
      </c>
      <c r="BB6" s="13">
        <v>0</v>
      </c>
      <c r="BC6" s="13">
        <f t="shared" si="12"/>
        <v>1</v>
      </c>
      <c r="BD6" s="11">
        <v>1</v>
      </c>
      <c r="BE6" s="12">
        <v>0</v>
      </c>
      <c r="BF6" s="13">
        <v>0</v>
      </c>
      <c r="BG6" s="13">
        <f t="shared" si="13"/>
        <v>0</v>
      </c>
      <c r="BH6" s="11">
        <v>0</v>
      </c>
      <c r="BI6" s="12">
        <v>0</v>
      </c>
      <c r="BJ6" s="13">
        <v>0</v>
      </c>
      <c r="BK6" s="13">
        <f t="shared" si="14"/>
        <v>0</v>
      </c>
      <c r="BL6" s="11">
        <v>0</v>
      </c>
      <c r="BM6" s="12">
        <v>0</v>
      </c>
      <c r="BN6" s="13">
        <v>0</v>
      </c>
      <c r="BO6" s="13">
        <f t="shared" si="15"/>
        <v>0</v>
      </c>
      <c r="BP6" s="11">
        <v>0</v>
      </c>
      <c r="BQ6" s="12">
        <v>0</v>
      </c>
      <c r="BR6" s="13">
        <v>0</v>
      </c>
      <c r="BS6" s="13">
        <f t="shared" si="16"/>
        <v>0</v>
      </c>
      <c r="BT6" s="11">
        <v>0</v>
      </c>
      <c r="BU6" s="12">
        <f t="shared" si="17"/>
        <v>8</v>
      </c>
      <c r="BV6" s="13">
        <f t="shared" si="18"/>
        <v>2</v>
      </c>
      <c r="BW6" s="13">
        <f t="shared" si="19"/>
        <v>3</v>
      </c>
      <c r="BX6" s="13">
        <f t="shared" si="20"/>
        <v>0.8</v>
      </c>
      <c r="BY6" s="13">
        <f t="shared" si="21"/>
        <v>0.72727272727272729</v>
      </c>
      <c r="BZ6" s="11">
        <f t="shared" si="22"/>
        <v>0.76190476190476197</v>
      </c>
      <c r="CC6" s="133" t="s">
        <v>78</v>
      </c>
      <c r="CD6">
        <f>AVERAGE(BX9:BX10)</f>
        <v>0.95833333333333326</v>
      </c>
      <c r="CE6">
        <f t="shared" ref="CE6:CF6" si="26">AVERAGE(BY9:BY10)</f>
        <v>0.91987179487179493</v>
      </c>
      <c r="CF6">
        <f t="shared" si="26"/>
        <v>0.93833333333333335</v>
      </c>
    </row>
    <row r="7" spans="1:84" x14ac:dyDescent="0.35">
      <c r="A7" s="51" t="s">
        <v>48</v>
      </c>
      <c r="B7" s="148"/>
      <c r="C7" s="148"/>
      <c r="D7" s="14" t="s">
        <v>28</v>
      </c>
      <c r="E7" s="15">
        <v>2</v>
      </c>
      <c r="F7" s="16">
        <v>2</v>
      </c>
      <c r="G7" s="16">
        <f t="shared" si="0"/>
        <v>0</v>
      </c>
      <c r="H7" s="14">
        <v>0</v>
      </c>
      <c r="I7" s="15">
        <v>1</v>
      </c>
      <c r="J7" s="16">
        <v>1</v>
      </c>
      <c r="K7" s="16">
        <f t="shared" si="1"/>
        <v>0</v>
      </c>
      <c r="L7" s="14">
        <v>0</v>
      </c>
      <c r="M7" s="15">
        <v>1</v>
      </c>
      <c r="N7" s="16">
        <v>1</v>
      </c>
      <c r="O7" s="16">
        <f t="shared" si="2"/>
        <v>0</v>
      </c>
      <c r="P7" s="14">
        <v>0</v>
      </c>
      <c r="Q7" s="15">
        <v>1</v>
      </c>
      <c r="R7" s="16">
        <v>1</v>
      </c>
      <c r="S7" s="16">
        <f t="shared" si="3"/>
        <v>0</v>
      </c>
      <c r="T7" s="14">
        <v>0</v>
      </c>
      <c r="U7" s="15">
        <v>1</v>
      </c>
      <c r="V7" s="16">
        <v>1</v>
      </c>
      <c r="W7" s="16">
        <f t="shared" si="4"/>
        <v>0</v>
      </c>
      <c r="X7" s="14">
        <v>0</v>
      </c>
      <c r="Y7" s="15">
        <v>3</v>
      </c>
      <c r="Z7" s="16">
        <v>3</v>
      </c>
      <c r="AA7" s="16">
        <f t="shared" si="5"/>
        <v>0</v>
      </c>
      <c r="AB7" s="14">
        <v>0</v>
      </c>
      <c r="AC7" s="15">
        <v>0</v>
      </c>
      <c r="AD7" s="16">
        <v>0</v>
      </c>
      <c r="AE7" s="16">
        <f t="shared" si="6"/>
        <v>0</v>
      </c>
      <c r="AF7" s="14">
        <v>0</v>
      </c>
      <c r="AG7" s="15">
        <v>3</v>
      </c>
      <c r="AH7" s="16">
        <v>3</v>
      </c>
      <c r="AI7" s="16">
        <f t="shared" si="7"/>
        <v>0</v>
      </c>
      <c r="AJ7" s="14">
        <v>0</v>
      </c>
      <c r="AK7" s="15">
        <v>0</v>
      </c>
      <c r="AL7" s="16">
        <v>0</v>
      </c>
      <c r="AM7" s="16">
        <f t="shared" si="8"/>
        <v>0</v>
      </c>
      <c r="AN7" s="14">
        <v>1</v>
      </c>
      <c r="AO7" s="15">
        <v>1</v>
      </c>
      <c r="AP7" s="16">
        <v>0</v>
      </c>
      <c r="AQ7" s="16">
        <f t="shared" si="9"/>
        <v>1</v>
      </c>
      <c r="AR7" s="14">
        <v>0</v>
      </c>
      <c r="AS7" s="15">
        <v>0</v>
      </c>
      <c r="AT7" s="16">
        <v>0</v>
      </c>
      <c r="AU7" s="16">
        <f t="shared" si="10"/>
        <v>0</v>
      </c>
      <c r="AV7" s="14">
        <v>0</v>
      </c>
      <c r="AW7" s="15">
        <v>0</v>
      </c>
      <c r="AX7" s="16">
        <v>0</v>
      </c>
      <c r="AY7" s="16">
        <f t="shared" si="11"/>
        <v>0</v>
      </c>
      <c r="AZ7" s="14">
        <v>0</v>
      </c>
      <c r="BA7" s="15">
        <v>1</v>
      </c>
      <c r="BB7" s="16">
        <v>1</v>
      </c>
      <c r="BC7" s="16">
        <f t="shared" si="12"/>
        <v>0</v>
      </c>
      <c r="BD7" s="14">
        <v>1</v>
      </c>
      <c r="BE7" s="15">
        <v>2</v>
      </c>
      <c r="BF7" s="16">
        <v>0</v>
      </c>
      <c r="BG7" s="16">
        <f t="shared" si="13"/>
        <v>2</v>
      </c>
      <c r="BH7" s="14">
        <v>0</v>
      </c>
      <c r="BI7" s="15">
        <v>0</v>
      </c>
      <c r="BJ7" s="16">
        <v>0</v>
      </c>
      <c r="BK7" s="16">
        <f t="shared" si="14"/>
        <v>0</v>
      </c>
      <c r="BL7" s="14">
        <v>0</v>
      </c>
      <c r="BM7" s="15">
        <v>0</v>
      </c>
      <c r="BN7" s="16">
        <v>0</v>
      </c>
      <c r="BO7" s="16">
        <f t="shared" si="15"/>
        <v>0</v>
      </c>
      <c r="BP7" s="14">
        <v>0</v>
      </c>
      <c r="BQ7" s="15">
        <v>0</v>
      </c>
      <c r="BR7" s="16">
        <v>0</v>
      </c>
      <c r="BS7" s="16">
        <f t="shared" si="16"/>
        <v>0</v>
      </c>
      <c r="BT7" s="14">
        <v>0</v>
      </c>
      <c r="BU7" s="15">
        <f t="shared" si="17"/>
        <v>13</v>
      </c>
      <c r="BV7" s="16">
        <f t="shared" si="18"/>
        <v>3</v>
      </c>
      <c r="BW7" s="16">
        <f t="shared" si="19"/>
        <v>2</v>
      </c>
      <c r="BX7" s="16">
        <f t="shared" si="20"/>
        <v>0.8125</v>
      </c>
      <c r="BY7" s="16">
        <f t="shared" si="21"/>
        <v>0.8666666666666667</v>
      </c>
      <c r="BZ7" s="14">
        <f t="shared" si="22"/>
        <v>0.83870967741935487</v>
      </c>
      <c r="CC7" s="133" t="s">
        <v>79</v>
      </c>
      <c r="CD7">
        <f>AVERAGE(BX11:BX12)</f>
        <v>0.95238095238095233</v>
      </c>
      <c r="CE7">
        <f t="shared" ref="CE7:CF7" si="27">AVERAGE(BY11:BY12)</f>
        <v>0.95454545454545459</v>
      </c>
      <c r="CF7">
        <f t="shared" si="27"/>
        <v>0.95292115711854786</v>
      </c>
    </row>
    <row r="8" spans="1:84" x14ac:dyDescent="0.35">
      <c r="A8" s="51" t="s">
        <v>48</v>
      </c>
      <c r="B8" s="148"/>
      <c r="C8" s="148"/>
      <c r="D8" s="14" t="s">
        <v>62</v>
      </c>
      <c r="E8" s="15">
        <v>2</v>
      </c>
      <c r="F8" s="16">
        <v>2</v>
      </c>
      <c r="G8" s="16">
        <f t="shared" si="0"/>
        <v>0</v>
      </c>
      <c r="H8" s="14">
        <v>0</v>
      </c>
      <c r="I8" s="15">
        <v>1</v>
      </c>
      <c r="J8" s="16">
        <v>0</v>
      </c>
      <c r="K8" s="16">
        <f t="shared" si="1"/>
        <v>1</v>
      </c>
      <c r="L8" s="14">
        <v>0</v>
      </c>
      <c r="M8" s="15">
        <v>1</v>
      </c>
      <c r="N8" s="16">
        <v>0</v>
      </c>
      <c r="O8" s="16">
        <f t="shared" si="2"/>
        <v>1</v>
      </c>
      <c r="P8" s="14">
        <v>0</v>
      </c>
      <c r="Q8" s="15">
        <v>1</v>
      </c>
      <c r="R8" s="16">
        <v>1</v>
      </c>
      <c r="S8" s="16">
        <f t="shared" si="3"/>
        <v>0</v>
      </c>
      <c r="T8" s="14">
        <v>0</v>
      </c>
      <c r="U8" s="15">
        <v>1</v>
      </c>
      <c r="V8" s="16">
        <v>1</v>
      </c>
      <c r="W8" s="16">
        <f t="shared" si="4"/>
        <v>0</v>
      </c>
      <c r="X8" s="14">
        <v>0</v>
      </c>
      <c r="Y8" s="15">
        <v>3</v>
      </c>
      <c r="Z8" s="16">
        <v>3</v>
      </c>
      <c r="AA8" s="16">
        <f t="shared" si="5"/>
        <v>0</v>
      </c>
      <c r="AB8" s="14">
        <v>0</v>
      </c>
      <c r="AC8" s="15">
        <v>0</v>
      </c>
      <c r="AD8" s="16">
        <v>0</v>
      </c>
      <c r="AE8" s="16">
        <f t="shared" si="6"/>
        <v>0</v>
      </c>
      <c r="AF8" s="14">
        <v>0</v>
      </c>
      <c r="AG8" s="15">
        <v>3</v>
      </c>
      <c r="AH8" s="16">
        <v>3</v>
      </c>
      <c r="AI8" s="16">
        <f t="shared" si="7"/>
        <v>0</v>
      </c>
      <c r="AJ8" s="14">
        <v>0</v>
      </c>
      <c r="AK8" s="15">
        <v>0</v>
      </c>
      <c r="AL8" s="16">
        <v>0</v>
      </c>
      <c r="AM8" s="16">
        <f t="shared" si="8"/>
        <v>0</v>
      </c>
      <c r="AN8" s="14">
        <v>1</v>
      </c>
      <c r="AO8" s="15">
        <v>1</v>
      </c>
      <c r="AP8" s="16">
        <v>0</v>
      </c>
      <c r="AQ8" s="16">
        <f t="shared" si="9"/>
        <v>1</v>
      </c>
      <c r="AR8" s="14">
        <v>0</v>
      </c>
      <c r="AS8" s="15">
        <v>0</v>
      </c>
      <c r="AT8" s="16">
        <v>0</v>
      </c>
      <c r="AU8" s="16">
        <f t="shared" si="10"/>
        <v>0</v>
      </c>
      <c r="AV8" s="14">
        <v>0</v>
      </c>
      <c r="AW8" s="15">
        <v>0</v>
      </c>
      <c r="AX8" s="16">
        <v>0</v>
      </c>
      <c r="AY8" s="16">
        <f t="shared" si="11"/>
        <v>0</v>
      </c>
      <c r="AZ8" s="14">
        <v>0</v>
      </c>
      <c r="BA8" s="15">
        <v>1</v>
      </c>
      <c r="BB8" s="16">
        <v>0</v>
      </c>
      <c r="BC8" s="16">
        <f t="shared" si="12"/>
        <v>1</v>
      </c>
      <c r="BD8" s="14">
        <v>1</v>
      </c>
      <c r="BE8" s="15">
        <v>2</v>
      </c>
      <c r="BF8" s="16">
        <v>1</v>
      </c>
      <c r="BG8" s="16">
        <f t="shared" si="13"/>
        <v>1</v>
      </c>
      <c r="BH8" s="14">
        <v>0</v>
      </c>
      <c r="BI8" s="15">
        <v>0</v>
      </c>
      <c r="BJ8" s="16">
        <v>0</v>
      </c>
      <c r="BK8" s="16">
        <f t="shared" si="14"/>
        <v>0</v>
      </c>
      <c r="BL8" s="14">
        <v>0</v>
      </c>
      <c r="BM8" s="15">
        <v>0</v>
      </c>
      <c r="BN8" s="16">
        <v>0</v>
      </c>
      <c r="BO8" s="16">
        <f t="shared" si="15"/>
        <v>0</v>
      </c>
      <c r="BP8" s="14">
        <v>0</v>
      </c>
      <c r="BQ8" s="15">
        <v>0</v>
      </c>
      <c r="BR8" s="16">
        <v>0</v>
      </c>
      <c r="BS8" s="16">
        <f t="shared" si="16"/>
        <v>0</v>
      </c>
      <c r="BT8" s="14">
        <v>0</v>
      </c>
      <c r="BU8" s="15">
        <f t="shared" si="17"/>
        <v>11</v>
      </c>
      <c r="BV8" s="16">
        <f t="shared" si="18"/>
        <v>5</v>
      </c>
      <c r="BW8" s="16">
        <f t="shared" si="19"/>
        <v>2</v>
      </c>
      <c r="BX8" s="16">
        <f t="shared" si="20"/>
        <v>0.6875</v>
      </c>
      <c r="BY8" s="16">
        <f t="shared" si="21"/>
        <v>0.84615384615384615</v>
      </c>
      <c r="BZ8" s="14">
        <f t="shared" si="22"/>
        <v>0.75862068965517238</v>
      </c>
      <c r="CC8" s="133" t="s">
        <v>80</v>
      </c>
      <c r="CD8">
        <f>AVERAGE(BX13:BX14)</f>
        <v>1</v>
      </c>
      <c r="CE8">
        <f t="shared" ref="CE8:CF8" si="28">AVERAGE(BY13:BY14)</f>
        <v>1</v>
      </c>
      <c r="CF8">
        <f t="shared" si="28"/>
        <v>1</v>
      </c>
    </row>
    <row r="9" spans="1:84" x14ac:dyDescent="0.35">
      <c r="A9" s="52" t="s">
        <v>48</v>
      </c>
      <c r="B9" s="148"/>
      <c r="C9" s="148"/>
      <c r="D9" s="17" t="s">
        <v>29</v>
      </c>
      <c r="E9" s="18">
        <v>1</v>
      </c>
      <c r="F9" s="19">
        <v>1</v>
      </c>
      <c r="G9" s="19">
        <f t="shared" si="0"/>
        <v>0</v>
      </c>
      <c r="H9" s="17">
        <v>0</v>
      </c>
      <c r="I9" s="18">
        <v>0</v>
      </c>
      <c r="J9" s="19">
        <v>0</v>
      </c>
      <c r="K9" s="19">
        <f t="shared" si="1"/>
        <v>0</v>
      </c>
      <c r="L9" s="17">
        <v>0</v>
      </c>
      <c r="M9" s="18">
        <v>0</v>
      </c>
      <c r="N9" s="19">
        <v>0</v>
      </c>
      <c r="O9" s="19">
        <f t="shared" si="2"/>
        <v>0</v>
      </c>
      <c r="P9" s="17">
        <v>0</v>
      </c>
      <c r="Q9" s="18">
        <v>0</v>
      </c>
      <c r="R9" s="19">
        <v>0</v>
      </c>
      <c r="S9" s="19">
        <f t="shared" si="3"/>
        <v>0</v>
      </c>
      <c r="T9" s="17">
        <v>0</v>
      </c>
      <c r="U9" s="18">
        <v>0</v>
      </c>
      <c r="V9" s="19">
        <v>0</v>
      </c>
      <c r="W9" s="19">
        <f t="shared" si="4"/>
        <v>0</v>
      </c>
      <c r="X9" s="17">
        <v>0</v>
      </c>
      <c r="Y9" s="18">
        <v>3</v>
      </c>
      <c r="Z9" s="19">
        <v>3</v>
      </c>
      <c r="AA9" s="19">
        <f t="shared" si="5"/>
        <v>0</v>
      </c>
      <c r="AB9" s="17">
        <v>0</v>
      </c>
      <c r="AC9" s="18">
        <v>4</v>
      </c>
      <c r="AD9" s="19">
        <v>3</v>
      </c>
      <c r="AE9" s="19">
        <f t="shared" si="6"/>
        <v>1</v>
      </c>
      <c r="AF9" s="17">
        <v>0</v>
      </c>
      <c r="AG9" s="18">
        <v>3</v>
      </c>
      <c r="AH9" s="19">
        <v>3</v>
      </c>
      <c r="AI9" s="19">
        <f t="shared" si="7"/>
        <v>0</v>
      </c>
      <c r="AJ9" s="17">
        <v>0</v>
      </c>
      <c r="AK9" s="18">
        <v>0</v>
      </c>
      <c r="AL9" s="19">
        <v>0</v>
      </c>
      <c r="AM9" s="19">
        <f t="shared" si="8"/>
        <v>0</v>
      </c>
      <c r="AN9" s="17">
        <v>0</v>
      </c>
      <c r="AO9" s="18">
        <v>0</v>
      </c>
      <c r="AP9" s="19">
        <v>0</v>
      </c>
      <c r="AQ9" s="19">
        <f t="shared" si="9"/>
        <v>0</v>
      </c>
      <c r="AR9" s="17">
        <v>0</v>
      </c>
      <c r="AS9" s="18">
        <v>0</v>
      </c>
      <c r="AT9" s="19">
        <v>0</v>
      </c>
      <c r="AU9" s="19">
        <f t="shared" si="10"/>
        <v>0</v>
      </c>
      <c r="AV9" s="17">
        <v>1</v>
      </c>
      <c r="AW9" s="18">
        <v>0</v>
      </c>
      <c r="AX9" s="19">
        <v>0</v>
      </c>
      <c r="AY9" s="19">
        <f t="shared" si="11"/>
        <v>0</v>
      </c>
      <c r="AZ9" s="17">
        <v>0</v>
      </c>
      <c r="BA9" s="18">
        <v>0</v>
      </c>
      <c r="BB9" s="19">
        <v>0</v>
      </c>
      <c r="BC9" s="19">
        <f t="shared" si="12"/>
        <v>0</v>
      </c>
      <c r="BD9" s="17">
        <v>0</v>
      </c>
      <c r="BE9" s="18">
        <v>0</v>
      </c>
      <c r="BF9" s="19">
        <v>0</v>
      </c>
      <c r="BG9" s="19">
        <f t="shared" si="13"/>
        <v>0</v>
      </c>
      <c r="BH9" s="17">
        <v>0</v>
      </c>
      <c r="BI9" s="18">
        <v>1</v>
      </c>
      <c r="BJ9" s="19">
        <v>1</v>
      </c>
      <c r="BK9" s="19">
        <f t="shared" si="14"/>
        <v>0</v>
      </c>
      <c r="BL9" s="17">
        <v>0</v>
      </c>
      <c r="BM9" s="18">
        <v>0</v>
      </c>
      <c r="BN9" s="19">
        <v>0</v>
      </c>
      <c r="BO9" s="19">
        <f t="shared" si="15"/>
        <v>0</v>
      </c>
      <c r="BP9" s="17">
        <v>0</v>
      </c>
      <c r="BQ9" s="18">
        <v>0</v>
      </c>
      <c r="BR9" s="19">
        <v>0</v>
      </c>
      <c r="BS9" s="19">
        <f t="shared" si="16"/>
        <v>0</v>
      </c>
      <c r="BT9" s="17">
        <v>0</v>
      </c>
      <c r="BU9" s="18">
        <f t="shared" si="17"/>
        <v>11</v>
      </c>
      <c r="BV9" s="19">
        <f t="shared" si="18"/>
        <v>1</v>
      </c>
      <c r="BW9" s="19">
        <f t="shared" si="19"/>
        <v>1</v>
      </c>
      <c r="BX9" s="19">
        <f t="shared" si="20"/>
        <v>0.91666666666666663</v>
      </c>
      <c r="BY9" s="19">
        <f t="shared" si="21"/>
        <v>0.91666666666666663</v>
      </c>
      <c r="BZ9" s="17">
        <f t="shared" si="22"/>
        <v>0.91666666666666663</v>
      </c>
      <c r="CC9" s="133" t="s">
        <v>81</v>
      </c>
      <c r="CD9">
        <f>AVERAGE(BX15:BX16)</f>
        <v>0.92307692307692313</v>
      </c>
      <c r="CE9">
        <f t="shared" ref="CE9:CF9" si="29">AVERAGE(BY15:BY16)</f>
        <v>0.92307692307692313</v>
      </c>
      <c r="CF9">
        <f t="shared" si="29"/>
        <v>0.92307692307692313</v>
      </c>
    </row>
    <row r="10" spans="1:84" x14ac:dyDescent="0.35">
      <c r="A10" s="52" t="s">
        <v>48</v>
      </c>
      <c r="B10" s="148"/>
      <c r="C10" s="148"/>
      <c r="D10" s="17" t="s">
        <v>45</v>
      </c>
      <c r="E10" s="18">
        <v>1</v>
      </c>
      <c r="F10" s="19">
        <v>1</v>
      </c>
      <c r="G10" s="19">
        <f t="shared" si="0"/>
        <v>0</v>
      </c>
      <c r="H10" s="17">
        <v>0</v>
      </c>
      <c r="I10" s="18">
        <v>0</v>
      </c>
      <c r="J10" s="19">
        <v>0</v>
      </c>
      <c r="K10" s="19">
        <f t="shared" si="1"/>
        <v>0</v>
      </c>
      <c r="L10" s="17">
        <v>0</v>
      </c>
      <c r="M10" s="18">
        <v>0</v>
      </c>
      <c r="N10" s="19">
        <v>0</v>
      </c>
      <c r="O10" s="19">
        <f t="shared" si="2"/>
        <v>0</v>
      </c>
      <c r="P10" s="17">
        <v>0</v>
      </c>
      <c r="Q10" s="18">
        <v>0</v>
      </c>
      <c r="R10" s="19">
        <v>0</v>
      </c>
      <c r="S10" s="19">
        <f t="shared" si="3"/>
        <v>0</v>
      </c>
      <c r="T10" s="17">
        <v>0</v>
      </c>
      <c r="U10" s="18">
        <v>0</v>
      </c>
      <c r="V10" s="19">
        <v>0</v>
      </c>
      <c r="W10" s="19">
        <f t="shared" si="4"/>
        <v>0</v>
      </c>
      <c r="X10" s="17">
        <v>0</v>
      </c>
      <c r="Y10" s="18">
        <v>3</v>
      </c>
      <c r="Z10" s="19">
        <v>3</v>
      </c>
      <c r="AA10" s="19">
        <f t="shared" si="5"/>
        <v>0</v>
      </c>
      <c r="AB10" s="17">
        <v>0</v>
      </c>
      <c r="AC10" s="18">
        <v>4</v>
      </c>
      <c r="AD10" s="19">
        <v>4</v>
      </c>
      <c r="AE10" s="19">
        <f t="shared" si="6"/>
        <v>0</v>
      </c>
      <c r="AF10" s="17">
        <v>0</v>
      </c>
      <c r="AG10" s="18">
        <v>3</v>
      </c>
      <c r="AH10" s="19">
        <v>3</v>
      </c>
      <c r="AI10" s="19">
        <f t="shared" si="7"/>
        <v>0</v>
      </c>
      <c r="AJ10" s="17">
        <v>0</v>
      </c>
      <c r="AK10" s="18">
        <v>0</v>
      </c>
      <c r="AL10" s="19">
        <v>0</v>
      </c>
      <c r="AM10" s="19">
        <f t="shared" si="8"/>
        <v>0</v>
      </c>
      <c r="AN10" s="17">
        <v>0</v>
      </c>
      <c r="AO10" s="18">
        <v>0</v>
      </c>
      <c r="AP10" s="19">
        <v>0</v>
      </c>
      <c r="AQ10" s="19">
        <f t="shared" si="9"/>
        <v>0</v>
      </c>
      <c r="AR10" s="17">
        <v>0</v>
      </c>
      <c r="AS10" s="18">
        <v>0</v>
      </c>
      <c r="AT10" s="19">
        <v>0</v>
      </c>
      <c r="AU10" s="19">
        <f t="shared" si="10"/>
        <v>0</v>
      </c>
      <c r="AV10" s="17">
        <v>1</v>
      </c>
      <c r="AW10" s="18">
        <v>0</v>
      </c>
      <c r="AX10" s="19">
        <v>0</v>
      </c>
      <c r="AY10" s="19">
        <f t="shared" si="11"/>
        <v>0</v>
      </c>
      <c r="AZ10" s="17">
        <v>0</v>
      </c>
      <c r="BA10" s="18">
        <v>0</v>
      </c>
      <c r="BB10" s="19">
        <v>0</v>
      </c>
      <c r="BC10" s="19">
        <f t="shared" si="12"/>
        <v>0</v>
      </c>
      <c r="BD10" s="17">
        <v>0</v>
      </c>
      <c r="BE10" s="18">
        <v>0</v>
      </c>
      <c r="BF10" s="19">
        <v>0</v>
      </c>
      <c r="BG10" s="19">
        <f t="shared" si="13"/>
        <v>0</v>
      </c>
      <c r="BH10" s="17">
        <v>0</v>
      </c>
      <c r="BI10" s="18">
        <v>1</v>
      </c>
      <c r="BJ10" s="19">
        <v>1</v>
      </c>
      <c r="BK10" s="19">
        <f t="shared" si="14"/>
        <v>0</v>
      </c>
      <c r="BL10" s="17">
        <v>0</v>
      </c>
      <c r="BM10" s="18">
        <v>0</v>
      </c>
      <c r="BN10" s="19">
        <v>0</v>
      </c>
      <c r="BO10" s="19">
        <f t="shared" si="15"/>
        <v>0</v>
      </c>
      <c r="BP10" s="17">
        <v>0</v>
      </c>
      <c r="BQ10" s="18">
        <v>0</v>
      </c>
      <c r="BR10" s="19">
        <v>0</v>
      </c>
      <c r="BS10" s="19">
        <f t="shared" si="16"/>
        <v>0</v>
      </c>
      <c r="BT10" s="17">
        <v>0</v>
      </c>
      <c r="BU10" s="18">
        <f t="shared" si="17"/>
        <v>12</v>
      </c>
      <c r="BV10" s="19">
        <f t="shared" si="18"/>
        <v>0</v>
      </c>
      <c r="BW10" s="19">
        <f t="shared" si="19"/>
        <v>1</v>
      </c>
      <c r="BX10" s="19">
        <f t="shared" si="20"/>
        <v>1</v>
      </c>
      <c r="BY10" s="19">
        <f t="shared" si="21"/>
        <v>0.92307692307692313</v>
      </c>
      <c r="BZ10" s="17">
        <f t="shared" si="22"/>
        <v>0.96000000000000008</v>
      </c>
      <c r="CC10" s="133" t="s">
        <v>82</v>
      </c>
      <c r="CD10">
        <f>AVERAGE(BX17:BX18)</f>
        <v>0.90909090909090906</v>
      </c>
      <c r="CE10">
        <f t="shared" ref="CE10:CF10" si="30">AVERAGE(BY17:BY18)</f>
        <v>0.77380952380952384</v>
      </c>
      <c r="CF10">
        <f t="shared" si="30"/>
        <v>0.83478260869565224</v>
      </c>
    </row>
    <row r="11" spans="1:84" x14ac:dyDescent="0.35">
      <c r="A11" s="53" t="s">
        <v>48</v>
      </c>
      <c r="B11" s="148"/>
      <c r="C11" s="148"/>
      <c r="D11" s="20" t="s">
        <v>30</v>
      </c>
      <c r="E11" s="21">
        <v>2</v>
      </c>
      <c r="F11" s="22">
        <v>2</v>
      </c>
      <c r="G11" s="22">
        <f t="shared" si="0"/>
        <v>0</v>
      </c>
      <c r="H11" s="20">
        <v>0</v>
      </c>
      <c r="I11" s="21">
        <v>1</v>
      </c>
      <c r="J11" s="22">
        <v>1</v>
      </c>
      <c r="K11" s="22">
        <f t="shared" si="1"/>
        <v>0</v>
      </c>
      <c r="L11" s="20">
        <v>0</v>
      </c>
      <c r="M11" s="21">
        <v>2</v>
      </c>
      <c r="N11" s="22">
        <v>2</v>
      </c>
      <c r="O11" s="22">
        <f t="shared" si="2"/>
        <v>0</v>
      </c>
      <c r="P11" s="20">
        <v>0</v>
      </c>
      <c r="Q11" s="21">
        <v>2</v>
      </c>
      <c r="R11" s="22">
        <v>2</v>
      </c>
      <c r="S11" s="22">
        <f t="shared" si="3"/>
        <v>0</v>
      </c>
      <c r="T11" s="20">
        <v>0</v>
      </c>
      <c r="U11" s="21">
        <v>2</v>
      </c>
      <c r="V11" s="22">
        <v>2</v>
      </c>
      <c r="W11" s="22">
        <f t="shared" si="4"/>
        <v>0</v>
      </c>
      <c r="X11" s="20">
        <v>0</v>
      </c>
      <c r="Y11" s="21">
        <v>4</v>
      </c>
      <c r="Z11" s="22">
        <v>4</v>
      </c>
      <c r="AA11" s="22">
        <f t="shared" si="5"/>
        <v>0</v>
      </c>
      <c r="AB11" s="20">
        <v>0</v>
      </c>
      <c r="AC11" s="21">
        <v>0</v>
      </c>
      <c r="AD11" s="22">
        <v>0</v>
      </c>
      <c r="AE11" s="22">
        <f t="shared" si="6"/>
        <v>0</v>
      </c>
      <c r="AF11" s="20">
        <v>0</v>
      </c>
      <c r="AG11" s="21">
        <v>4</v>
      </c>
      <c r="AH11" s="22">
        <v>4</v>
      </c>
      <c r="AI11" s="22">
        <f t="shared" si="7"/>
        <v>0</v>
      </c>
      <c r="AJ11" s="20">
        <v>0</v>
      </c>
      <c r="AK11" s="21">
        <v>1</v>
      </c>
      <c r="AL11" s="22">
        <v>1</v>
      </c>
      <c r="AM11" s="22">
        <f t="shared" si="8"/>
        <v>0</v>
      </c>
      <c r="AN11" s="20">
        <v>0</v>
      </c>
      <c r="AO11" s="21">
        <v>0</v>
      </c>
      <c r="AP11" s="22">
        <v>0</v>
      </c>
      <c r="AQ11" s="22">
        <f t="shared" si="9"/>
        <v>0</v>
      </c>
      <c r="AR11" s="20">
        <v>0</v>
      </c>
      <c r="AS11" s="21">
        <v>0</v>
      </c>
      <c r="AT11" s="22">
        <v>0</v>
      </c>
      <c r="AU11" s="22">
        <f t="shared" si="10"/>
        <v>0</v>
      </c>
      <c r="AV11" s="20">
        <v>0</v>
      </c>
      <c r="AW11" s="21">
        <v>0</v>
      </c>
      <c r="AX11" s="22">
        <v>0</v>
      </c>
      <c r="AY11" s="22">
        <f t="shared" si="11"/>
        <v>0</v>
      </c>
      <c r="AZ11" s="20">
        <v>0</v>
      </c>
      <c r="BA11" s="21">
        <v>1</v>
      </c>
      <c r="BB11" s="22">
        <v>1</v>
      </c>
      <c r="BC11" s="22">
        <f t="shared" si="12"/>
        <v>0</v>
      </c>
      <c r="BD11" s="20">
        <v>0</v>
      </c>
      <c r="BE11" s="21">
        <v>2</v>
      </c>
      <c r="BF11" s="22">
        <v>1</v>
      </c>
      <c r="BG11" s="22">
        <f t="shared" si="13"/>
        <v>1</v>
      </c>
      <c r="BH11" s="20">
        <v>0</v>
      </c>
      <c r="BI11" s="21">
        <v>0</v>
      </c>
      <c r="BJ11" s="22">
        <v>0</v>
      </c>
      <c r="BK11" s="22">
        <f t="shared" si="14"/>
        <v>0</v>
      </c>
      <c r="BL11" s="20">
        <v>0</v>
      </c>
      <c r="BM11" s="21">
        <v>0</v>
      </c>
      <c r="BN11" s="22">
        <v>0</v>
      </c>
      <c r="BO11" s="22">
        <f t="shared" si="15"/>
        <v>0</v>
      </c>
      <c r="BP11" s="20">
        <v>0</v>
      </c>
      <c r="BQ11" s="21">
        <v>0</v>
      </c>
      <c r="BR11" s="22">
        <v>0</v>
      </c>
      <c r="BS11" s="22">
        <f t="shared" si="16"/>
        <v>0</v>
      </c>
      <c r="BT11" s="20">
        <v>0</v>
      </c>
      <c r="BU11" s="21">
        <f t="shared" si="17"/>
        <v>20</v>
      </c>
      <c r="BV11" s="22">
        <f t="shared" si="18"/>
        <v>1</v>
      </c>
      <c r="BW11" s="22">
        <f t="shared" si="19"/>
        <v>0</v>
      </c>
      <c r="BX11" s="22">
        <f t="shared" si="20"/>
        <v>0.95238095238095233</v>
      </c>
      <c r="BY11" s="22">
        <f t="shared" si="21"/>
        <v>1</v>
      </c>
      <c r="BZ11" s="20">
        <f t="shared" si="22"/>
        <v>0.97560975609756095</v>
      </c>
      <c r="CC11" s="133" t="s">
        <v>83</v>
      </c>
      <c r="CD11">
        <f>AVERAGE(BX19:BX20)</f>
        <v>0.875</v>
      </c>
      <c r="CE11">
        <f t="shared" ref="CE11:CF11" si="31">AVERAGE(BY19:BY20)</f>
        <v>0.66078431372549018</v>
      </c>
      <c r="CF11">
        <f t="shared" si="31"/>
        <v>0.75223499361430401</v>
      </c>
    </row>
    <row r="12" spans="1:84" x14ac:dyDescent="0.35">
      <c r="A12" s="53" t="s">
        <v>48</v>
      </c>
      <c r="B12" s="148"/>
      <c r="C12" s="148"/>
      <c r="D12" s="20" t="s">
        <v>63</v>
      </c>
      <c r="E12" s="21">
        <v>2</v>
      </c>
      <c r="F12" s="22">
        <v>2</v>
      </c>
      <c r="G12" s="22">
        <f t="shared" si="0"/>
        <v>0</v>
      </c>
      <c r="H12" s="20">
        <v>0</v>
      </c>
      <c r="I12" s="21">
        <v>1</v>
      </c>
      <c r="J12" s="22">
        <v>1</v>
      </c>
      <c r="K12" s="22">
        <f t="shared" si="1"/>
        <v>0</v>
      </c>
      <c r="L12" s="20">
        <v>0</v>
      </c>
      <c r="M12" s="21">
        <v>2</v>
      </c>
      <c r="N12" s="22">
        <v>2</v>
      </c>
      <c r="O12" s="22">
        <f t="shared" si="2"/>
        <v>0</v>
      </c>
      <c r="P12" s="20">
        <v>0</v>
      </c>
      <c r="Q12" s="21">
        <v>2</v>
      </c>
      <c r="R12" s="22">
        <v>2</v>
      </c>
      <c r="S12" s="22">
        <f t="shared" si="3"/>
        <v>0</v>
      </c>
      <c r="T12" s="20">
        <v>0</v>
      </c>
      <c r="U12" s="21">
        <v>2</v>
      </c>
      <c r="V12" s="22">
        <v>2</v>
      </c>
      <c r="W12" s="22">
        <f t="shared" si="4"/>
        <v>0</v>
      </c>
      <c r="X12" s="20">
        <v>0</v>
      </c>
      <c r="Y12" s="21">
        <v>4</v>
      </c>
      <c r="Z12" s="22">
        <v>4</v>
      </c>
      <c r="AA12" s="22">
        <f t="shared" si="5"/>
        <v>0</v>
      </c>
      <c r="AB12" s="20">
        <v>0</v>
      </c>
      <c r="AC12" s="21">
        <v>0</v>
      </c>
      <c r="AD12" s="22">
        <v>0</v>
      </c>
      <c r="AE12" s="22">
        <f t="shared" si="6"/>
        <v>0</v>
      </c>
      <c r="AF12" s="20">
        <v>0</v>
      </c>
      <c r="AG12" s="21">
        <v>4</v>
      </c>
      <c r="AH12" s="22">
        <v>4</v>
      </c>
      <c r="AI12" s="22">
        <f t="shared" si="7"/>
        <v>0</v>
      </c>
      <c r="AJ12" s="20">
        <v>0</v>
      </c>
      <c r="AK12" s="21">
        <v>1</v>
      </c>
      <c r="AL12" s="22">
        <v>1</v>
      </c>
      <c r="AM12" s="22">
        <f t="shared" si="8"/>
        <v>0</v>
      </c>
      <c r="AN12" s="20">
        <v>0</v>
      </c>
      <c r="AO12" s="21">
        <v>0</v>
      </c>
      <c r="AP12" s="22">
        <v>0</v>
      </c>
      <c r="AQ12" s="22">
        <f t="shared" si="9"/>
        <v>0</v>
      </c>
      <c r="AR12" s="20">
        <v>1</v>
      </c>
      <c r="AS12" s="21">
        <v>0</v>
      </c>
      <c r="AT12" s="22">
        <v>0</v>
      </c>
      <c r="AU12" s="22">
        <f t="shared" si="10"/>
        <v>0</v>
      </c>
      <c r="AV12" s="20">
        <v>0</v>
      </c>
      <c r="AW12" s="21">
        <v>0</v>
      </c>
      <c r="AX12" s="22">
        <v>0</v>
      </c>
      <c r="AY12" s="22">
        <f t="shared" si="11"/>
        <v>0</v>
      </c>
      <c r="AZ12" s="20">
        <v>0</v>
      </c>
      <c r="BA12" s="21">
        <v>1</v>
      </c>
      <c r="BB12" s="22">
        <v>1</v>
      </c>
      <c r="BC12" s="22">
        <f t="shared" si="12"/>
        <v>0</v>
      </c>
      <c r="BD12" s="20">
        <v>1</v>
      </c>
      <c r="BE12" s="21">
        <v>2</v>
      </c>
      <c r="BF12" s="22">
        <v>1</v>
      </c>
      <c r="BG12" s="22">
        <f t="shared" si="13"/>
        <v>1</v>
      </c>
      <c r="BH12" s="20">
        <v>0</v>
      </c>
      <c r="BI12" s="21">
        <v>0</v>
      </c>
      <c r="BJ12" s="22">
        <v>0</v>
      </c>
      <c r="BK12" s="22">
        <f t="shared" si="14"/>
        <v>0</v>
      </c>
      <c r="BL12" s="20">
        <v>0</v>
      </c>
      <c r="BM12" s="21">
        <v>0</v>
      </c>
      <c r="BN12" s="22">
        <v>0</v>
      </c>
      <c r="BO12" s="22">
        <f t="shared" si="15"/>
        <v>0</v>
      </c>
      <c r="BP12" s="20">
        <v>0</v>
      </c>
      <c r="BQ12" s="21">
        <v>0</v>
      </c>
      <c r="BR12" s="22">
        <v>0</v>
      </c>
      <c r="BS12" s="22">
        <f t="shared" si="16"/>
        <v>0</v>
      </c>
      <c r="BT12" s="20">
        <v>0</v>
      </c>
      <c r="BU12" s="21">
        <f t="shared" si="17"/>
        <v>20</v>
      </c>
      <c r="BV12" s="22">
        <f t="shared" si="18"/>
        <v>1</v>
      </c>
      <c r="BW12" s="22">
        <f t="shared" si="19"/>
        <v>2</v>
      </c>
      <c r="BX12" s="22">
        <f t="shared" si="20"/>
        <v>0.95238095238095233</v>
      </c>
      <c r="BY12" s="22">
        <f t="shared" si="21"/>
        <v>0.90909090909090906</v>
      </c>
      <c r="BZ12" s="20">
        <f t="shared" si="22"/>
        <v>0.93023255813953487</v>
      </c>
      <c r="CC12" s="133" t="s">
        <v>84</v>
      </c>
      <c r="CD12">
        <f>AVERAGE(BX21:BX22)</f>
        <v>0.73529411764705888</v>
      </c>
      <c r="CE12">
        <f t="shared" ref="CE12:CF12" si="32">AVERAGE(BY21:BY22)</f>
        <v>0.65277777777777779</v>
      </c>
      <c r="CF12">
        <f t="shared" si="32"/>
        <v>0.69111969111969107</v>
      </c>
    </row>
    <row r="13" spans="1:84" x14ac:dyDescent="0.35">
      <c r="A13" s="54" t="s">
        <v>48</v>
      </c>
      <c r="B13" s="148"/>
      <c r="C13" s="148"/>
      <c r="D13" s="23" t="s">
        <v>31</v>
      </c>
      <c r="E13" s="24">
        <v>4</v>
      </c>
      <c r="F13" s="25">
        <v>4</v>
      </c>
      <c r="G13" s="25">
        <f t="shared" si="0"/>
        <v>0</v>
      </c>
      <c r="H13" s="23">
        <v>0</v>
      </c>
      <c r="I13" s="24">
        <v>0</v>
      </c>
      <c r="J13" s="25">
        <v>0</v>
      </c>
      <c r="K13" s="25">
        <f t="shared" si="1"/>
        <v>0</v>
      </c>
      <c r="L13" s="23">
        <v>0</v>
      </c>
      <c r="M13" s="24">
        <v>0</v>
      </c>
      <c r="N13" s="25">
        <v>0</v>
      </c>
      <c r="O13" s="25">
        <f t="shared" si="2"/>
        <v>0</v>
      </c>
      <c r="P13" s="23">
        <v>0</v>
      </c>
      <c r="Q13" s="24">
        <v>0</v>
      </c>
      <c r="R13" s="25">
        <v>0</v>
      </c>
      <c r="S13" s="25">
        <f t="shared" si="3"/>
        <v>0</v>
      </c>
      <c r="T13" s="23">
        <v>0</v>
      </c>
      <c r="U13" s="24">
        <v>0</v>
      </c>
      <c r="V13" s="25">
        <v>0</v>
      </c>
      <c r="W13" s="25">
        <f t="shared" si="4"/>
        <v>0</v>
      </c>
      <c r="X13" s="23">
        <v>0</v>
      </c>
      <c r="Y13" s="24">
        <v>4</v>
      </c>
      <c r="Z13" s="25">
        <v>4</v>
      </c>
      <c r="AA13" s="25">
        <f t="shared" si="5"/>
        <v>0</v>
      </c>
      <c r="AB13" s="23">
        <v>0</v>
      </c>
      <c r="AC13" s="24">
        <v>0</v>
      </c>
      <c r="AD13" s="25">
        <v>0</v>
      </c>
      <c r="AE13" s="25">
        <f t="shared" si="6"/>
        <v>0</v>
      </c>
      <c r="AF13" s="23">
        <v>0</v>
      </c>
      <c r="AG13" s="24">
        <v>4</v>
      </c>
      <c r="AH13" s="25">
        <v>4</v>
      </c>
      <c r="AI13" s="25">
        <f t="shared" si="7"/>
        <v>0</v>
      </c>
      <c r="AJ13" s="23">
        <v>0</v>
      </c>
      <c r="AK13" s="24">
        <v>3</v>
      </c>
      <c r="AL13" s="25">
        <v>3</v>
      </c>
      <c r="AM13" s="25">
        <f t="shared" si="8"/>
        <v>0</v>
      </c>
      <c r="AN13" s="23">
        <v>0</v>
      </c>
      <c r="AO13" s="24">
        <v>0</v>
      </c>
      <c r="AP13" s="25">
        <v>0</v>
      </c>
      <c r="AQ13" s="25">
        <f t="shared" si="9"/>
        <v>0</v>
      </c>
      <c r="AR13" s="23">
        <v>0</v>
      </c>
      <c r="AS13" s="24">
        <v>0</v>
      </c>
      <c r="AT13" s="25">
        <v>0</v>
      </c>
      <c r="AU13" s="25">
        <f t="shared" si="10"/>
        <v>0</v>
      </c>
      <c r="AV13" s="23">
        <v>0</v>
      </c>
      <c r="AW13" s="24">
        <v>0</v>
      </c>
      <c r="AX13" s="25">
        <v>0</v>
      </c>
      <c r="AY13" s="25">
        <f t="shared" si="11"/>
        <v>0</v>
      </c>
      <c r="AZ13" s="23">
        <v>0</v>
      </c>
      <c r="BA13" s="24">
        <v>3</v>
      </c>
      <c r="BB13" s="25">
        <v>3</v>
      </c>
      <c r="BC13" s="25">
        <f t="shared" si="12"/>
        <v>0</v>
      </c>
      <c r="BD13" s="23">
        <v>0</v>
      </c>
      <c r="BE13" s="24">
        <v>0</v>
      </c>
      <c r="BF13" s="25">
        <v>0</v>
      </c>
      <c r="BG13" s="25">
        <f t="shared" si="13"/>
        <v>0</v>
      </c>
      <c r="BH13" s="23">
        <v>0</v>
      </c>
      <c r="BI13" s="24">
        <v>0</v>
      </c>
      <c r="BJ13" s="25">
        <v>0</v>
      </c>
      <c r="BK13" s="25">
        <f t="shared" si="14"/>
        <v>0</v>
      </c>
      <c r="BL13" s="23">
        <v>0</v>
      </c>
      <c r="BM13" s="24">
        <v>0</v>
      </c>
      <c r="BN13" s="25">
        <v>0</v>
      </c>
      <c r="BO13" s="25">
        <f t="shared" si="15"/>
        <v>0</v>
      </c>
      <c r="BP13" s="23">
        <v>0</v>
      </c>
      <c r="BQ13" s="24">
        <v>0</v>
      </c>
      <c r="BR13" s="25">
        <v>0</v>
      </c>
      <c r="BS13" s="25">
        <f t="shared" si="16"/>
        <v>0</v>
      </c>
      <c r="BT13" s="23">
        <v>0</v>
      </c>
      <c r="BU13" s="24">
        <f t="shared" si="17"/>
        <v>18</v>
      </c>
      <c r="BV13" s="25">
        <f t="shared" si="18"/>
        <v>0</v>
      </c>
      <c r="BW13" s="25">
        <f t="shared" si="19"/>
        <v>0</v>
      </c>
      <c r="BX13" s="25">
        <f t="shared" si="20"/>
        <v>1</v>
      </c>
      <c r="BY13" s="25">
        <f t="shared" si="21"/>
        <v>1</v>
      </c>
      <c r="BZ13" s="23">
        <f t="shared" si="22"/>
        <v>1</v>
      </c>
      <c r="CC13" s="133" t="s">
        <v>85</v>
      </c>
      <c r="CD13">
        <f>AVERAGE(BX23:BX24)</f>
        <v>0.81818181818181823</v>
      </c>
      <c r="CE13">
        <f t="shared" ref="CE13:CF13" si="33">AVERAGE(BY23:BY24)</f>
        <v>0.81818181818181823</v>
      </c>
      <c r="CF13">
        <f t="shared" si="33"/>
        <v>0.81818181818181823</v>
      </c>
    </row>
    <row r="14" spans="1:84" x14ac:dyDescent="0.35">
      <c r="A14" s="54" t="s">
        <v>48</v>
      </c>
      <c r="B14" s="148"/>
      <c r="C14" s="148"/>
      <c r="D14" s="23" t="s">
        <v>64</v>
      </c>
      <c r="E14" s="24">
        <v>4</v>
      </c>
      <c r="F14" s="25">
        <v>4</v>
      </c>
      <c r="G14" s="25">
        <f t="shared" si="0"/>
        <v>0</v>
      </c>
      <c r="H14" s="23">
        <v>0</v>
      </c>
      <c r="I14" s="24">
        <v>0</v>
      </c>
      <c r="J14" s="24">
        <v>0</v>
      </c>
      <c r="K14" s="24">
        <v>0</v>
      </c>
      <c r="L14" s="23">
        <v>0</v>
      </c>
      <c r="M14" s="24">
        <v>0</v>
      </c>
      <c r="N14" s="24">
        <v>0</v>
      </c>
      <c r="O14" s="24">
        <v>0</v>
      </c>
      <c r="P14" s="23">
        <v>0</v>
      </c>
      <c r="Q14" s="24">
        <v>0</v>
      </c>
      <c r="R14" s="25">
        <v>0</v>
      </c>
      <c r="S14" s="25">
        <f t="shared" si="3"/>
        <v>0</v>
      </c>
      <c r="T14" s="23">
        <v>0</v>
      </c>
      <c r="U14" s="24">
        <v>0</v>
      </c>
      <c r="V14" s="25">
        <v>0</v>
      </c>
      <c r="W14" s="25">
        <v>0</v>
      </c>
      <c r="X14" s="23">
        <v>0</v>
      </c>
      <c r="Y14" s="24">
        <v>4</v>
      </c>
      <c r="Z14" s="24">
        <v>4</v>
      </c>
      <c r="AA14" s="24">
        <f t="shared" si="5"/>
        <v>0</v>
      </c>
      <c r="AB14" s="23">
        <v>0</v>
      </c>
      <c r="AC14" s="24">
        <v>0</v>
      </c>
      <c r="AD14" s="24">
        <v>0</v>
      </c>
      <c r="AE14" s="24">
        <f t="shared" si="6"/>
        <v>0</v>
      </c>
      <c r="AF14" s="23">
        <v>0</v>
      </c>
      <c r="AG14" s="24">
        <v>4</v>
      </c>
      <c r="AH14" s="24">
        <v>4</v>
      </c>
      <c r="AI14" s="24">
        <f t="shared" si="7"/>
        <v>0</v>
      </c>
      <c r="AJ14" s="23">
        <v>0</v>
      </c>
      <c r="AK14" s="24">
        <v>3</v>
      </c>
      <c r="AL14" s="24">
        <v>3</v>
      </c>
      <c r="AM14" s="24">
        <f t="shared" si="8"/>
        <v>0</v>
      </c>
      <c r="AN14" s="23">
        <v>0</v>
      </c>
      <c r="AO14" s="24">
        <v>0</v>
      </c>
      <c r="AP14" s="24">
        <v>0</v>
      </c>
      <c r="AQ14" s="24">
        <f t="shared" si="9"/>
        <v>0</v>
      </c>
      <c r="AR14" s="23">
        <v>0</v>
      </c>
      <c r="AS14" s="24">
        <v>0</v>
      </c>
      <c r="AT14" s="25">
        <v>0</v>
      </c>
      <c r="AU14" s="25">
        <f t="shared" si="10"/>
        <v>0</v>
      </c>
      <c r="AV14" s="23">
        <v>0</v>
      </c>
      <c r="AW14" s="24">
        <v>0</v>
      </c>
      <c r="AX14" s="25">
        <v>0</v>
      </c>
      <c r="AY14" s="25">
        <f t="shared" si="11"/>
        <v>0</v>
      </c>
      <c r="AZ14" s="23">
        <v>0</v>
      </c>
      <c r="BA14" s="24">
        <v>3</v>
      </c>
      <c r="BB14" s="25">
        <v>3</v>
      </c>
      <c r="BC14" s="25">
        <f t="shared" si="12"/>
        <v>0</v>
      </c>
      <c r="BD14" s="23">
        <v>0</v>
      </c>
      <c r="BE14" s="24">
        <v>0</v>
      </c>
      <c r="BF14" s="25">
        <v>0</v>
      </c>
      <c r="BG14" s="25">
        <f t="shared" si="13"/>
        <v>0</v>
      </c>
      <c r="BH14" s="23">
        <v>0</v>
      </c>
      <c r="BI14" s="24">
        <v>0</v>
      </c>
      <c r="BJ14" s="25">
        <v>0</v>
      </c>
      <c r="BK14" s="25">
        <f t="shared" si="14"/>
        <v>0</v>
      </c>
      <c r="BL14" s="23">
        <v>0</v>
      </c>
      <c r="BM14" s="24">
        <v>0</v>
      </c>
      <c r="BN14" s="25">
        <v>0</v>
      </c>
      <c r="BO14" s="25">
        <f t="shared" si="15"/>
        <v>0</v>
      </c>
      <c r="BP14" s="23">
        <v>0</v>
      </c>
      <c r="BQ14" s="24">
        <v>0</v>
      </c>
      <c r="BR14" s="25">
        <v>0</v>
      </c>
      <c r="BS14" s="25">
        <f t="shared" si="16"/>
        <v>0</v>
      </c>
      <c r="BT14" s="23">
        <v>0</v>
      </c>
      <c r="BU14" s="24">
        <f t="shared" si="17"/>
        <v>18</v>
      </c>
      <c r="BV14" s="25">
        <f t="shared" si="18"/>
        <v>0</v>
      </c>
      <c r="BW14" s="25">
        <f t="shared" si="19"/>
        <v>0</v>
      </c>
      <c r="BX14" s="25">
        <f t="shared" si="20"/>
        <v>1</v>
      </c>
      <c r="BY14" s="25">
        <f t="shared" si="21"/>
        <v>1</v>
      </c>
      <c r="BZ14" s="23">
        <f t="shared" si="22"/>
        <v>1</v>
      </c>
      <c r="CC14" s="133" t="s">
        <v>86</v>
      </c>
      <c r="CD14">
        <f>AVERAGE(BX25:BX26)</f>
        <v>0.90625</v>
      </c>
      <c r="CE14">
        <f t="shared" ref="CE14:CF14" si="34">AVERAGE(BY25:BY26)</f>
        <v>0.78216374269005851</v>
      </c>
      <c r="CF14">
        <f t="shared" si="34"/>
        <v>0.83949579831932764</v>
      </c>
    </row>
    <row r="15" spans="1:84" x14ac:dyDescent="0.35">
      <c r="A15" s="55" t="s">
        <v>48</v>
      </c>
      <c r="B15" s="148"/>
      <c r="C15" s="148"/>
      <c r="D15" s="26" t="s">
        <v>32</v>
      </c>
      <c r="E15" s="27">
        <v>3</v>
      </c>
      <c r="F15" s="28">
        <v>3</v>
      </c>
      <c r="G15" s="28">
        <f t="shared" si="0"/>
        <v>0</v>
      </c>
      <c r="H15" s="26">
        <v>0</v>
      </c>
      <c r="I15" s="27">
        <v>0</v>
      </c>
      <c r="J15" s="27">
        <v>0</v>
      </c>
      <c r="K15" s="27">
        <f t="shared" ref="K15:K34" si="35">I15-J15</f>
        <v>0</v>
      </c>
      <c r="L15" s="26">
        <v>0</v>
      </c>
      <c r="M15" s="27">
        <v>0</v>
      </c>
      <c r="N15" s="27">
        <v>0</v>
      </c>
      <c r="O15" s="27">
        <f t="shared" ref="O15:O34" si="36">M15-N15</f>
        <v>0</v>
      </c>
      <c r="P15" s="26">
        <v>0</v>
      </c>
      <c r="Q15" s="27">
        <v>0</v>
      </c>
      <c r="R15" s="28">
        <v>0</v>
      </c>
      <c r="S15" s="28">
        <f t="shared" si="3"/>
        <v>0</v>
      </c>
      <c r="T15" s="26">
        <v>0</v>
      </c>
      <c r="U15" s="27">
        <v>0</v>
      </c>
      <c r="V15" s="28">
        <v>0</v>
      </c>
      <c r="W15" s="28">
        <f t="shared" ref="W15:W34" si="37">U15-V15</f>
        <v>0</v>
      </c>
      <c r="X15" s="26">
        <v>0</v>
      </c>
      <c r="Y15" s="27">
        <v>3</v>
      </c>
      <c r="Z15" s="27">
        <v>3</v>
      </c>
      <c r="AA15" s="27">
        <f t="shared" si="5"/>
        <v>0</v>
      </c>
      <c r="AB15" s="26">
        <v>0</v>
      </c>
      <c r="AC15" s="27">
        <v>0</v>
      </c>
      <c r="AD15" s="27">
        <v>0</v>
      </c>
      <c r="AE15" s="27">
        <f t="shared" si="6"/>
        <v>0</v>
      </c>
      <c r="AF15" s="26">
        <v>0</v>
      </c>
      <c r="AG15" s="27">
        <v>3</v>
      </c>
      <c r="AH15" s="27">
        <v>3</v>
      </c>
      <c r="AI15" s="27">
        <f t="shared" si="7"/>
        <v>0</v>
      </c>
      <c r="AJ15" s="26">
        <v>0</v>
      </c>
      <c r="AK15" s="27">
        <v>2</v>
      </c>
      <c r="AL15" s="27">
        <v>2</v>
      </c>
      <c r="AM15" s="27">
        <f t="shared" si="8"/>
        <v>0</v>
      </c>
      <c r="AN15" s="26">
        <v>0</v>
      </c>
      <c r="AO15" s="27">
        <v>0</v>
      </c>
      <c r="AP15" s="27">
        <v>0</v>
      </c>
      <c r="AQ15" s="27">
        <f t="shared" si="9"/>
        <v>0</v>
      </c>
      <c r="AR15" s="26">
        <v>0</v>
      </c>
      <c r="AS15" s="27">
        <v>0</v>
      </c>
      <c r="AT15" s="28">
        <v>0</v>
      </c>
      <c r="AU15" s="28">
        <f t="shared" si="10"/>
        <v>0</v>
      </c>
      <c r="AV15" s="26">
        <v>0</v>
      </c>
      <c r="AW15" s="27">
        <v>0</v>
      </c>
      <c r="AX15" s="28">
        <v>0</v>
      </c>
      <c r="AY15" s="28">
        <f t="shared" si="11"/>
        <v>0</v>
      </c>
      <c r="AZ15" s="26">
        <v>0</v>
      </c>
      <c r="BA15" s="27">
        <v>2</v>
      </c>
      <c r="BB15" s="28">
        <v>0</v>
      </c>
      <c r="BC15" s="28">
        <f t="shared" si="12"/>
        <v>2</v>
      </c>
      <c r="BD15" s="26">
        <v>2</v>
      </c>
      <c r="BE15" s="27">
        <v>0</v>
      </c>
      <c r="BF15" s="28">
        <v>0</v>
      </c>
      <c r="BG15" s="28">
        <f t="shared" si="13"/>
        <v>0</v>
      </c>
      <c r="BH15" s="26">
        <v>0</v>
      </c>
      <c r="BI15" s="27">
        <v>0</v>
      </c>
      <c r="BJ15" s="28">
        <v>0</v>
      </c>
      <c r="BK15" s="28">
        <f t="shared" si="14"/>
        <v>0</v>
      </c>
      <c r="BL15" s="26">
        <v>0</v>
      </c>
      <c r="BM15" s="27">
        <v>0</v>
      </c>
      <c r="BN15" s="28">
        <v>0</v>
      </c>
      <c r="BO15" s="28">
        <f t="shared" si="15"/>
        <v>0</v>
      </c>
      <c r="BP15" s="26">
        <v>0</v>
      </c>
      <c r="BQ15" s="27">
        <v>0</v>
      </c>
      <c r="BR15" s="28">
        <v>0</v>
      </c>
      <c r="BS15" s="28">
        <f t="shared" si="16"/>
        <v>0</v>
      </c>
      <c r="BT15" s="26">
        <v>0</v>
      </c>
      <c r="BU15" s="27">
        <f t="shared" si="17"/>
        <v>11</v>
      </c>
      <c r="BV15" s="28">
        <f t="shared" si="18"/>
        <v>2</v>
      </c>
      <c r="BW15" s="28">
        <f t="shared" si="19"/>
        <v>2</v>
      </c>
      <c r="BX15" s="28">
        <f t="shared" si="20"/>
        <v>0.84615384615384615</v>
      </c>
      <c r="BY15" s="28">
        <f t="shared" si="21"/>
        <v>0.84615384615384615</v>
      </c>
      <c r="BZ15" s="26">
        <f t="shared" si="22"/>
        <v>0.84615384615384615</v>
      </c>
      <c r="CC15" s="133" t="s">
        <v>87</v>
      </c>
      <c r="CD15">
        <f>AVERAGE(BX27:BX28)</f>
        <v>0.7857142857142857</v>
      </c>
      <c r="CE15">
        <f t="shared" ref="CE15:CF15" si="38">AVERAGE(BY27:BY28)</f>
        <v>0.7857142857142857</v>
      </c>
      <c r="CF15">
        <f t="shared" si="38"/>
        <v>0.7857142857142857</v>
      </c>
    </row>
    <row r="16" spans="1:84" x14ac:dyDescent="0.35">
      <c r="A16" s="55" t="s">
        <v>48</v>
      </c>
      <c r="B16" s="148"/>
      <c r="C16" s="148"/>
      <c r="D16" s="26" t="s">
        <v>65</v>
      </c>
      <c r="E16" s="27">
        <v>3</v>
      </c>
      <c r="F16" s="28">
        <v>3</v>
      </c>
      <c r="G16" s="28">
        <f t="shared" si="0"/>
        <v>0</v>
      </c>
      <c r="H16" s="26">
        <v>0</v>
      </c>
      <c r="I16" s="27">
        <v>0</v>
      </c>
      <c r="J16" s="27">
        <v>0</v>
      </c>
      <c r="K16" s="27">
        <f t="shared" si="35"/>
        <v>0</v>
      </c>
      <c r="L16" s="26">
        <v>0</v>
      </c>
      <c r="M16" s="27">
        <v>0</v>
      </c>
      <c r="N16" s="27">
        <v>0</v>
      </c>
      <c r="O16" s="27">
        <f t="shared" si="36"/>
        <v>0</v>
      </c>
      <c r="P16" s="26">
        <v>0</v>
      </c>
      <c r="Q16" s="27">
        <v>0</v>
      </c>
      <c r="R16" s="28">
        <v>0</v>
      </c>
      <c r="S16" s="28">
        <f t="shared" si="3"/>
        <v>0</v>
      </c>
      <c r="T16" s="26">
        <v>0</v>
      </c>
      <c r="U16" s="27">
        <v>0</v>
      </c>
      <c r="V16" s="28">
        <v>0</v>
      </c>
      <c r="W16" s="28">
        <f t="shared" si="37"/>
        <v>0</v>
      </c>
      <c r="X16" s="26">
        <v>0</v>
      </c>
      <c r="Y16" s="27">
        <v>3</v>
      </c>
      <c r="Z16" s="27">
        <v>3</v>
      </c>
      <c r="AA16" s="27">
        <v>0</v>
      </c>
      <c r="AB16" s="26">
        <v>0</v>
      </c>
      <c r="AC16" s="27">
        <v>0</v>
      </c>
      <c r="AD16" s="27">
        <v>0</v>
      </c>
      <c r="AE16" s="27">
        <f t="shared" si="6"/>
        <v>0</v>
      </c>
      <c r="AF16" s="26">
        <v>0</v>
      </c>
      <c r="AG16" s="27">
        <v>3</v>
      </c>
      <c r="AH16" s="27">
        <v>3</v>
      </c>
      <c r="AI16" s="27">
        <f t="shared" si="7"/>
        <v>0</v>
      </c>
      <c r="AJ16" s="26">
        <v>0</v>
      </c>
      <c r="AK16" s="27">
        <v>2</v>
      </c>
      <c r="AL16" s="27">
        <v>2</v>
      </c>
      <c r="AM16" s="27">
        <f t="shared" si="8"/>
        <v>0</v>
      </c>
      <c r="AN16" s="26">
        <v>0</v>
      </c>
      <c r="AO16" s="27">
        <v>0</v>
      </c>
      <c r="AP16" s="27">
        <v>0</v>
      </c>
      <c r="AQ16" s="27">
        <f t="shared" si="9"/>
        <v>0</v>
      </c>
      <c r="AR16" s="26">
        <v>0</v>
      </c>
      <c r="AS16" s="27">
        <v>0</v>
      </c>
      <c r="AT16" s="28">
        <v>0</v>
      </c>
      <c r="AU16" s="28">
        <f t="shared" si="10"/>
        <v>0</v>
      </c>
      <c r="AV16" s="26">
        <v>0</v>
      </c>
      <c r="AW16" s="27">
        <v>0</v>
      </c>
      <c r="AX16" s="28">
        <v>0</v>
      </c>
      <c r="AY16" s="28">
        <f t="shared" si="11"/>
        <v>0</v>
      </c>
      <c r="AZ16" s="26">
        <v>0</v>
      </c>
      <c r="BA16" s="27">
        <v>2</v>
      </c>
      <c r="BB16" s="28">
        <v>2</v>
      </c>
      <c r="BC16" s="28">
        <f t="shared" si="12"/>
        <v>0</v>
      </c>
      <c r="BD16" s="26">
        <v>0</v>
      </c>
      <c r="BE16" s="27">
        <v>0</v>
      </c>
      <c r="BF16" s="28">
        <v>0</v>
      </c>
      <c r="BG16" s="28">
        <f t="shared" si="13"/>
        <v>0</v>
      </c>
      <c r="BH16" s="26">
        <v>0</v>
      </c>
      <c r="BI16" s="27">
        <v>0</v>
      </c>
      <c r="BJ16" s="28">
        <v>0</v>
      </c>
      <c r="BK16" s="28">
        <f t="shared" si="14"/>
        <v>0</v>
      </c>
      <c r="BL16" s="26">
        <v>0</v>
      </c>
      <c r="BM16" s="27">
        <v>0</v>
      </c>
      <c r="BN16" s="28">
        <v>0</v>
      </c>
      <c r="BO16" s="28">
        <f t="shared" si="15"/>
        <v>0</v>
      </c>
      <c r="BP16" s="26">
        <v>0</v>
      </c>
      <c r="BQ16" s="27">
        <v>0</v>
      </c>
      <c r="BR16" s="28">
        <v>0</v>
      </c>
      <c r="BS16" s="28">
        <f t="shared" si="16"/>
        <v>0</v>
      </c>
      <c r="BT16" s="26">
        <v>0</v>
      </c>
      <c r="BU16" s="27">
        <f t="shared" si="17"/>
        <v>13</v>
      </c>
      <c r="BV16" s="28">
        <f t="shared" si="18"/>
        <v>0</v>
      </c>
      <c r="BW16" s="28">
        <f t="shared" si="19"/>
        <v>0</v>
      </c>
      <c r="BX16" s="28">
        <f t="shared" si="20"/>
        <v>1</v>
      </c>
      <c r="BY16" s="28">
        <f t="shared" si="21"/>
        <v>1</v>
      </c>
      <c r="BZ16" s="26">
        <f t="shared" si="22"/>
        <v>1</v>
      </c>
      <c r="CC16" s="133" t="s">
        <v>88</v>
      </c>
      <c r="CD16">
        <f>AVERAGE(BX29:BX30)</f>
        <v>0.81818181818181823</v>
      </c>
      <c r="CE16">
        <f t="shared" ref="CE16:CF16" si="39">AVERAGE(BY29:BY30)</f>
        <v>1</v>
      </c>
      <c r="CF16">
        <f t="shared" si="39"/>
        <v>0.9</v>
      </c>
    </row>
    <row r="17" spans="1:84" x14ac:dyDescent="0.35">
      <c r="A17" s="56" t="s">
        <v>48</v>
      </c>
      <c r="B17" s="148"/>
      <c r="C17" s="148"/>
      <c r="D17" s="29" t="s">
        <v>33</v>
      </c>
      <c r="E17" s="30">
        <v>2</v>
      </c>
      <c r="F17" s="31">
        <v>2</v>
      </c>
      <c r="G17" s="31">
        <f t="shared" si="0"/>
        <v>0</v>
      </c>
      <c r="H17" s="29">
        <v>0</v>
      </c>
      <c r="I17" s="30">
        <v>2</v>
      </c>
      <c r="J17" s="31">
        <v>2</v>
      </c>
      <c r="K17" s="31">
        <f t="shared" si="35"/>
        <v>0</v>
      </c>
      <c r="L17" s="29">
        <v>0</v>
      </c>
      <c r="M17" s="30">
        <v>1</v>
      </c>
      <c r="N17" s="31">
        <v>1</v>
      </c>
      <c r="O17" s="31">
        <f t="shared" si="36"/>
        <v>0</v>
      </c>
      <c r="P17" s="29">
        <v>0</v>
      </c>
      <c r="Q17" s="30">
        <v>1</v>
      </c>
      <c r="R17" s="31">
        <v>1</v>
      </c>
      <c r="S17" s="31">
        <f t="shared" si="3"/>
        <v>0</v>
      </c>
      <c r="T17" s="29">
        <v>1</v>
      </c>
      <c r="U17" s="30">
        <v>1</v>
      </c>
      <c r="V17" s="31">
        <v>1</v>
      </c>
      <c r="W17" s="31">
        <f t="shared" si="37"/>
        <v>0</v>
      </c>
      <c r="X17" s="29">
        <v>0</v>
      </c>
      <c r="Y17" s="30">
        <v>1</v>
      </c>
      <c r="Z17" s="31">
        <v>1</v>
      </c>
      <c r="AA17" s="31">
        <f t="shared" ref="AA17:AA34" si="40">Y17-Z17</f>
        <v>0</v>
      </c>
      <c r="AB17" s="29">
        <v>0</v>
      </c>
      <c r="AC17" s="30">
        <v>0</v>
      </c>
      <c r="AD17" s="31">
        <v>0</v>
      </c>
      <c r="AE17" s="31">
        <f t="shared" si="6"/>
        <v>0</v>
      </c>
      <c r="AF17" s="29">
        <v>0</v>
      </c>
      <c r="AG17" s="30">
        <v>1</v>
      </c>
      <c r="AH17" s="31">
        <v>1</v>
      </c>
      <c r="AI17" s="31">
        <f t="shared" si="7"/>
        <v>0</v>
      </c>
      <c r="AJ17" s="29">
        <v>0</v>
      </c>
      <c r="AK17" s="30">
        <v>0</v>
      </c>
      <c r="AL17" s="31">
        <v>0</v>
      </c>
      <c r="AM17" s="31">
        <f t="shared" si="8"/>
        <v>0</v>
      </c>
      <c r="AN17" s="29">
        <v>0</v>
      </c>
      <c r="AO17" s="30">
        <v>0</v>
      </c>
      <c r="AP17" s="31">
        <v>0</v>
      </c>
      <c r="AQ17" s="31">
        <f t="shared" si="9"/>
        <v>0</v>
      </c>
      <c r="AR17" s="29">
        <v>0</v>
      </c>
      <c r="AS17" s="30">
        <v>0</v>
      </c>
      <c r="AT17" s="31">
        <v>0</v>
      </c>
      <c r="AU17" s="31">
        <f t="shared" si="10"/>
        <v>0</v>
      </c>
      <c r="AV17" s="29">
        <v>0</v>
      </c>
      <c r="AW17" s="30">
        <v>1</v>
      </c>
      <c r="AX17" s="31">
        <v>1</v>
      </c>
      <c r="AY17" s="31">
        <f t="shared" si="11"/>
        <v>0</v>
      </c>
      <c r="AZ17" s="29">
        <v>0</v>
      </c>
      <c r="BA17" s="30">
        <v>1</v>
      </c>
      <c r="BB17" s="31">
        <v>0</v>
      </c>
      <c r="BC17" s="31">
        <f t="shared" si="12"/>
        <v>1</v>
      </c>
      <c r="BD17" s="29">
        <v>1</v>
      </c>
      <c r="BE17" s="30">
        <v>0</v>
      </c>
      <c r="BF17" s="31">
        <v>0</v>
      </c>
      <c r="BG17" s="31">
        <f t="shared" si="13"/>
        <v>0</v>
      </c>
      <c r="BH17" s="29">
        <v>0</v>
      </c>
      <c r="BI17" s="30">
        <v>0</v>
      </c>
      <c r="BJ17" s="31">
        <v>0</v>
      </c>
      <c r="BK17" s="31">
        <f t="shared" si="14"/>
        <v>0</v>
      </c>
      <c r="BL17" s="29">
        <v>0</v>
      </c>
      <c r="BM17" s="30">
        <v>0</v>
      </c>
      <c r="BN17" s="31">
        <v>0</v>
      </c>
      <c r="BO17" s="31">
        <f t="shared" si="15"/>
        <v>0</v>
      </c>
      <c r="BP17" s="29">
        <v>0</v>
      </c>
      <c r="BQ17" s="30">
        <v>0</v>
      </c>
      <c r="BR17" s="31">
        <v>0</v>
      </c>
      <c r="BS17" s="31">
        <f t="shared" si="16"/>
        <v>0</v>
      </c>
      <c r="BT17" s="29">
        <v>0</v>
      </c>
      <c r="BU17" s="30">
        <f t="shared" si="17"/>
        <v>10</v>
      </c>
      <c r="BV17" s="31">
        <f t="shared" si="18"/>
        <v>1</v>
      </c>
      <c r="BW17" s="31">
        <f t="shared" si="19"/>
        <v>2</v>
      </c>
      <c r="BX17" s="31">
        <f t="shared" si="20"/>
        <v>0.90909090909090906</v>
      </c>
      <c r="BY17" s="31">
        <f t="shared" si="21"/>
        <v>0.83333333333333337</v>
      </c>
      <c r="BZ17" s="29">
        <f t="shared" si="22"/>
        <v>0.86956521739130432</v>
      </c>
      <c r="CC17" s="133" t="s">
        <v>89</v>
      </c>
      <c r="CD17">
        <f>AVERAGE(BX31:BX32)</f>
        <v>0.83333333333333326</v>
      </c>
      <c r="CE17">
        <f t="shared" ref="CE17:CF17" si="41">AVERAGE(BY31:BY32)</f>
        <v>0.95</v>
      </c>
      <c r="CF17">
        <f t="shared" si="41"/>
        <v>0.88735177865612647</v>
      </c>
    </row>
    <row r="18" spans="1:84" x14ac:dyDescent="0.35">
      <c r="A18" s="56" t="s">
        <v>48</v>
      </c>
      <c r="B18" s="148"/>
      <c r="C18" s="148"/>
      <c r="D18" s="29" t="s">
        <v>66</v>
      </c>
      <c r="E18" s="30">
        <v>2</v>
      </c>
      <c r="F18" s="31">
        <v>2</v>
      </c>
      <c r="G18" s="31">
        <f t="shared" si="0"/>
        <v>0</v>
      </c>
      <c r="H18" s="29">
        <v>0</v>
      </c>
      <c r="I18" s="30">
        <v>2</v>
      </c>
      <c r="J18" s="31">
        <v>2</v>
      </c>
      <c r="K18" s="31">
        <f t="shared" si="35"/>
        <v>0</v>
      </c>
      <c r="L18" s="29">
        <v>0</v>
      </c>
      <c r="M18" s="30">
        <v>1</v>
      </c>
      <c r="N18" s="31">
        <v>1</v>
      </c>
      <c r="O18" s="31">
        <f t="shared" si="36"/>
        <v>0</v>
      </c>
      <c r="P18" s="29">
        <v>2</v>
      </c>
      <c r="Q18" s="30">
        <v>1</v>
      </c>
      <c r="R18" s="31">
        <v>1</v>
      </c>
      <c r="S18" s="31">
        <f t="shared" si="3"/>
        <v>0</v>
      </c>
      <c r="T18" s="29">
        <v>1</v>
      </c>
      <c r="U18" s="30">
        <v>1</v>
      </c>
      <c r="V18" s="31">
        <v>1</v>
      </c>
      <c r="W18" s="31">
        <f t="shared" si="37"/>
        <v>0</v>
      </c>
      <c r="X18" s="29">
        <v>0</v>
      </c>
      <c r="Y18" s="30">
        <v>1</v>
      </c>
      <c r="Z18" s="31">
        <v>1</v>
      </c>
      <c r="AA18" s="31">
        <f t="shared" si="40"/>
        <v>0</v>
      </c>
      <c r="AB18" s="29">
        <v>0</v>
      </c>
      <c r="AC18" s="30">
        <v>0</v>
      </c>
      <c r="AD18" s="31">
        <v>0</v>
      </c>
      <c r="AE18" s="31">
        <f t="shared" si="6"/>
        <v>0</v>
      </c>
      <c r="AF18" s="29">
        <v>0</v>
      </c>
      <c r="AG18" s="30">
        <v>1</v>
      </c>
      <c r="AH18" s="31">
        <v>1</v>
      </c>
      <c r="AI18" s="31">
        <f t="shared" si="7"/>
        <v>0</v>
      </c>
      <c r="AJ18" s="29">
        <v>0</v>
      </c>
      <c r="AK18" s="30">
        <v>0</v>
      </c>
      <c r="AL18" s="31">
        <v>0</v>
      </c>
      <c r="AM18" s="31">
        <f t="shared" si="8"/>
        <v>0</v>
      </c>
      <c r="AN18" s="29">
        <v>0</v>
      </c>
      <c r="AO18" s="30">
        <v>0</v>
      </c>
      <c r="AP18" s="31">
        <v>0</v>
      </c>
      <c r="AQ18" s="31">
        <f t="shared" si="9"/>
        <v>0</v>
      </c>
      <c r="AR18" s="29">
        <v>0</v>
      </c>
      <c r="AS18" s="30">
        <v>0</v>
      </c>
      <c r="AT18" s="31">
        <v>0</v>
      </c>
      <c r="AU18" s="31">
        <f t="shared" si="10"/>
        <v>0</v>
      </c>
      <c r="AV18" s="29">
        <v>0</v>
      </c>
      <c r="AW18" s="30">
        <v>1</v>
      </c>
      <c r="AX18" s="31">
        <v>1</v>
      </c>
      <c r="AY18" s="31">
        <f t="shared" si="11"/>
        <v>0</v>
      </c>
      <c r="AZ18" s="29">
        <v>0</v>
      </c>
      <c r="BA18" s="30">
        <v>1</v>
      </c>
      <c r="BB18" s="31">
        <v>0</v>
      </c>
      <c r="BC18" s="31">
        <f t="shared" si="12"/>
        <v>1</v>
      </c>
      <c r="BD18" s="29">
        <v>1</v>
      </c>
      <c r="BE18" s="30">
        <v>0</v>
      </c>
      <c r="BF18" s="31">
        <v>0</v>
      </c>
      <c r="BG18" s="31">
        <f t="shared" si="13"/>
        <v>0</v>
      </c>
      <c r="BH18" s="29">
        <v>0</v>
      </c>
      <c r="BI18" s="30">
        <v>0</v>
      </c>
      <c r="BJ18" s="31">
        <v>0</v>
      </c>
      <c r="BK18" s="31">
        <f t="shared" si="14"/>
        <v>0</v>
      </c>
      <c r="BL18" s="29">
        <v>0</v>
      </c>
      <c r="BM18" s="30">
        <v>0</v>
      </c>
      <c r="BN18" s="31">
        <v>0</v>
      </c>
      <c r="BO18" s="31">
        <f t="shared" si="15"/>
        <v>0</v>
      </c>
      <c r="BP18" s="29">
        <v>0</v>
      </c>
      <c r="BQ18" s="30">
        <v>0</v>
      </c>
      <c r="BR18" s="31">
        <v>0</v>
      </c>
      <c r="BS18" s="31">
        <f t="shared" si="16"/>
        <v>0</v>
      </c>
      <c r="BT18" s="29">
        <v>0</v>
      </c>
      <c r="BU18" s="30">
        <f t="shared" si="17"/>
        <v>10</v>
      </c>
      <c r="BV18" s="31">
        <f t="shared" si="18"/>
        <v>1</v>
      </c>
      <c r="BW18" s="31">
        <f t="shared" si="19"/>
        <v>4</v>
      </c>
      <c r="BX18" s="31">
        <f t="shared" si="20"/>
        <v>0.90909090909090906</v>
      </c>
      <c r="BY18" s="31">
        <f t="shared" si="21"/>
        <v>0.7142857142857143</v>
      </c>
      <c r="BZ18" s="29">
        <f t="shared" si="22"/>
        <v>0.8</v>
      </c>
      <c r="CC18" s="133" t="s">
        <v>90</v>
      </c>
      <c r="CD18">
        <f>AVERAGE(BX33:BX34)</f>
        <v>0.95833333333333326</v>
      </c>
      <c r="CE18">
        <f t="shared" ref="CE18:CF18" si="42">AVERAGE(BY33:BY34)</f>
        <v>1</v>
      </c>
      <c r="CF18">
        <f t="shared" si="42"/>
        <v>0.97826086956521741</v>
      </c>
    </row>
    <row r="19" spans="1:84" x14ac:dyDescent="0.35">
      <c r="A19" s="57" t="s">
        <v>48</v>
      </c>
      <c r="B19" s="148"/>
      <c r="C19" s="148"/>
      <c r="D19" s="32" t="s">
        <v>34</v>
      </c>
      <c r="E19" s="33">
        <v>2</v>
      </c>
      <c r="F19" s="34">
        <v>2</v>
      </c>
      <c r="G19" s="34">
        <f t="shared" si="0"/>
        <v>0</v>
      </c>
      <c r="H19" s="32">
        <v>0</v>
      </c>
      <c r="I19" s="33">
        <v>2</v>
      </c>
      <c r="J19" s="34">
        <v>2</v>
      </c>
      <c r="K19" s="34">
        <f t="shared" si="35"/>
        <v>0</v>
      </c>
      <c r="L19" s="32">
        <v>0</v>
      </c>
      <c r="M19" s="33">
        <v>1</v>
      </c>
      <c r="N19" s="34">
        <v>1</v>
      </c>
      <c r="O19" s="34">
        <f t="shared" si="36"/>
        <v>0</v>
      </c>
      <c r="P19" s="32">
        <v>0</v>
      </c>
      <c r="Q19" s="33">
        <v>1</v>
      </c>
      <c r="R19" s="34">
        <v>1</v>
      </c>
      <c r="S19" s="34">
        <f t="shared" si="3"/>
        <v>0</v>
      </c>
      <c r="T19" s="32">
        <v>1</v>
      </c>
      <c r="U19" s="33">
        <v>1</v>
      </c>
      <c r="V19" s="34">
        <v>1</v>
      </c>
      <c r="W19" s="34">
        <f t="shared" si="37"/>
        <v>0</v>
      </c>
      <c r="X19" s="32">
        <v>0</v>
      </c>
      <c r="Y19" s="33">
        <v>1</v>
      </c>
      <c r="Z19" s="34">
        <v>1</v>
      </c>
      <c r="AA19" s="34">
        <f t="shared" si="40"/>
        <v>0</v>
      </c>
      <c r="AB19" s="32">
        <v>0</v>
      </c>
      <c r="AC19" s="33">
        <v>1</v>
      </c>
      <c r="AD19" s="34">
        <v>1</v>
      </c>
      <c r="AE19" s="34">
        <f t="shared" si="6"/>
        <v>0</v>
      </c>
      <c r="AF19" s="32">
        <v>0</v>
      </c>
      <c r="AG19" s="33">
        <v>1</v>
      </c>
      <c r="AH19" s="34">
        <v>1</v>
      </c>
      <c r="AI19" s="34">
        <f t="shared" si="7"/>
        <v>0</v>
      </c>
      <c r="AJ19" s="32">
        <v>0</v>
      </c>
      <c r="AK19" s="33">
        <v>0</v>
      </c>
      <c r="AL19" s="34">
        <v>0</v>
      </c>
      <c r="AM19" s="34">
        <f t="shared" si="8"/>
        <v>0</v>
      </c>
      <c r="AN19" s="32">
        <v>0</v>
      </c>
      <c r="AO19" s="33">
        <v>0</v>
      </c>
      <c r="AP19" s="34">
        <v>0</v>
      </c>
      <c r="AQ19" s="34">
        <f t="shared" si="9"/>
        <v>0</v>
      </c>
      <c r="AR19" s="32">
        <v>0</v>
      </c>
      <c r="AS19" s="33">
        <v>0</v>
      </c>
      <c r="AT19" s="34">
        <v>0</v>
      </c>
      <c r="AU19" s="34">
        <f t="shared" si="10"/>
        <v>0</v>
      </c>
      <c r="AV19" s="32">
        <v>3</v>
      </c>
      <c r="AW19" s="33">
        <v>1</v>
      </c>
      <c r="AX19" s="34">
        <v>0</v>
      </c>
      <c r="AY19" s="34">
        <f t="shared" si="11"/>
        <v>1</v>
      </c>
      <c r="AZ19" s="32">
        <v>1</v>
      </c>
      <c r="BA19" s="33">
        <v>1</v>
      </c>
      <c r="BB19" s="34">
        <v>0</v>
      </c>
      <c r="BC19" s="34">
        <f t="shared" si="12"/>
        <v>1</v>
      </c>
      <c r="BD19" s="32">
        <v>1</v>
      </c>
      <c r="BE19" s="33">
        <v>0</v>
      </c>
      <c r="BF19" s="34">
        <v>0</v>
      </c>
      <c r="BG19" s="34">
        <f t="shared" si="13"/>
        <v>0</v>
      </c>
      <c r="BH19" s="32">
        <v>0</v>
      </c>
      <c r="BI19" s="33">
        <v>0</v>
      </c>
      <c r="BJ19" s="34">
        <v>0</v>
      </c>
      <c r="BK19" s="34">
        <f t="shared" si="14"/>
        <v>0</v>
      </c>
      <c r="BL19" s="32">
        <v>0</v>
      </c>
      <c r="BM19" s="33">
        <v>0</v>
      </c>
      <c r="BN19" s="34">
        <v>0</v>
      </c>
      <c r="BO19" s="34">
        <f t="shared" si="15"/>
        <v>0</v>
      </c>
      <c r="BP19" s="32">
        <v>1</v>
      </c>
      <c r="BQ19" s="33">
        <v>0</v>
      </c>
      <c r="BR19" s="34">
        <v>0</v>
      </c>
      <c r="BS19" s="34">
        <f t="shared" si="16"/>
        <v>0</v>
      </c>
      <c r="BT19" s="32">
        <v>0</v>
      </c>
      <c r="BU19" s="33">
        <f t="shared" si="17"/>
        <v>10</v>
      </c>
      <c r="BV19" s="34">
        <f t="shared" si="18"/>
        <v>2</v>
      </c>
      <c r="BW19" s="34">
        <f t="shared" si="19"/>
        <v>7</v>
      </c>
      <c r="BX19" s="34">
        <f t="shared" si="20"/>
        <v>0.83333333333333337</v>
      </c>
      <c r="BY19" s="34">
        <f t="shared" si="21"/>
        <v>0.58823529411764708</v>
      </c>
      <c r="BZ19" s="32">
        <f t="shared" si="22"/>
        <v>0.68965517241379315</v>
      </c>
      <c r="CC19" s="133" t="s">
        <v>57</v>
      </c>
      <c r="CD19">
        <f>AVERAGE(CD3:CD18)</f>
        <v>0.85769817651711044</v>
      </c>
      <c r="CE19">
        <f t="shared" ref="CE19:CF19" si="43">AVERAGE(CE3:CE18)</f>
        <v>0.86007064732540905</v>
      </c>
      <c r="CF19">
        <f t="shared" si="43"/>
        <v>0.85437714523837172</v>
      </c>
    </row>
    <row r="20" spans="1:84" x14ac:dyDescent="0.35">
      <c r="A20" s="57" t="s">
        <v>48</v>
      </c>
      <c r="B20" s="148"/>
      <c r="C20" s="148"/>
      <c r="D20" s="32" t="s">
        <v>67</v>
      </c>
      <c r="E20" s="33">
        <v>2</v>
      </c>
      <c r="F20" s="34">
        <v>2</v>
      </c>
      <c r="G20" s="34">
        <f t="shared" si="0"/>
        <v>0</v>
      </c>
      <c r="H20" s="32">
        <v>0</v>
      </c>
      <c r="I20" s="33">
        <v>2</v>
      </c>
      <c r="J20" s="34">
        <v>2</v>
      </c>
      <c r="K20" s="34">
        <f t="shared" si="35"/>
        <v>0</v>
      </c>
      <c r="L20" s="32">
        <v>0</v>
      </c>
      <c r="M20" s="33">
        <v>1</v>
      </c>
      <c r="N20" s="34">
        <v>1</v>
      </c>
      <c r="O20" s="34">
        <f t="shared" si="36"/>
        <v>0</v>
      </c>
      <c r="P20" s="32">
        <v>0</v>
      </c>
      <c r="Q20" s="33">
        <v>1</v>
      </c>
      <c r="R20" s="34">
        <v>1</v>
      </c>
      <c r="S20" s="34">
        <f t="shared" si="3"/>
        <v>0</v>
      </c>
      <c r="T20" s="32">
        <v>1</v>
      </c>
      <c r="U20" s="33">
        <v>1</v>
      </c>
      <c r="V20" s="34">
        <v>1</v>
      </c>
      <c r="W20" s="34">
        <f t="shared" si="37"/>
        <v>0</v>
      </c>
      <c r="X20" s="32">
        <v>0</v>
      </c>
      <c r="Y20" s="33">
        <v>1</v>
      </c>
      <c r="Z20" s="34">
        <v>1</v>
      </c>
      <c r="AA20" s="34">
        <f t="shared" si="40"/>
        <v>0</v>
      </c>
      <c r="AB20" s="32">
        <v>0</v>
      </c>
      <c r="AC20" s="33">
        <v>1</v>
      </c>
      <c r="AD20" s="34">
        <v>1</v>
      </c>
      <c r="AE20" s="34">
        <f t="shared" si="6"/>
        <v>0</v>
      </c>
      <c r="AF20" s="32">
        <v>0</v>
      </c>
      <c r="AG20" s="33">
        <v>1</v>
      </c>
      <c r="AH20" s="34">
        <v>1</v>
      </c>
      <c r="AI20" s="34">
        <f t="shared" si="7"/>
        <v>0</v>
      </c>
      <c r="AJ20" s="32">
        <v>0</v>
      </c>
      <c r="AK20" s="33">
        <v>0</v>
      </c>
      <c r="AL20" s="34">
        <v>0</v>
      </c>
      <c r="AM20" s="34">
        <f t="shared" si="8"/>
        <v>0</v>
      </c>
      <c r="AN20" s="32">
        <v>0</v>
      </c>
      <c r="AO20" s="33">
        <v>0</v>
      </c>
      <c r="AP20" s="34">
        <v>0</v>
      </c>
      <c r="AQ20" s="34">
        <f t="shared" si="9"/>
        <v>0</v>
      </c>
      <c r="AR20" s="32">
        <v>0</v>
      </c>
      <c r="AS20" s="33">
        <v>0</v>
      </c>
      <c r="AT20" s="34">
        <v>0</v>
      </c>
      <c r="AU20" s="34">
        <f t="shared" si="10"/>
        <v>0</v>
      </c>
      <c r="AV20" s="32">
        <v>1</v>
      </c>
      <c r="AW20" s="33">
        <v>1</v>
      </c>
      <c r="AX20" s="34">
        <v>1</v>
      </c>
      <c r="AY20" s="34">
        <f t="shared" si="11"/>
        <v>0</v>
      </c>
      <c r="AZ20" s="32">
        <v>0</v>
      </c>
      <c r="BA20" s="33">
        <v>1</v>
      </c>
      <c r="BB20" s="34">
        <v>0</v>
      </c>
      <c r="BC20" s="34">
        <f t="shared" si="12"/>
        <v>1</v>
      </c>
      <c r="BD20" s="32">
        <v>1</v>
      </c>
      <c r="BE20" s="33">
        <v>0</v>
      </c>
      <c r="BF20" s="34">
        <v>0</v>
      </c>
      <c r="BG20" s="34">
        <f t="shared" si="13"/>
        <v>0</v>
      </c>
      <c r="BH20" s="32">
        <v>0</v>
      </c>
      <c r="BI20" s="33">
        <v>0</v>
      </c>
      <c r="BJ20" s="34">
        <v>0</v>
      </c>
      <c r="BK20" s="34">
        <f t="shared" si="14"/>
        <v>0</v>
      </c>
      <c r="BL20" s="32">
        <v>0</v>
      </c>
      <c r="BM20" s="33">
        <v>0</v>
      </c>
      <c r="BN20" s="34">
        <v>0</v>
      </c>
      <c r="BO20" s="34">
        <f t="shared" si="15"/>
        <v>0</v>
      </c>
      <c r="BP20" s="32">
        <v>1</v>
      </c>
      <c r="BQ20" s="33">
        <v>0</v>
      </c>
      <c r="BR20" s="34">
        <v>0</v>
      </c>
      <c r="BS20" s="34">
        <f t="shared" si="16"/>
        <v>0</v>
      </c>
      <c r="BT20" s="32">
        <v>0</v>
      </c>
      <c r="BU20" s="33">
        <f t="shared" si="17"/>
        <v>11</v>
      </c>
      <c r="BV20" s="34">
        <f t="shared" si="18"/>
        <v>1</v>
      </c>
      <c r="BW20" s="34">
        <f t="shared" si="19"/>
        <v>4</v>
      </c>
      <c r="BX20" s="34">
        <f t="shared" si="20"/>
        <v>0.91666666666666663</v>
      </c>
      <c r="BY20" s="34">
        <f t="shared" si="21"/>
        <v>0.73333333333333328</v>
      </c>
      <c r="BZ20" s="32">
        <f t="shared" si="22"/>
        <v>0.81481481481481477</v>
      </c>
    </row>
    <row r="21" spans="1:84" x14ac:dyDescent="0.35">
      <c r="A21" s="58" t="s">
        <v>48</v>
      </c>
      <c r="B21" s="148"/>
      <c r="C21" s="148"/>
      <c r="D21" s="35" t="s">
        <v>35</v>
      </c>
      <c r="E21" s="36">
        <v>2</v>
      </c>
      <c r="F21" s="37">
        <v>2</v>
      </c>
      <c r="G21" s="37">
        <f t="shared" si="0"/>
        <v>0</v>
      </c>
      <c r="H21" s="35">
        <v>0</v>
      </c>
      <c r="I21" s="36">
        <v>2</v>
      </c>
      <c r="J21" s="37">
        <v>2</v>
      </c>
      <c r="K21" s="37">
        <f t="shared" si="35"/>
        <v>0</v>
      </c>
      <c r="L21" s="35">
        <v>0</v>
      </c>
      <c r="M21" s="36">
        <v>3</v>
      </c>
      <c r="N21" s="37">
        <v>3</v>
      </c>
      <c r="O21" s="37">
        <f t="shared" si="36"/>
        <v>0</v>
      </c>
      <c r="P21" s="35">
        <v>0</v>
      </c>
      <c r="Q21" s="36">
        <v>2</v>
      </c>
      <c r="R21" s="37">
        <v>2</v>
      </c>
      <c r="S21" s="37">
        <f t="shared" si="3"/>
        <v>0</v>
      </c>
      <c r="T21" s="35">
        <v>1</v>
      </c>
      <c r="U21" s="36">
        <v>2</v>
      </c>
      <c r="V21" s="37">
        <v>2</v>
      </c>
      <c r="W21" s="37">
        <f t="shared" si="37"/>
        <v>0</v>
      </c>
      <c r="X21" s="35">
        <v>0</v>
      </c>
      <c r="Y21" s="36">
        <v>2</v>
      </c>
      <c r="Z21" s="37">
        <v>2</v>
      </c>
      <c r="AA21" s="37">
        <f t="shared" si="40"/>
        <v>0</v>
      </c>
      <c r="AB21" s="35">
        <v>0</v>
      </c>
      <c r="AC21" s="36">
        <v>0</v>
      </c>
      <c r="AD21" s="37">
        <v>0</v>
      </c>
      <c r="AE21" s="37">
        <f t="shared" si="6"/>
        <v>0</v>
      </c>
      <c r="AF21" s="35">
        <v>3</v>
      </c>
      <c r="AG21" s="36">
        <v>2</v>
      </c>
      <c r="AH21" s="37">
        <v>2</v>
      </c>
      <c r="AI21" s="37">
        <f t="shared" si="7"/>
        <v>0</v>
      </c>
      <c r="AJ21" s="35">
        <v>0</v>
      </c>
      <c r="AK21" s="36">
        <v>0</v>
      </c>
      <c r="AL21" s="37">
        <v>0</v>
      </c>
      <c r="AM21" s="37">
        <f t="shared" si="8"/>
        <v>0</v>
      </c>
      <c r="AN21" s="35">
        <v>0</v>
      </c>
      <c r="AO21" s="36">
        <v>0</v>
      </c>
      <c r="AP21" s="37">
        <v>0</v>
      </c>
      <c r="AQ21" s="37">
        <f t="shared" si="9"/>
        <v>0</v>
      </c>
      <c r="AR21" s="35">
        <v>0</v>
      </c>
      <c r="AS21" s="36">
        <v>0</v>
      </c>
      <c r="AT21" s="37">
        <v>0</v>
      </c>
      <c r="AU21" s="37">
        <f t="shared" si="10"/>
        <v>0</v>
      </c>
      <c r="AV21" s="35">
        <v>1</v>
      </c>
      <c r="AW21" s="36">
        <v>1</v>
      </c>
      <c r="AX21" s="37">
        <v>0</v>
      </c>
      <c r="AY21" s="37">
        <f t="shared" si="11"/>
        <v>1</v>
      </c>
      <c r="AZ21" s="35">
        <v>0</v>
      </c>
      <c r="BA21" s="36">
        <v>1</v>
      </c>
      <c r="BB21" s="37">
        <v>0</v>
      </c>
      <c r="BC21" s="37">
        <f t="shared" si="12"/>
        <v>1</v>
      </c>
      <c r="BD21" s="35">
        <v>0</v>
      </c>
      <c r="BE21" s="36">
        <v>0</v>
      </c>
      <c r="BF21" s="37">
        <v>0</v>
      </c>
      <c r="BG21" s="37">
        <f t="shared" si="13"/>
        <v>0</v>
      </c>
      <c r="BH21" s="35">
        <v>0</v>
      </c>
      <c r="BI21" s="36">
        <v>0</v>
      </c>
      <c r="BJ21" s="37">
        <v>0</v>
      </c>
      <c r="BK21" s="37">
        <f t="shared" si="14"/>
        <v>0</v>
      </c>
      <c r="BL21" s="35">
        <v>0</v>
      </c>
      <c r="BM21" s="36">
        <v>0</v>
      </c>
      <c r="BN21" s="37">
        <v>0</v>
      </c>
      <c r="BO21" s="37">
        <f t="shared" si="15"/>
        <v>0</v>
      </c>
      <c r="BP21" s="35">
        <v>0</v>
      </c>
      <c r="BQ21" s="36">
        <v>0</v>
      </c>
      <c r="BR21" s="37">
        <v>0</v>
      </c>
      <c r="BS21" s="37">
        <f t="shared" si="16"/>
        <v>0</v>
      </c>
      <c r="BT21" s="35">
        <v>0</v>
      </c>
      <c r="BU21" s="36">
        <f t="shared" si="17"/>
        <v>15</v>
      </c>
      <c r="BV21" s="37">
        <f t="shared" si="18"/>
        <v>2</v>
      </c>
      <c r="BW21" s="37">
        <f t="shared" si="19"/>
        <v>5</v>
      </c>
      <c r="BX21" s="37">
        <f t="shared" si="20"/>
        <v>0.88235294117647056</v>
      </c>
      <c r="BY21" s="37">
        <f t="shared" si="21"/>
        <v>0.75</v>
      </c>
      <c r="BZ21" s="35">
        <f t="shared" si="22"/>
        <v>0.81081081081081074</v>
      </c>
    </row>
    <row r="22" spans="1:84" x14ac:dyDescent="0.35">
      <c r="A22" s="58" t="s">
        <v>48</v>
      </c>
      <c r="B22" s="148"/>
      <c r="C22" s="148"/>
      <c r="D22" s="35" t="s">
        <v>68</v>
      </c>
      <c r="E22" s="36">
        <v>2</v>
      </c>
      <c r="F22" s="37">
        <v>2</v>
      </c>
      <c r="G22" s="37">
        <f t="shared" si="0"/>
        <v>0</v>
      </c>
      <c r="H22" s="35">
        <v>0</v>
      </c>
      <c r="I22" s="36">
        <v>2</v>
      </c>
      <c r="J22" s="37">
        <v>0</v>
      </c>
      <c r="K22" s="37">
        <f t="shared" si="35"/>
        <v>2</v>
      </c>
      <c r="L22" s="35">
        <v>0</v>
      </c>
      <c r="M22" s="36">
        <v>3</v>
      </c>
      <c r="N22" s="37">
        <v>0</v>
      </c>
      <c r="O22" s="37">
        <f t="shared" si="36"/>
        <v>3</v>
      </c>
      <c r="P22" s="35">
        <v>0</v>
      </c>
      <c r="Q22" s="36">
        <v>2</v>
      </c>
      <c r="R22" s="37">
        <v>2</v>
      </c>
      <c r="S22" s="37">
        <f t="shared" si="3"/>
        <v>0</v>
      </c>
      <c r="T22" s="35">
        <v>3</v>
      </c>
      <c r="U22" s="36">
        <v>2</v>
      </c>
      <c r="V22" s="37">
        <v>2</v>
      </c>
      <c r="W22" s="37">
        <f t="shared" si="37"/>
        <v>0</v>
      </c>
      <c r="X22" s="35">
        <v>0</v>
      </c>
      <c r="Y22" s="36">
        <v>2</v>
      </c>
      <c r="Z22" s="37">
        <v>2</v>
      </c>
      <c r="AA22" s="37">
        <f t="shared" si="40"/>
        <v>0</v>
      </c>
      <c r="AB22" s="35">
        <v>2</v>
      </c>
      <c r="AC22" s="36">
        <v>0</v>
      </c>
      <c r="AD22" s="37">
        <v>0</v>
      </c>
      <c r="AE22" s="37">
        <f t="shared" si="6"/>
        <v>0</v>
      </c>
      <c r="AF22" s="35">
        <v>0</v>
      </c>
      <c r="AG22" s="36">
        <v>2</v>
      </c>
      <c r="AH22" s="37">
        <v>2</v>
      </c>
      <c r="AI22" s="37">
        <f t="shared" si="7"/>
        <v>0</v>
      </c>
      <c r="AJ22" s="35">
        <v>0</v>
      </c>
      <c r="AK22" s="36">
        <v>0</v>
      </c>
      <c r="AL22" s="37">
        <v>0</v>
      </c>
      <c r="AM22" s="37">
        <f t="shared" si="8"/>
        <v>0</v>
      </c>
      <c r="AN22" s="35">
        <v>0</v>
      </c>
      <c r="AO22" s="36">
        <v>0</v>
      </c>
      <c r="AP22" s="37">
        <v>0</v>
      </c>
      <c r="AQ22" s="37">
        <f t="shared" si="9"/>
        <v>0</v>
      </c>
      <c r="AR22" s="35">
        <v>0</v>
      </c>
      <c r="AS22" s="36">
        <v>0</v>
      </c>
      <c r="AT22" s="37">
        <v>0</v>
      </c>
      <c r="AU22" s="37">
        <f t="shared" si="10"/>
        <v>0</v>
      </c>
      <c r="AV22" s="35">
        <v>0</v>
      </c>
      <c r="AW22" s="36">
        <v>1</v>
      </c>
      <c r="AX22" s="37">
        <v>0</v>
      </c>
      <c r="AY22" s="37">
        <f t="shared" si="11"/>
        <v>1</v>
      </c>
      <c r="AZ22" s="35">
        <v>1</v>
      </c>
      <c r="BA22" s="36">
        <v>1</v>
      </c>
      <c r="BB22" s="37">
        <v>0</v>
      </c>
      <c r="BC22" s="37">
        <f t="shared" si="12"/>
        <v>1</v>
      </c>
      <c r="BD22" s="35">
        <v>1</v>
      </c>
      <c r="BE22" s="36">
        <v>0</v>
      </c>
      <c r="BF22" s="37">
        <v>0</v>
      </c>
      <c r="BG22" s="37">
        <f t="shared" si="13"/>
        <v>0</v>
      </c>
      <c r="BH22" s="35">
        <v>0</v>
      </c>
      <c r="BI22" s="36">
        <v>0</v>
      </c>
      <c r="BJ22" s="37">
        <v>0</v>
      </c>
      <c r="BK22" s="37">
        <f t="shared" si="14"/>
        <v>0</v>
      </c>
      <c r="BL22" s="35">
        <v>0</v>
      </c>
      <c r="BM22" s="36">
        <v>0</v>
      </c>
      <c r="BN22" s="37">
        <v>0</v>
      </c>
      <c r="BO22" s="37">
        <f t="shared" si="15"/>
        <v>0</v>
      </c>
      <c r="BP22" s="35">
        <v>1</v>
      </c>
      <c r="BQ22" s="36">
        <v>0</v>
      </c>
      <c r="BR22" s="37">
        <v>0</v>
      </c>
      <c r="BS22" s="37">
        <f t="shared" si="16"/>
        <v>0</v>
      </c>
      <c r="BT22" s="35">
        <v>0</v>
      </c>
      <c r="BU22" s="36">
        <f t="shared" si="17"/>
        <v>10</v>
      </c>
      <c r="BV22" s="37">
        <f t="shared" si="18"/>
        <v>7</v>
      </c>
      <c r="BW22" s="37">
        <f t="shared" si="19"/>
        <v>8</v>
      </c>
      <c r="BX22" s="37">
        <f t="shared" si="20"/>
        <v>0.58823529411764708</v>
      </c>
      <c r="BY22" s="37">
        <f t="shared" si="21"/>
        <v>0.55555555555555558</v>
      </c>
      <c r="BZ22" s="35">
        <f t="shared" si="22"/>
        <v>0.57142857142857151</v>
      </c>
    </row>
    <row r="23" spans="1:84" x14ac:dyDescent="0.35">
      <c r="A23" s="59" t="s">
        <v>48</v>
      </c>
      <c r="B23" s="148"/>
      <c r="C23" s="148"/>
      <c r="D23" s="38" t="s">
        <v>36</v>
      </c>
      <c r="E23" s="39">
        <v>2</v>
      </c>
      <c r="F23" s="40">
        <v>2</v>
      </c>
      <c r="G23" s="40">
        <f t="shared" si="0"/>
        <v>0</v>
      </c>
      <c r="H23" s="38">
        <v>0</v>
      </c>
      <c r="I23" s="39">
        <v>2</v>
      </c>
      <c r="J23" s="40">
        <v>0</v>
      </c>
      <c r="K23" s="40">
        <f t="shared" si="35"/>
        <v>2</v>
      </c>
      <c r="L23" s="38">
        <v>0</v>
      </c>
      <c r="M23" s="39">
        <v>0</v>
      </c>
      <c r="N23" s="40">
        <v>0</v>
      </c>
      <c r="O23" s="40">
        <f t="shared" si="36"/>
        <v>0</v>
      </c>
      <c r="P23" s="38">
        <v>0</v>
      </c>
      <c r="Q23" s="39">
        <v>1</v>
      </c>
      <c r="R23" s="40">
        <v>1</v>
      </c>
      <c r="S23" s="40">
        <f t="shared" si="3"/>
        <v>0</v>
      </c>
      <c r="T23" s="38">
        <v>1</v>
      </c>
      <c r="U23" s="39">
        <v>1</v>
      </c>
      <c r="V23" s="40">
        <v>1</v>
      </c>
      <c r="W23" s="40">
        <f t="shared" si="37"/>
        <v>0</v>
      </c>
      <c r="X23" s="38">
        <v>0</v>
      </c>
      <c r="Y23" s="39">
        <v>1</v>
      </c>
      <c r="Z23" s="40">
        <v>1</v>
      </c>
      <c r="AA23" s="40">
        <f t="shared" si="40"/>
        <v>0</v>
      </c>
      <c r="AB23" s="38">
        <v>0</v>
      </c>
      <c r="AC23" s="39">
        <v>1</v>
      </c>
      <c r="AD23" s="40">
        <v>1</v>
      </c>
      <c r="AE23" s="40">
        <f t="shared" si="6"/>
        <v>0</v>
      </c>
      <c r="AF23" s="38">
        <v>0</v>
      </c>
      <c r="AG23" s="39">
        <v>1</v>
      </c>
      <c r="AH23" s="40">
        <v>1</v>
      </c>
      <c r="AI23" s="40">
        <f t="shared" si="7"/>
        <v>0</v>
      </c>
      <c r="AJ23" s="38">
        <v>0</v>
      </c>
      <c r="AK23" s="39">
        <v>0</v>
      </c>
      <c r="AL23" s="40">
        <v>0</v>
      </c>
      <c r="AM23" s="40">
        <f t="shared" si="8"/>
        <v>0</v>
      </c>
      <c r="AN23" s="38">
        <v>0</v>
      </c>
      <c r="AO23" s="39">
        <v>0</v>
      </c>
      <c r="AP23" s="40">
        <v>0</v>
      </c>
      <c r="AQ23" s="40">
        <f t="shared" si="9"/>
        <v>0</v>
      </c>
      <c r="AR23" s="38">
        <v>0</v>
      </c>
      <c r="AS23" s="39">
        <v>1</v>
      </c>
      <c r="AT23" s="40">
        <v>1</v>
      </c>
      <c r="AU23" s="40">
        <f t="shared" si="10"/>
        <v>0</v>
      </c>
      <c r="AV23" s="38">
        <v>0</v>
      </c>
      <c r="AW23" s="39">
        <v>0</v>
      </c>
      <c r="AX23" s="40">
        <v>0</v>
      </c>
      <c r="AY23" s="40">
        <f t="shared" si="11"/>
        <v>0</v>
      </c>
      <c r="AZ23" s="38">
        <v>0</v>
      </c>
      <c r="BA23" s="39">
        <v>1</v>
      </c>
      <c r="BB23" s="40">
        <v>1</v>
      </c>
      <c r="BC23" s="40">
        <f t="shared" si="12"/>
        <v>0</v>
      </c>
      <c r="BD23" s="38">
        <v>0</v>
      </c>
      <c r="BE23" s="39">
        <v>0</v>
      </c>
      <c r="BF23" s="40">
        <v>0</v>
      </c>
      <c r="BG23" s="40">
        <f t="shared" si="13"/>
        <v>0</v>
      </c>
      <c r="BH23" s="38">
        <v>0</v>
      </c>
      <c r="BI23" s="39">
        <v>0</v>
      </c>
      <c r="BJ23" s="40">
        <v>0</v>
      </c>
      <c r="BK23" s="40">
        <f t="shared" si="14"/>
        <v>0</v>
      </c>
      <c r="BL23" s="38">
        <v>0</v>
      </c>
      <c r="BM23" s="39">
        <v>0</v>
      </c>
      <c r="BN23" s="40">
        <v>0</v>
      </c>
      <c r="BO23" s="40">
        <f t="shared" si="15"/>
        <v>0</v>
      </c>
      <c r="BP23" s="38">
        <v>1</v>
      </c>
      <c r="BQ23" s="39">
        <v>0</v>
      </c>
      <c r="BR23" s="40">
        <v>0</v>
      </c>
      <c r="BS23" s="40">
        <f t="shared" si="16"/>
        <v>0</v>
      </c>
      <c r="BT23" s="38">
        <v>0</v>
      </c>
      <c r="BU23" s="39">
        <f t="shared" si="17"/>
        <v>9</v>
      </c>
      <c r="BV23" s="40">
        <f t="shared" si="18"/>
        <v>2</v>
      </c>
      <c r="BW23" s="40">
        <f t="shared" si="19"/>
        <v>2</v>
      </c>
      <c r="BX23" s="40">
        <f t="shared" si="20"/>
        <v>0.81818181818181823</v>
      </c>
      <c r="BY23" s="40">
        <f t="shared" si="21"/>
        <v>0.81818181818181823</v>
      </c>
      <c r="BZ23" s="38">
        <f t="shared" si="22"/>
        <v>0.81818181818181823</v>
      </c>
    </row>
    <row r="24" spans="1:84" x14ac:dyDescent="0.35">
      <c r="A24" s="59" t="s">
        <v>48</v>
      </c>
      <c r="B24" s="148"/>
      <c r="C24" s="148"/>
      <c r="D24" s="38" t="s">
        <v>69</v>
      </c>
      <c r="E24" s="39">
        <v>2</v>
      </c>
      <c r="F24" s="40">
        <v>2</v>
      </c>
      <c r="G24" s="40">
        <f t="shared" si="0"/>
        <v>0</v>
      </c>
      <c r="H24" s="38">
        <v>0</v>
      </c>
      <c r="I24" s="39">
        <v>2</v>
      </c>
      <c r="J24" s="40">
        <v>0</v>
      </c>
      <c r="K24" s="40">
        <f t="shared" si="35"/>
        <v>2</v>
      </c>
      <c r="L24" s="38">
        <v>0</v>
      </c>
      <c r="M24" s="39">
        <v>0</v>
      </c>
      <c r="N24" s="40">
        <v>0</v>
      </c>
      <c r="O24" s="40">
        <f t="shared" si="36"/>
        <v>0</v>
      </c>
      <c r="P24" s="38">
        <v>0</v>
      </c>
      <c r="Q24" s="39">
        <v>1</v>
      </c>
      <c r="R24" s="40">
        <v>1</v>
      </c>
      <c r="S24" s="40">
        <f t="shared" si="3"/>
        <v>0</v>
      </c>
      <c r="T24" s="38">
        <v>1</v>
      </c>
      <c r="U24" s="39">
        <v>1</v>
      </c>
      <c r="V24" s="40">
        <v>1</v>
      </c>
      <c r="W24" s="40">
        <f t="shared" si="37"/>
        <v>0</v>
      </c>
      <c r="X24" s="38">
        <v>0</v>
      </c>
      <c r="Y24" s="39">
        <v>1</v>
      </c>
      <c r="Z24" s="40">
        <v>1</v>
      </c>
      <c r="AA24" s="40">
        <f t="shared" si="40"/>
        <v>0</v>
      </c>
      <c r="AB24" s="38">
        <v>0</v>
      </c>
      <c r="AC24" s="39">
        <v>1</v>
      </c>
      <c r="AD24" s="40">
        <v>1</v>
      </c>
      <c r="AE24" s="40">
        <f t="shared" si="6"/>
        <v>0</v>
      </c>
      <c r="AF24" s="38">
        <v>0</v>
      </c>
      <c r="AG24" s="39">
        <v>1</v>
      </c>
      <c r="AH24" s="40">
        <v>1</v>
      </c>
      <c r="AI24" s="40">
        <f t="shared" si="7"/>
        <v>0</v>
      </c>
      <c r="AJ24" s="38">
        <v>0</v>
      </c>
      <c r="AK24" s="39">
        <v>0</v>
      </c>
      <c r="AL24" s="40">
        <v>0</v>
      </c>
      <c r="AM24" s="40">
        <f t="shared" si="8"/>
        <v>0</v>
      </c>
      <c r="AN24" s="38">
        <v>0</v>
      </c>
      <c r="AO24" s="39">
        <v>0</v>
      </c>
      <c r="AP24" s="40">
        <v>0</v>
      </c>
      <c r="AQ24" s="40">
        <f t="shared" si="9"/>
        <v>0</v>
      </c>
      <c r="AR24" s="38">
        <v>0</v>
      </c>
      <c r="AS24" s="39">
        <v>1</v>
      </c>
      <c r="AT24" s="40">
        <v>1</v>
      </c>
      <c r="AU24" s="40">
        <f t="shared" si="10"/>
        <v>0</v>
      </c>
      <c r="AV24" s="38">
        <v>0</v>
      </c>
      <c r="AW24" s="39">
        <v>0</v>
      </c>
      <c r="AX24" s="40">
        <v>0</v>
      </c>
      <c r="AY24" s="40">
        <f t="shared" si="11"/>
        <v>0</v>
      </c>
      <c r="AZ24" s="38">
        <v>0</v>
      </c>
      <c r="BA24" s="39">
        <v>1</v>
      </c>
      <c r="BB24" s="40">
        <v>1</v>
      </c>
      <c r="BC24" s="40">
        <f t="shared" si="12"/>
        <v>0</v>
      </c>
      <c r="BD24" s="38">
        <v>0</v>
      </c>
      <c r="BE24" s="39">
        <v>0</v>
      </c>
      <c r="BF24" s="40">
        <v>0</v>
      </c>
      <c r="BG24" s="40">
        <f t="shared" si="13"/>
        <v>0</v>
      </c>
      <c r="BH24" s="38">
        <v>0</v>
      </c>
      <c r="BI24" s="39">
        <v>0</v>
      </c>
      <c r="BJ24" s="40">
        <v>0</v>
      </c>
      <c r="BK24" s="40">
        <f t="shared" si="14"/>
        <v>0</v>
      </c>
      <c r="BL24" s="38">
        <v>0</v>
      </c>
      <c r="BM24" s="39">
        <v>0</v>
      </c>
      <c r="BN24" s="40">
        <v>0</v>
      </c>
      <c r="BO24" s="40">
        <f t="shared" si="15"/>
        <v>0</v>
      </c>
      <c r="BP24" s="38">
        <v>1</v>
      </c>
      <c r="BQ24" s="39">
        <v>0</v>
      </c>
      <c r="BR24" s="40">
        <v>0</v>
      </c>
      <c r="BS24" s="40">
        <f t="shared" si="16"/>
        <v>0</v>
      </c>
      <c r="BT24" s="38">
        <v>0</v>
      </c>
      <c r="BU24" s="39">
        <f t="shared" si="17"/>
        <v>9</v>
      </c>
      <c r="BV24" s="40">
        <f t="shared" si="18"/>
        <v>2</v>
      </c>
      <c r="BW24" s="40">
        <f t="shared" si="19"/>
        <v>2</v>
      </c>
      <c r="BX24" s="40">
        <f t="shared" si="20"/>
        <v>0.81818181818181823</v>
      </c>
      <c r="BY24" s="40">
        <f t="shared" si="21"/>
        <v>0.81818181818181823</v>
      </c>
      <c r="BZ24" s="38">
        <f t="shared" si="22"/>
        <v>0.81818181818181823</v>
      </c>
    </row>
    <row r="25" spans="1:84" x14ac:dyDescent="0.35">
      <c r="A25" s="60" t="s">
        <v>48</v>
      </c>
      <c r="B25" s="148"/>
      <c r="C25" s="148"/>
      <c r="D25" s="41" t="s">
        <v>37</v>
      </c>
      <c r="E25" s="42">
        <v>2</v>
      </c>
      <c r="F25" s="43">
        <v>2</v>
      </c>
      <c r="G25" s="43">
        <f t="shared" si="0"/>
        <v>0</v>
      </c>
      <c r="H25" s="41">
        <v>0</v>
      </c>
      <c r="I25" s="42">
        <v>2</v>
      </c>
      <c r="J25" s="43">
        <v>2</v>
      </c>
      <c r="K25" s="43">
        <f t="shared" si="35"/>
        <v>0</v>
      </c>
      <c r="L25" s="41">
        <v>0</v>
      </c>
      <c r="M25" s="42">
        <v>0</v>
      </c>
      <c r="N25" s="43">
        <v>0</v>
      </c>
      <c r="O25" s="43">
        <f t="shared" si="36"/>
        <v>0</v>
      </c>
      <c r="P25" s="41">
        <v>0</v>
      </c>
      <c r="Q25" s="42">
        <v>2</v>
      </c>
      <c r="R25" s="43">
        <v>2</v>
      </c>
      <c r="S25" s="43">
        <f t="shared" si="3"/>
        <v>0</v>
      </c>
      <c r="T25" s="41">
        <v>0</v>
      </c>
      <c r="U25" s="42">
        <v>2</v>
      </c>
      <c r="V25" s="43">
        <v>2</v>
      </c>
      <c r="W25" s="43">
        <f t="shared" si="37"/>
        <v>0</v>
      </c>
      <c r="X25" s="41">
        <v>0</v>
      </c>
      <c r="Y25" s="42">
        <v>2</v>
      </c>
      <c r="Z25" s="43">
        <v>2</v>
      </c>
      <c r="AA25" s="43">
        <f t="shared" si="40"/>
        <v>0</v>
      </c>
      <c r="AB25" s="41">
        <v>0</v>
      </c>
      <c r="AC25" s="42">
        <v>2</v>
      </c>
      <c r="AD25" s="43">
        <v>2</v>
      </c>
      <c r="AE25" s="43">
        <f t="shared" si="6"/>
        <v>0</v>
      </c>
      <c r="AF25" s="41">
        <v>0</v>
      </c>
      <c r="AG25" s="42">
        <v>2</v>
      </c>
      <c r="AH25" s="43">
        <v>2</v>
      </c>
      <c r="AI25" s="43">
        <f t="shared" si="7"/>
        <v>0</v>
      </c>
      <c r="AJ25" s="41">
        <v>0</v>
      </c>
      <c r="AK25" s="42">
        <v>0</v>
      </c>
      <c r="AL25" s="43">
        <v>0</v>
      </c>
      <c r="AM25" s="43">
        <f t="shared" si="8"/>
        <v>0</v>
      </c>
      <c r="AN25" s="41">
        <v>0</v>
      </c>
      <c r="AO25" s="42">
        <v>0</v>
      </c>
      <c r="AP25" s="43">
        <v>0</v>
      </c>
      <c r="AQ25" s="43">
        <f t="shared" si="9"/>
        <v>0</v>
      </c>
      <c r="AR25" s="41">
        <v>0</v>
      </c>
      <c r="AS25" s="42">
        <v>1</v>
      </c>
      <c r="AT25" s="43">
        <v>1</v>
      </c>
      <c r="AU25" s="43">
        <f t="shared" si="10"/>
        <v>0</v>
      </c>
      <c r="AV25" s="41">
        <v>0</v>
      </c>
      <c r="AW25" s="42">
        <v>0</v>
      </c>
      <c r="AX25" s="43">
        <v>0</v>
      </c>
      <c r="AY25" s="43">
        <f t="shared" si="11"/>
        <v>0</v>
      </c>
      <c r="AZ25" s="41">
        <v>0</v>
      </c>
      <c r="BA25" s="42">
        <v>1</v>
      </c>
      <c r="BB25" s="43">
        <v>1</v>
      </c>
      <c r="BC25" s="43">
        <f t="shared" si="12"/>
        <v>0</v>
      </c>
      <c r="BD25" s="41">
        <v>1</v>
      </c>
      <c r="BE25" s="42">
        <v>0</v>
      </c>
      <c r="BF25" s="43">
        <v>0</v>
      </c>
      <c r="BG25" s="43">
        <f t="shared" si="13"/>
        <v>0</v>
      </c>
      <c r="BH25" s="41">
        <v>0</v>
      </c>
      <c r="BI25" s="42">
        <v>0</v>
      </c>
      <c r="BJ25" s="43">
        <v>0</v>
      </c>
      <c r="BK25" s="43">
        <f t="shared" si="14"/>
        <v>0</v>
      </c>
      <c r="BL25" s="41">
        <v>0</v>
      </c>
      <c r="BM25" s="42">
        <v>0</v>
      </c>
      <c r="BN25" s="43">
        <v>0</v>
      </c>
      <c r="BO25" s="43">
        <f t="shared" si="15"/>
        <v>0</v>
      </c>
      <c r="BP25" s="41">
        <v>2</v>
      </c>
      <c r="BQ25" s="42">
        <v>0</v>
      </c>
      <c r="BR25" s="43">
        <v>0</v>
      </c>
      <c r="BS25" s="43">
        <f t="shared" si="16"/>
        <v>0</v>
      </c>
      <c r="BT25" s="41">
        <v>0</v>
      </c>
      <c r="BU25" s="42">
        <f t="shared" si="17"/>
        <v>16</v>
      </c>
      <c r="BV25" s="43">
        <f t="shared" si="18"/>
        <v>0</v>
      </c>
      <c r="BW25" s="43">
        <f t="shared" si="19"/>
        <v>3</v>
      </c>
      <c r="BX25" s="43">
        <f t="shared" si="20"/>
        <v>1</v>
      </c>
      <c r="BY25" s="43">
        <f t="shared" si="21"/>
        <v>0.84210526315789469</v>
      </c>
      <c r="BZ25" s="41">
        <f t="shared" si="22"/>
        <v>0.91428571428571426</v>
      </c>
    </row>
    <row r="26" spans="1:84" x14ac:dyDescent="0.35">
      <c r="A26" s="60" t="s">
        <v>48</v>
      </c>
      <c r="B26" s="148"/>
      <c r="C26" s="148"/>
      <c r="D26" s="41" t="s">
        <v>70</v>
      </c>
      <c r="E26" s="42">
        <v>2</v>
      </c>
      <c r="F26" s="43">
        <v>2</v>
      </c>
      <c r="G26" s="43">
        <f t="shared" si="0"/>
        <v>0</v>
      </c>
      <c r="H26" s="41">
        <v>0</v>
      </c>
      <c r="I26" s="42">
        <v>2</v>
      </c>
      <c r="J26" s="43">
        <v>2</v>
      </c>
      <c r="K26" s="43">
        <f t="shared" si="35"/>
        <v>0</v>
      </c>
      <c r="L26" s="41">
        <v>0</v>
      </c>
      <c r="M26" s="42">
        <v>0</v>
      </c>
      <c r="N26" s="43">
        <v>0</v>
      </c>
      <c r="O26" s="43">
        <f t="shared" si="36"/>
        <v>0</v>
      </c>
      <c r="P26" s="41">
        <v>0</v>
      </c>
      <c r="Q26" s="42">
        <v>2</v>
      </c>
      <c r="R26" s="43">
        <v>2</v>
      </c>
      <c r="S26" s="43">
        <f t="shared" si="3"/>
        <v>0</v>
      </c>
      <c r="T26" s="41">
        <v>1</v>
      </c>
      <c r="U26" s="42">
        <v>2</v>
      </c>
      <c r="V26" s="43">
        <v>2</v>
      </c>
      <c r="W26" s="43">
        <f t="shared" si="37"/>
        <v>0</v>
      </c>
      <c r="X26" s="41">
        <v>0</v>
      </c>
      <c r="Y26" s="42">
        <v>2</v>
      </c>
      <c r="Z26" s="43">
        <v>2</v>
      </c>
      <c r="AA26" s="43">
        <f t="shared" si="40"/>
        <v>0</v>
      </c>
      <c r="AB26" s="41">
        <v>0</v>
      </c>
      <c r="AC26" s="42">
        <v>2</v>
      </c>
      <c r="AD26" s="43">
        <v>0</v>
      </c>
      <c r="AE26" s="43">
        <f t="shared" si="6"/>
        <v>2</v>
      </c>
      <c r="AF26" s="41">
        <v>0</v>
      </c>
      <c r="AG26" s="42">
        <v>2</v>
      </c>
      <c r="AH26" s="43">
        <v>2</v>
      </c>
      <c r="AI26" s="43">
        <f t="shared" si="7"/>
        <v>0</v>
      </c>
      <c r="AJ26" s="41">
        <v>0</v>
      </c>
      <c r="AK26" s="42">
        <v>0</v>
      </c>
      <c r="AL26" s="43">
        <v>0</v>
      </c>
      <c r="AM26" s="43">
        <f t="shared" si="8"/>
        <v>0</v>
      </c>
      <c r="AN26" s="41">
        <v>0</v>
      </c>
      <c r="AO26" s="42">
        <v>0</v>
      </c>
      <c r="AP26" s="43">
        <v>0</v>
      </c>
      <c r="AQ26" s="43">
        <f t="shared" si="9"/>
        <v>0</v>
      </c>
      <c r="AR26" s="41">
        <v>0</v>
      </c>
      <c r="AS26" s="42">
        <v>1</v>
      </c>
      <c r="AT26" s="43">
        <v>0</v>
      </c>
      <c r="AU26" s="43">
        <f t="shared" si="10"/>
        <v>1</v>
      </c>
      <c r="AV26" s="41">
        <v>0</v>
      </c>
      <c r="AW26" s="42">
        <v>0</v>
      </c>
      <c r="AX26" s="43">
        <v>0</v>
      </c>
      <c r="AY26" s="43">
        <f t="shared" si="11"/>
        <v>0</v>
      </c>
      <c r="AZ26" s="41">
        <v>1</v>
      </c>
      <c r="BA26" s="42">
        <v>1</v>
      </c>
      <c r="BB26" s="43">
        <v>1</v>
      </c>
      <c r="BC26" s="43">
        <f t="shared" si="12"/>
        <v>0</v>
      </c>
      <c r="BD26" s="41">
        <v>1</v>
      </c>
      <c r="BE26" s="42">
        <v>0</v>
      </c>
      <c r="BF26" s="43">
        <v>0</v>
      </c>
      <c r="BG26" s="43">
        <f t="shared" si="13"/>
        <v>0</v>
      </c>
      <c r="BH26" s="41">
        <v>0</v>
      </c>
      <c r="BI26" s="42">
        <v>0</v>
      </c>
      <c r="BJ26" s="43">
        <v>0</v>
      </c>
      <c r="BK26" s="43">
        <f t="shared" si="14"/>
        <v>0</v>
      </c>
      <c r="BL26" s="41">
        <v>0</v>
      </c>
      <c r="BM26" s="42">
        <v>0</v>
      </c>
      <c r="BN26" s="43">
        <v>0</v>
      </c>
      <c r="BO26" s="43">
        <f t="shared" si="15"/>
        <v>0</v>
      </c>
      <c r="BP26" s="41">
        <v>2</v>
      </c>
      <c r="BQ26" s="42">
        <v>0</v>
      </c>
      <c r="BR26" s="43">
        <v>0</v>
      </c>
      <c r="BS26" s="43">
        <f t="shared" si="16"/>
        <v>0</v>
      </c>
      <c r="BT26" s="41">
        <v>0</v>
      </c>
      <c r="BU26" s="42">
        <f t="shared" si="17"/>
        <v>13</v>
      </c>
      <c r="BV26" s="43">
        <f t="shared" si="18"/>
        <v>3</v>
      </c>
      <c r="BW26" s="43">
        <f t="shared" si="19"/>
        <v>5</v>
      </c>
      <c r="BX26" s="43">
        <f t="shared" si="20"/>
        <v>0.8125</v>
      </c>
      <c r="BY26" s="43">
        <f t="shared" si="21"/>
        <v>0.72222222222222221</v>
      </c>
      <c r="BZ26" s="41">
        <f t="shared" si="22"/>
        <v>0.76470588235294112</v>
      </c>
    </row>
    <row r="27" spans="1:84" ht="15" customHeight="1" x14ac:dyDescent="0.35">
      <c r="A27" s="47" t="s">
        <v>48</v>
      </c>
      <c r="B27" s="148"/>
      <c r="C27" s="148"/>
      <c r="D27" s="44" t="s">
        <v>38</v>
      </c>
      <c r="E27" s="45">
        <v>2</v>
      </c>
      <c r="F27" s="46">
        <v>2</v>
      </c>
      <c r="G27" s="46">
        <f t="shared" si="0"/>
        <v>0</v>
      </c>
      <c r="H27" s="44">
        <v>0</v>
      </c>
      <c r="I27" s="45">
        <v>2</v>
      </c>
      <c r="J27" s="46">
        <v>1</v>
      </c>
      <c r="K27" s="46">
        <f t="shared" si="35"/>
        <v>1</v>
      </c>
      <c r="L27" s="44">
        <v>0</v>
      </c>
      <c r="M27" s="45">
        <v>2</v>
      </c>
      <c r="N27" s="46">
        <v>1</v>
      </c>
      <c r="O27" s="46">
        <f t="shared" si="36"/>
        <v>1</v>
      </c>
      <c r="P27" s="44">
        <v>0</v>
      </c>
      <c r="Q27" s="45">
        <v>2</v>
      </c>
      <c r="R27" s="46">
        <v>2</v>
      </c>
      <c r="S27" s="46">
        <f t="shared" si="3"/>
        <v>0</v>
      </c>
      <c r="T27" s="44">
        <v>0</v>
      </c>
      <c r="U27" s="45">
        <v>2</v>
      </c>
      <c r="V27" s="46">
        <v>2</v>
      </c>
      <c r="W27" s="46">
        <f t="shared" si="37"/>
        <v>0</v>
      </c>
      <c r="X27" s="44">
        <v>0</v>
      </c>
      <c r="Y27" s="45">
        <v>1</v>
      </c>
      <c r="Z27" s="46">
        <v>1</v>
      </c>
      <c r="AA27" s="46">
        <f t="shared" si="40"/>
        <v>0</v>
      </c>
      <c r="AB27" s="44">
        <v>0</v>
      </c>
      <c r="AC27" s="45">
        <v>0</v>
      </c>
      <c r="AD27" s="46">
        <v>0</v>
      </c>
      <c r="AE27" s="46">
        <f t="shared" si="6"/>
        <v>0</v>
      </c>
      <c r="AF27" s="44">
        <v>0</v>
      </c>
      <c r="AG27" s="45">
        <v>1</v>
      </c>
      <c r="AH27" s="46">
        <v>1</v>
      </c>
      <c r="AI27" s="46">
        <f t="shared" si="7"/>
        <v>0</v>
      </c>
      <c r="AJ27" s="44">
        <v>0</v>
      </c>
      <c r="AK27" s="45">
        <v>0</v>
      </c>
      <c r="AL27" s="46">
        <v>0</v>
      </c>
      <c r="AM27" s="46">
        <f t="shared" si="8"/>
        <v>0</v>
      </c>
      <c r="AN27" s="44">
        <v>0</v>
      </c>
      <c r="AO27" s="45">
        <v>0</v>
      </c>
      <c r="AP27" s="46">
        <v>0</v>
      </c>
      <c r="AQ27" s="46">
        <f t="shared" si="9"/>
        <v>0</v>
      </c>
      <c r="AR27" s="44">
        <v>1</v>
      </c>
      <c r="AS27" s="45">
        <v>0</v>
      </c>
      <c r="AT27" s="46">
        <v>0</v>
      </c>
      <c r="AU27" s="46">
        <f t="shared" si="10"/>
        <v>0</v>
      </c>
      <c r="AV27" s="44">
        <v>1</v>
      </c>
      <c r="AW27" s="45">
        <v>0</v>
      </c>
      <c r="AX27" s="46">
        <v>0</v>
      </c>
      <c r="AY27" s="46">
        <f t="shared" si="11"/>
        <v>0</v>
      </c>
      <c r="AZ27" s="44">
        <v>0</v>
      </c>
      <c r="BA27" s="45">
        <v>1</v>
      </c>
      <c r="BB27" s="46">
        <v>1</v>
      </c>
      <c r="BC27" s="46">
        <f t="shared" si="12"/>
        <v>0</v>
      </c>
      <c r="BD27" s="44">
        <v>0</v>
      </c>
      <c r="BE27" s="45">
        <v>0</v>
      </c>
      <c r="BF27" s="46">
        <v>0</v>
      </c>
      <c r="BG27" s="46">
        <f t="shared" si="13"/>
        <v>0</v>
      </c>
      <c r="BH27" s="44">
        <v>0</v>
      </c>
      <c r="BI27" s="45">
        <v>0</v>
      </c>
      <c r="BJ27" s="46">
        <v>0</v>
      </c>
      <c r="BK27" s="46">
        <f t="shared" si="14"/>
        <v>0</v>
      </c>
      <c r="BL27" s="44">
        <v>0</v>
      </c>
      <c r="BM27" s="45">
        <v>0</v>
      </c>
      <c r="BN27" s="46">
        <v>0</v>
      </c>
      <c r="BO27" s="46">
        <f t="shared" si="15"/>
        <v>0</v>
      </c>
      <c r="BP27" s="44">
        <v>1</v>
      </c>
      <c r="BQ27" s="45">
        <v>1</v>
      </c>
      <c r="BR27" s="46">
        <v>0</v>
      </c>
      <c r="BS27" s="46">
        <f t="shared" si="16"/>
        <v>1</v>
      </c>
      <c r="BT27" s="44">
        <v>0</v>
      </c>
      <c r="BU27" s="45">
        <f t="shared" si="17"/>
        <v>11</v>
      </c>
      <c r="BV27" s="46">
        <f t="shared" si="18"/>
        <v>3</v>
      </c>
      <c r="BW27" s="46">
        <f t="shared" si="19"/>
        <v>3</v>
      </c>
      <c r="BX27" s="46">
        <f t="shared" si="20"/>
        <v>0.7857142857142857</v>
      </c>
      <c r="BY27" s="46">
        <f t="shared" si="21"/>
        <v>0.7857142857142857</v>
      </c>
      <c r="BZ27" s="44">
        <f t="shared" si="22"/>
        <v>0.7857142857142857</v>
      </c>
    </row>
    <row r="28" spans="1:84" x14ac:dyDescent="0.35">
      <c r="A28" s="47" t="s">
        <v>48</v>
      </c>
      <c r="B28" s="148"/>
      <c r="C28" s="148"/>
      <c r="D28" s="44" t="s">
        <v>71</v>
      </c>
      <c r="E28" s="45">
        <v>2</v>
      </c>
      <c r="F28" s="46">
        <v>2</v>
      </c>
      <c r="G28" s="46">
        <f t="shared" si="0"/>
        <v>0</v>
      </c>
      <c r="H28" s="44">
        <v>0</v>
      </c>
      <c r="I28" s="45">
        <v>2</v>
      </c>
      <c r="J28" s="46">
        <v>1</v>
      </c>
      <c r="K28" s="46">
        <f t="shared" si="35"/>
        <v>1</v>
      </c>
      <c r="L28" s="44">
        <v>0</v>
      </c>
      <c r="M28" s="45">
        <v>2</v>
      </c>
      <c r="N28" s="46">
        <v>1</v>
      </c>
      <c r="O28" s="46">
        <f t="shared" si="36"/>
        <v>1</v>
      </c>
      <c r="P28" s="44">
        <v>0</v>
      </c>
      <c r="Q28" s="45">
        <v>2</v>
      </c>
      <c r="R28" s="46">
        <v>2</v>
      </c>
      <c r="S28" s="46">
        <f t="shared" si="3"/>
        <v>0</v>
      </c>
      <c r="T28" s="44">
        <v>0</v>
      </c>
      <c r="U28" s="45">
        <v>2</v>
      </c>
      <c r="V28" s="46">
        <v>2</v>
      </c>
      <c r="W28" s="46">
        <f t="shared" si="37"/>
        <v>0</v>
      </c>
      <c r="X28" s="44">
        <v>0</v>
      </c>
      <c r="Y28" s="45">
        <v>1</v>
      </c>
      <c r="Z28" s="46">
        <v>1</v>
      </c>
      <c r="AA28" s="46">
        <f t="shared" si="40"/>
        <v>0</v>
      </c>
      <c r="AB28" s="44">
        <v>0</v>
      </c>
      <c r="AC28" s="45">
        <v>0</v>
      </c>
      <c r="AD28" s="46">
        <v>0</v>
      </c>
      <c r="AE28" s="46">
        <f t="shared" si="6"/>
        <v>0</v>
      </c>
      <c r="AF28" s="44">
        <v>0</v>
      </c>
      <c r="AG28" s="45">
        <v>1</v>
      </c>
      <c r="AH28" s="46">
        <v>1</v>
      </c>
      <c r="AI28" s="46">
        <f t="shared" si="7"/>
        <v>0</v>
      </c>
      <c r="AJ28" s="44">
        <v>0</v>
      </c>
      <c r="AK28" s="45">
        <v>0</v>
      </c>
      <c r="AL28" s="46">
        <v>0</v>
      </c>
      <c r="AM28" s="46">
        <f t="shared" si="8"/>
        <v>0</v>
      </c>
      <c r="AN28" s="44">
        <v>0</v>
      </c>
      <c r="AO28" s="45">
        <v>0</v>
      </c>
      <c r="AP28" s="46">
        <v>0</v>
      </c>
      <c r="AQ28" s="46">
        <f t="shared" si="9"/>
        <v>0</v>
      </c>
      <c r="AR28" s="44">
        <v>1</v>
      </c>
      <c r="AS28" s="45">
        <v>0</v>
      </c>
      <c r="AT28" s="46">
        <v>0</v>
      </c>
      <c r="AU28" s="46">
        <f t="shared" si="10"/>
        <v>0</v>
      </c>
      <c r="AV28" s="44">
        <v>1</v>
      </c>
      <c r="AW28" s="45">
        <v>0</v>
      </c>
      <c r="AX28" s="46">
        <v>0</v>
      </c>
      <c r="AY28" s="46">
        <f t="shared" si="11"/>
        <v>0</v>
      </c>
      <c r="AZ28" s="44">
        <v>0</v>
      </c>
      <c r="BA28" s="45">
        <v>1</v>
      </c>
      <c r="BB28" s="46">
        <v>1</v>
      </c>
      <c r="BC28" s="46">
        <f t="shared" si="12"/>
        <v>0</v>
      </c>
      <c r="BD28" s="44">
        <v>0</v>
      </c>
      <c r="BE28" s="45">
        <v>0</v>
      </c>
      <c r="BF28" s="46">
        <v>0</v>
      </c>
      <c r="BG28" s="46">
        <f t="shared" si="13"/>
        <v>0</v>
      </c>
      <c r="BH28" s="44">
        <v>0</v>
      </c>
      <c r="BI28" s="45">
        <v>0</v>
      </c>
      <c r="BJ28" s="46">
        <v>0</v>
      </c>
      <c r="BK28" s="46">
        <f t="shared" si="14"/>
        <v>0</v>
      </c>
      <c r="BL28" s="44">
        <v>0</v>
      </c>
      <c r="BM28" s="45">
        <v>0</v>
      </c>
      <c r="BN28" s="46">
        <v>0</v>
      </c>
      <c r="BO28" s="46">
        <f t="shared" si="15"/>
        <v>0</v>
      </c>
      <c r="BP28" s="44">
        <v>1</v>
      </c>
      <c r="BQ28" s="45">
        <v>1</v>
      </c>
      <c r="BR28" s="46">
        <v>0</v>
      </c>
      <c r="BS28" s="46">
        <f t="shared" si="16"/>
        <v>1</v>
      </c>
      <c r="BT28" s="44">
        <v>0</v>
      </c>
      <c r="BU28" s="45">
        <f t="shared" si="17"/>
        <v>11</v>
      </c>
      <c r="BV28" s="46">
        <f t="shared" si="18"/>
        <v>3</v>
      </c>
      <c r="BW28" s="46">
        <f t="shared" si="19"/>
        <v>3</v>
      </c>
      <c r="BX28" s="46">
        <f t="shared" si="20"/>
        <v>0.7857142857142857</v>
      </c>
      <c r="BY28" s="46">
        <f t="shared" si="21"/>
        <v>0.7857142857142857</v>
      </c>
      <c r="BZ28" s="44">
        <f t="shared" si="22"/>
        <v>0.7857142857142857</v>
      </c>
    </row>
    <row r="29" spans="1:84" x14ac:dyDescent="0.35">
      <c r="A29" s="61" t="s">
        <v>48</v>
      </c>
      <c r="B29" s="148"/>
      <c r="C29" s="148"/>
      <c r="D29" s="126" t="s">
        <v>39</v>
      </c>
      <c r="E29" s="127">
        <v>2</v>
      </c>
      <c r="F29" s="128">
        <v>2</v>
      </c>
      <c r="G29" s="128">
        <f t="shared" si="0"/>
        <v>0</v>
      </c>
      <c r="H29" s="126">
        <v>0</v>
      </c>
      <c r="I29" s="127">
        <v>2</v>
      </c>
      <c r="J29" s="128">
        <v>0</v>
      </c>
      <c r="K29" s="128">
        <f t="shared" si="35"/>
        <v>2</v>
      </c>
      <c r="L29" s="126">
        <v>0</v>
      </c>
      <c r="M29" s="127">
        <v>2</v>
      </c>
      <c r="N29" s="128">
        <v>0</v>
      </c>
      <c r="O29" s="128">
        <f t="shared" si="36"/>
        <v>2</v>
      </c>
      <c r="P29" s="126">
        <v>0</v>
      </c>
      <c r="Q29" s="127">
        <v>2</v>
      </c>
      <c r="R29" s="128">
        <v>2</v>
      </c>
      <c r="S29" s="128">
        <f t="shared" si="3"/>
        <v>0</v>
      </c>
      <c r="T29" s="126">
        <v>0</v>
      </c>
      <c r="U29" s="127">
        <v>2</v>
      </c>
      <c r="V29" s="128">
        <v>2</v>
      </c>
      <c r="W29" s="128">
        <f t="shared" si="37"/>
        <v>0</v>
      </c>
      <c r="X29" s="126">
        <v>0</v>
      </c>
      <c r="Y29" s="127">
        <v>4</v>
      </c>
      <c r="Z29" s="128">
        <v>4</v>
      </c>
      <c r="AA29" s="128">
        <f t="shared" si="40"/>
        <v>0</v>
      </c>
      <c r="AB29" s="126">
        <v>0</v>
      </c>
      <c r="AC29" s="127">
        <v>2</v>
      </c>
      <c r="AD29" s="128">
        <v>2</v>
      </c>
      <c r="AE29" s="128">
        <f t="shared" si="6"/>
        <v>0</v>
      </c>
      <c r="AF29" s="126">
        <v>0</v>
      </c>
      <c r="AG29" s="127">
        <v>4</v>
      </c>
      <c r="AH29" s="128">
        <v>4</v>
      </c>
      <c r="AI29" s="128">
        <f t="shared" si="7"/>
        <v>0</v>
      </c>
      <c r="AJ29" s="126">
        <v>0</v>
      </c>
      <c r="AK29" s="127">
        <v>0</v>
      </c>
      <c r="AL29" s="128">
        <v>0</v>
      </c>
      <c r="AM29" s="128">
        <f t="shared" si="8"/>
        <v>0</v>
      </c>
      <c r="AN29" s="126">
        <v>0</v>
      </c>
      <c r="AO29" s="127">
        <v>0</v>
      </c>
      <c r="AP29" s="128">
        <v>0</v>
      </c>
      <c r="AQ29" s="128">
        <f t="shared" si="9"/>
        <v>0</v>
      </c>
      <c r="AR29" s="126">
        <v>0</v>
      </c>
      <c r="AS29" s="127">
        <v>0</v>
      </c>
      <c r="AT29" s="128">
        <v>0</v>
      </c>
      <c r="AU29" s="128">
        <f t="shared" si="10"/>
        <v>0</v>
      </c>
      <c r="AV29" s="126">
        <v>0</v>
      </c>
      <c r="AW29" s="127">
        <v>0</v>
      </c>
      <c r="AX29" s="128">
        <v>0</v>
      </c>
      <c r="AY29" s="128">
        <f t="shared" si="11"/>
        <v>0</v>
      </c>
      <c r="AZ29" s="126">
        <v>0</v>
      </c>
      <c r="BA29" s="127">
        <v>1</v>
      </c>
      <c r="BB29" s="128">
        <v>1</v>
      </c>
      <c r="BC29" s="128">
        <f t="shared" si="12"/>
        <v>0</v>
      </c>
      <c r="BD29" s="126">
        <v>0</v>
      </c>
      <c r="BE29" s="127">
        <v>0</v>
      </c>
      <c r="BF29" s="128">
        <v>0</v>
      </c>
      <c r="BG29" s="128">
        <f t="shared" si="13"/>
        <v>0</v>
      </c>
      <c r="BH29" s="126">
        <v>0</v>
      </c>
      <c r="BI29" s="127">
        <v>0</v>
      </c>
      <c r="BJ29" s="128">
        <v>0</v>
      </c>
      <c r="BK29" s="128">
        <f t="shared" si="14"/>
        <v>0</v>
      </c>
      <c r="BL29" s="126">
        <v>0</v>
      </c>
      <c r="BM29" s="127">
        <v>0</v>
      </c>
      <c r="BN29" s="128">
        <v>0</v>
      </c>
      <c r="BO29" s="128">
        <f t="shared" si="15"/>
        <v>0</v>
      </c>
      <c r="BP29" s="126">
        <v>0</v>
      </c>
      <c r="BQ29" s="127">
        <v>1</v>
      </c>
      <c r="BR29" s="128">
        <v>1</v>
      </c>
      <c r="BS29" s="128">
        <f t="shared" si="16"/>
        <v>0</v>
      </c>
      <c r="BT29" s="126">
        <v>0</v>
      </c>
      <c r="BU29" s="127">
        <f t="shared" si="17"/>
        <v>18</v>
      </c>
      <c r="BV29" s="128">
        <f t="shared" si="18"/>
        <v>4</v>
      </c>
      <c r="BW29" s="128">
        <f t="shared" si="19"/>
        <v>0</v>
      </c>
      <c r="BX29" s="128">
        <f t="shared" si="20"/>
        <v>0.81818181818181823</v>
      </c>
      <c r="BY29" s="128">
        <f t="shared" si="21"/>
        <v>1</v>
      </c>
      <c r="BZ29" s="126">
        <f t="shared" si="22"/>
        <v>0.9</v>
      </c>
    </row>
    <row r="30" spans="1:84" x14ac:dyDescent="0.35">
      <c r="A30" s="128" t="s">
        <v>48</v>
      </c>
      <c r="B30" s="148"/>
      <c r="C30" s="148"/>
      <c r="D30" s="104" t="s">
        <v>72</v>
      </c>
      <c r="E30" s="107">
        <v>2</v>
      </c>
      <c r="F30" s="61">
        <v>2</v>
      </c>
      <c r="G30" s="61">
        <f t="shared" si="0"/>
        <v>0</v>
      </c>
      <c r="H30" s="104">
        <v>0</v>
      </c>
      <c r="I30" s="107">
        <v>2</v>
      </c>
      <c r="J30" s="61">
        <v>0</v>
      </c>
      <c r="K30" s="61">
        <f t="shared" si="35"/>
        <v>2</v>
      </c>
      <c r="L30" s="104">
        <v>0</v>
      </c>
      <c r="M30" s="107">
        <v>2</v>
      </c>
      <c r="N30" s="61">
        <v>0</v>
      </c>
      <c r="O30" s="61">
        <f t="shared" si="36"/>
        <v>2</v>
      </c>
      <c r="P30" s="104">
        <v>0</v>
      </c>
      <c r="Q30" s="107">
        <v>2</v>
      </c>
      <c r="R30" s="61">
        <v>2</v>
      </c>
      <c r="S30" s="61">
        <f t="shared" si="3"/>
        <v>0</v>
      </c>
      <c r="T30" s="104">
        <v>0</v>
      </c>
      <c r="U30" s="107">
        <v>2</v>
      </c>
      <c r="V30" s="61">
        <v>2</v>
      </c>
      <c r="W30" s="61">
        <f t="shared" si="37"/>
        <v>0</v>
      </c>
      <c r="X30" s="104">
        <v>0</v>
      </c>
      <c r="Y30" s="107">
        <v>4</v>
      </c>
      <c r="Z30" s="61">
        <v>4</v>
      </c>
      <c r="AA30" s="61">
        <f t="shared" si="40"/>
        <v>0</v>
      </c>
      <c r="AB30" s="104">
        <v>0</v>
      </c>
      <c r="AC30" s="107">
        <v>2</v>
      </c>
      <c r="AD30" s="61">
        <v>2</v>
      </c>
      <c r="AE30" s="61">
        <v>0</v>
      </c>
      <c r="AF30" s="104">
        <v>0</v>
      </c>
      <c r="AG30" s="107">
        <v>4</v>
      </c>
      <c r="AH30" s="61">
        <v>4</v>
      </c>
      <c r="AI30" s="61">
        <f t="shared" si="7"/>
        <v>0</v>
      </c>
      <c r="AJ30" s="104">
        <v>0</v>
      </c>
      <c r="AK30" s="107">
        <v>0</v>
      </c>
      <c r="AL30" s="61">
        <v>0</v>
      </c>
      <c r="AM30" s="61">
        <f t="shared" si="8"/>
        <v>0</v>
      </c>
      <c r="AN30" s="104">
        <v>0</v>
      </c>
      <c r="AO30" s="107">
        <v>0</v>
      </c>
      <c r="AP30" s="61">
        <v>0</v>
      </c>
      <c r="AQ30" s="61">
        <f t="shared" si="9"/>
        <v>0</v>
      </c>
      <c r="AR30" s="104">
        <v>0</v>
      </c>
      <c r="AS30" s="107">
        <v>0</v>
      </c>
      <c r="AT30" s="61">
        <v>0</v>
      </c>
      <c r="AU30" s="61">
        <f t="shared" si="10"/>
        <v>0</v>
      </c>
      <c r="AV30" s="104">
        <v>0</v>
      </c>
      <c r="AW30" s="107">
        <v>0</v>
      </c>
      <c r="AX30" s="61">
        <v>0</v>
      </c>
      <c r="AY30" s="61">
        <f t="shared" si="11"/>
        <v>0</v>
      </c>
      <c r="AZ30" s="104">
        <v>0</v>
      </c>
      <c r="BA30" s="107">
        <v>1</v>
      </c>
      <c r="BB30" s="61">
        <v>1</v>
      </c>
      <c r="BC30" s="61">
        <f t="shared" si="12"/>
        <v>0</v>
      </c>
      <c r="BD30" s="104">
        <v>0</v>
      </c>
      <c r="BE30" s="107">
        <v>0</v>
      </c>
      <c r="BF30" s="61">
        <v>0</v>
      </c>
      <c r="BG30" s="61">
        <f t="shared" si="13"/>
        <v>0</v>
      </c>
      <c r="BH30" s="104">
        <v>0</v>
      </c>
      <c r="BI30" s="107">
        <v>0</v>
      </c>
      <c r="BJ30" s="61">
        <v>0</v>
      </c>
      <c r="BK30" s="61">
        <f t="shared" si="14"/>
        <v>0</v>
      </c>
      <c r="BL30" s="104">
        <v>0</v>
      </c>
      <c r="BM30" s="107">
        <v>0</v>
      </c>
      <c r="BN30" s="61">
        <v>0</v>
      </c>
      <c r="BO30" s="61">
        <f t="shared" si="15"/>
        <v>0</v>
      </c>
      <c r="BP30" s="104">
        <v>0</v>
      </c>
      <c r="BQ30" s="107">
        <v>1</v>
      </c>
      <c r="BR30" s="61">
        <v>1</v>
      </c>
      <c r="BS30" s="61">
        <f t="shared" si="16"/>
        <v>0</v>
      </c>
      <c r="BT30" s="104">
        <v>0</v>
      </c>
      <c r="BU30" s="107">
        <f t="shared" si="17"/>
        <v>18</v>
      </c>
      <c r="BV30" s="61">
        <f t="shared" si="18"/>
        <v>4</v>
      </c>
      <c r="BW30" s="61">
        <f t="shared" si="19"/>
        <v>0</v>
      </c>
      <c r="BX30" s="61">
        <f t="shared" si="20"/>
        <v>0.81818181818181823</v>
      </c>
      <c r="BY30" s="61">
        <f t="shared" si="21"/>
        <v>1</v>
      </c>
      <c r="BZ30" s="104">
        <f t="shared" si="22"/>
        <v>0.9</v>
      </c>
    </row>
    <row r="31" spans="1:84" x14ac:dyDescent="0.35">
      <c r="A31" s="108" t="s">
        <v>48</v>
      </c>
      <c r="B31" s="148"/>
      <c r="C31" s="148"/>
      <c r="D31" s="112" t="s">
        <v>42</v>
      </c>
      <c r="E31" s="114">
        <v>2</v>
      </c>
      <c r="F31" s="108">
        <v>2</v>
      </c>
      <c r="G31" s="108">
        <f t="shared" si="0"/>
        <v>0</v>
      </c>
      <c r="H31" s="112">
        <v>0</v>
      </c>
      <c r="I31" s="114">
        <v>1</v>
      </c>
      <c r="J31" s="108">
        <v>0</v>
      </c>
      <c r="K31" s="108">
        <f t="shared" si="35"/>
        <v>1</v>
      </c>
      <c r="L31" s="112">
        <v>0</v>
      </c>
      <c r="M31" s="114">
        <v>1</v>
      </c>
      <c r="N31" s="108">
        <v>0</v>
      </c>
      <c r="O31" s="108">
        <f t="shared" si="36"/>
        <v>1</v>
      </c>
      <c r="P31" s="112">
        <v>0</v>
      </c>
      <c r="Q31" s="114">
        <v>1</v>
      </c>
      <c r="R31" s="108">
        <v>1</v>
      </c>
      <c r="S31" s="108">
        <f t="shared" si="3"/>
        <v>0</v>
      </c>
      <c r="T31" s="112">
        <v>0</v>
      </c>
      <c r="U31" s="114">
        <v>1</v>
      </c>
      <c r="V31" s="108">
        <v>1</v>
      </c>
      <c r="W31" s="108">
        <f t="shared" si="37"/>
        <v>0</v>
      </c>
      <c r="X31" s="112">
        <v>0</v>
      </c>
      <c r="Y31" s="114">
        <v>2</v>
      </c>
      <c r="Z31" s="108">
        <v>2</v>
      </c>
      <c r="AA31" s="108">
        <f t="shared" si="40"/>
        <v>0</v>
      </c>
      <c r="AB31" s="112">
        <v>0</v>
      </c>
      <c r="AC31" s="114">
        <v>0</v>
      </c>
      <c r="AD31" s="108">
        <v>0</v>
      </c>
      <c r="AE31" s="108">
        <v>0</v>
      </c>
      <c r="AF31" s="112">
        <v>0</v>
      </c>
      <c r="AG31" s="114">
        <v>2</v>
      </c>
      <c r="AH31" s="108">
        <v>2</v>
      </c>
      <c r="AI31" s="108">
        <f t="shared" si="7"/>
        <v>0</v>
      </c>
      <c r="AJ31" s="112">
        <v>0</v>
      </c>
      <c r="AK31" s="114">
        <v>0</v>
      </c>
      <c r="AL31" s="108">
        <v>0</v>
      </c>
      <c r="AM31" s="108">
        <f t="shared" si="8"/>
        <v>0</v>
      </c>
      <c r="AN31" s="112">
        <v>0</v>
      </c>
      <c r="AO31" s="114">
        <v>0</v>
      </c>
      <c r="AP31" s="108">
        <v>0</v>
      </c>
      <c r="AQ31" s="108">
        <f t="shared" si="9"/>
        <v>0</v>
      </c>
      <c r="AR31" s="112">
        <v>1</v>
      </c>
      <c r="AS31" s="114">
        <v>0</v>
      </c>
      <c r="AT31" s="108">
        <v>0</v>
      </c>
      <c r="AU31" s="108">
        <f t="shared" si="10"/>
        <v>0</v>
      </c>
      <c r="AV31" s="112">
        <v>0</v>
      </c>
      <c r="AW31" s="114">
        <v>0</v>
      </c>
      <c r="AX31" s="108">
        <v>0</v>
      </c>
      <c r="AY31" s="108">
        <f t="shared" si="11"/>
        <v>0</v>
      </c>
      <c r="AZ31" s="112">
        <v>0</v>
      </c>
      <c r="BA31" s="114">
        <v>1</v>
      </c>
      <c r="BB31" s="108">
        <v>1</v>
      </c>
      <c r="BC31" s="108">
        <f t="shared" si="12"/>
        <v>0</v>
      </c>
      <c r="BD31" s="112">
        <v>0</v>
      </c>
      <c r="BE31" s="114">
        <v>0</v>
      </c>
      <c r="BF31" s="108">
        <v>0</v>
      </c>
      <c r="BG31" s="108">
        <f t="shared" si="13"/>
        <v>0</v>
      </c>
      <c r="BH31" s="112">
        <v>0</v>
      </c>
      <c r="BI31" s="114">
        <v>0</v>
      </c>
      <c r="BJ31" s="108">
        <v>0</v>
      </c>
      <c r="BK31" s="108">
        <f t="shared" si="14"/>
        <v>0</v>
      </c>
      <c r="BL31" s="112">
        <v>0</v>
      </c>
      <c r="BM31" s="114">
        <v>0</v>
      </c>
      <c r="BN31" s="108">
        <v>0</v>
      </c>
      <c r="BO31" s="108">
        <f t="shared" si="15"/>
        <v>0</v>
      </c>
      <c r="BP31" s="112">
        <v>0</v>
      </c>
      <c r="BQ31" s="114">
        <v>1</v>
      </c>
      <c r="BR31" s="108">
        <v>0</v>
      </c>
      <c r="BS31" s="108">
        <f t="shared" si="16"/>
        <v>1</v>
      </c>
      <c r="BT31" s="112">
        <v>0</v>
      </c>
      <c r="BU31" s="114">
        <f t="shared" si="17"/>
        <v>9</v>
      </c>
      <c r="BV31" s="108">
        <f t="shared" si="18"/>
        <v>3</v>
      </c>
      <c r="BW31" s="108">
        <f t="shared" si="19"/>
        <v>1</v>
      </c>
      <c r="BX31" s="108">
        <f t="shared" si="20"/>
        <v>0.75</v>
      </c>
      <c r="BY31" s="108">
        <f t="shared" si="21"/>
        <v>0.9</v>
      </c>
      <c r="BZ31" s="112">
        <f t="shared" si="22"/>
        <v>0.81818181818181823</v>
      </c>
    </row>
    <row r="32" spans="1:84" x14ac:dyDescent="0.35">
      <c r="A32" s="108" t="s">
        <v>48</v>
      </c>
      <c r="B32" s="148"/>
      <c r="C32" s="148"/>
      <c r="D32" s="112" t="s">
        <v>73</v>
      </c>
      <c r="E32" s="114">
        <v>2</v>
      </c>
      <c r="F32" s="108">
        <v>2</v>
      </c>
      <c r="G32" s="108">
        <f t="shared" si="0"/>
        <v>0</v>
      </c>
      <c r="H32" s="112">
        <v>0</v>
      </c>
      <c r="I32" s="114">
        <v>1</v>
      </c>
      <c r="J32" s="108">
        <v>1</v>
      </c>
      <c r="K32" s="108">
        <f t="shared" si="35"/>
        <v>0</v>
      </c>
      <c r="L32" s="112">
        <v>0</v>
      </c>
      <c r="M32" s="114">
        <v>1</v>
      </c>
      <c r="N32" s="108">
        <v>0</v>
      </c>
      <c r="O32" s="108">
        <f t="shared" si="36"/>
        <v>1</v>
      </c>
      <c r="P32" s="112">
        <v>0</v>
      </c>
      <c r="Q32" s="114">
        <v>1</v>
      </c>
      <c r="R32" s="108">
        <v>1</v>
      </c>
      <c r="S32" s="108">
        <f t="shared" si="3"/>
        <v>0</v>
      </c>
      <c r="T32" s="112">
        <v>0</v>
      </c>
      <c r="U32" s="114">
        <v>1</v>
      </c>
      <c r="V32" s="108">
        <v>1</v>
      </c>
      <c r="W32" s="108">
        <f t="shared" si="37"/>
        <v>0</v>
      </c>
      <c r="X32" s="112">
        <v>0</v>
      </c>
      <c r="Y32" s="114">
        <v>2</v>
      </c>
      <c r="Z32" s="108">
        <v>2</v>
      </c>
      <c r="AA32" s="108">
        <f t="shared" si="40"/>
        <v>0</v>
      </c>
      <c r="AB32" s="112">
        <v>0</v>
      </c>
      <c r="AC32" s="114">
        <v>0</v>
      </c>
      <c r="AD32" s="108">
        <v>0</v>
      </c>
      <c r="AE32" s="108">
        <v>0</v>
      </c>
      <c r="AF32" s="112">
        <v>0</v>
      </c>
      <c r="AG32" s="114">
        <v>2</v>
      </c>
      <c r="AH32" s="108">
        <v>2</v>
      </c>
      <c r="AI32" s="108">
        <f t="shared" si="7"/>
        <v>0</v>
      </c>
      <c r="AJ32" s="112">
        <v>0</v>
      </c>
      <c r="AK32" s="114">
        <v>0</v>
      </c>
      <c r="AL32" s="108">
        <v>0</v>
      </c>
      <c r="AM32" s="108">
        <f t="shared" si="8"/>
        <v>0</v>
      </c>
      <c r="AN32" s="112">
        <v>0</v>
      </c>
      <c r="AO32" s="114">
        <v>0</v>
      </c>
      <c r="AP32" s="108">
        <v>0</v>
      </c>
      <c r="AQ32" s="108">
        <f t="shared" si="9"/>
        <v>0</v>
      </c>
      <c r="AR32" s="112">
        <v>0</v>
      </c>
      <c r="AS32" s="114">
        <v>0</v>
      </c>
      <c r="AT32" s="108">
        <v>0</v>
      </c>
      <c r="AU32" s="108">
        <f t="shared" si="10"/>
        <v>0</v>
      </c>
      <c r="AV32" s="112">
        <v>0</v>
      </c>
      <c r="AW32" s="114">
        <v>0</v>
      </c>
      <c r="AX32" s="108">
        <v>0</v>
      </c>
      <c r="AY32" s="108">
        <f t="shared" si="11"/>
        <v>0</v>
      </c>
      <c r="AZ32" s="112">
        <v>0</v>
      </c>
      <c r="BA32" s="114">
        <v>1</v>
      </c>
      <c r="BB32" s="108">
        <v>1</v>
      </c>
      <c r="BC32" s="108">
        <f t="shared" si="12"/>
        <v>0</v>
      </c>
      <c r="BD32" s="112">
        <v>0</v>
      </c>
      <c r="BE32" s="114">
        <v>0</v>
      </c>
      <c r="BF32" s="108">
        <v>0</v>
      </c>
      <c r="BG32" s="108">
        <f t="shared" si="13"/>
        <v>0</v>
      </c>
      <c r="BH32" s="112">
        <v>0</v>
      </c>
      <c r="BI32" s="114">
        <v>0</v>
      </c>
      <c r="BJ32" s="108">
        <v>0</v>
      </c>
      <c r="BK32" s="108">
        <f t="shared" si="14"/>
        <v>0</v>
      </c>
      <c r="BL32" s="112">
        <v>0</v>
      </c>
      <c r="BM32" s="114">
        <v>0</v>
      </c>
      <c r="BN32" s="108">
        <v>0</v>
      </c>
      <c r="BO32" s="108">
        <f t="shared" si="15"/>
        <v>0</v>
      </c>
      <c r="BP32" s="112">
        <v>0</v>
      </c>
      <c r="BQ32" s="114">
        <v>1</v>
      </c>
      <c r="BR32" s="108">
        <v>1</v>
      </c>
      <c r="BS32" s="108">
        <f t="shared" si="16"/>
        <v>0</v>
      </c>
      <c r="BT32" s="112">
        <v>0</v>
      </c>
      <c r="BU32" s="114">
        <f t="shared" si="17"/>
        <v>11</v>
      </c>
      <c r="BV32" s="108">
        <f t="shared" si="18"/>
        <v>1</v>
      </c>
      <c r="BW32" s="108">
        <f t="shared" si="19"/>
        <v>0</v>
      </c>
      <c r="BX32" s="108">
        <f t="shared" si="20"/>
        <v>0.91666666666666663</v>
      </c>
      <c r="BY32" s="108">
        <f t="shared" si="21"/>
        <v>1</v>
      </c>
      <c r="BZ32" s="112">
        <f t="shared" si="22"/>
        <v>0.95652173913043481</v>
      </c>
    </row>
    <row r="33" spans="1:78" x14ac:dyDescent="0.35">
      <c r="A33" s="109" t="s">
        <v>48</v>
      </c>
      <c r="B33" s="148"/>
      <c r="C33" s="148"/>
      <c r="D33" s="113" t="s">
        <v>43</v>
      </c>
      <c r="E33" s="115">
        <v>1</v>
      </c>
      <c r="F33" s="109">
        <v>1</v>
      </c>
      <c r="G33" s="109">
        <f t="shared" si="0"/>
        <v>0</v>
      </c>
      <c r="H33" s="113">
        <v>0</v>
      </c>
      <c r="I33" s="115">
        <v>1</v>
      </c>
      <c r="J33" s="109">
        <v>1</v>
      </c>
      <c r="K33" s="109">
        <f t="shared" si="35"/>
        <v>0</v>
      </c>
      <c r="L33" s="113">
        <v>0</v>
      </c>
      <c r="M33" s="115">
        <v>0</v>
      </c>
      <c r="N33" s="109">
        <v>0</v>
      </c>
      <c r="O33" s="109">
        <f t="shared" si="36"/>
        <v>0</v>
      </c>
      <c r="P33" s="113">
        <v>0</v>
      </c>
      <c r="Q33" s="115">
        <v>5</v>
      </c>
      <c r="R33" s="109">
        <v>5</v>
      </c>
      <c r="S33" s="109">
        <f t="shared" si="3"/>
        <v>0</v>
      </c>
      <c r="T33" s="113">
        <v>0</v>
      </c>
      <c r="U33" s="115">
        <v>5</v>
      </c>
      <c r="V33" s="109">
        <v>5</v>
      </c>
      <c r="W33" s="109">
        <f t="shared" si="37"/>
        <v>0</v>
      </c>
      <c r="X33" s="113">
        <v>0</v>
      </c>
      <c r="Y33" s="115">
        <v>0</v>
      </c>
      <c r="Z33" s="109">
        <v>0</v>
      </c>
      <c r="AA33" s="109">
        <f t="shared" si="40"/>
        <v>0</v>
      </c>
      <c r="AB33" s="113">
        <v>0</v>
      </c>
      <c r="AC33" s="115">
        <v>0</v>
      </c>
      <c r="AD33" s="109">
        <v>0</v>
      </c>
      <c r="AE33" s="109">
        <v>0</v>
      </c>
      <c r="AF33" s="113">
        <v>0</v>
      </c>
      <c r="AG33" s="115">
        <v>0</v>
      </c>
      <c r="AH33" s="109">
        <v>0</v>
      </c>
      <c r="AI33" s="109">
        <f t="shared" si="7"/>
        <v>0</v>
      </c>
      <c r="AJ33" s="113">
        <v>0</v>
      </c>
      <c r="AK33" s="115">
        <v>0</v>
      </c>
      <c r="AL33" s="109">
        <v>0</v>
      </c>
      <c r="AM33" s="109">
        <f t="shared" si="8"/>
        <v>0</v>
      </c>
      <c r="AN33" s="113">
        <v>0</v>
      </c>
      <c r="AO33" s="115">
        <v>0</v>
      </c>
      <c r="AP33" s="109">
        <v>0</v>
      </c>
      <c r="AQ33" s="109">
        <f t="shared" si="9"/>
        <v>0</v>
      </c>
      <c r="AR33" s="113">
        <v>0</v>
      </c>
      <c r="AS33" s="115">
        <v>0</v>
      </c>
      <c r="AT33" s="109">
        <v>0</v>
      </c>
      <c r="AU33" s="109">
        <f t="shared" si="10"/>
        <v>0</v>
      </c>
      <c r="AV33" s="113">
        <v>0</v>
      </c>
      <c r="AW33" s="115">
        <v>0</v>
      </c>
      <c r="AX33" s="109">
        <v>0</v>
      </c>
      <c r="AY33" s="109">
        <f t="shared" si="11"/>
        <v>0</v>
      </c>
      <c r="AZ33" s="113">
        <v>0</v>
      </c>
      <c r="BA33" s="115">
        <v>0</v>
      </c>
      <c r="BB33" s="109">
        <v>0</v>
      </c>
      <c r="BC33" s="109">
        <f t="shared" si="12"/>
        <v>0</v>
      </c>
      <c r="BD33" s="113">
        <v>0</v>
      </c>
      <c r="BE33" s="115">
        <v>0</v>
      </c>
      <c r="BF33" s="109">
        <v>0</v>
      </c>
      <c r="BG33" s="109">
        <f t="shared" si="13"/>
        <v>0</v>
      </c>
      <c r="BH33" s="113">
        <v>0</v>
      </c>
      <c r="BI33" s="115">
        <v>0</v>
      </c>
      <c r="BJ33" s="109">
        <v>0</v>
      </c>
      <c r="BK33" s="109">
        <f t="shared" si="14"/>
        <v>0</v>
      </c>
      <c r="BL33" s="113">
        <v>0</v>
      </c>
      <c r="BM33" s="115">
        <v>0</v>
      </c>
      <c r="BN33" s="109">
        <v>0</v>
      </c>
      <c r="BO33" s="109">
        <f t="shared" si="15"/>
        <v>0</v>
      </c>
      <c r="BP33" s="113">
        <v>0</v>
      </c>
      <c r="BQ33" s="115">
        <v>0</v>
      </c>
      <c r="BR33" s="109">
        <v>0</v>
      </c>
      <c r="BS33" s="109">
        <f t="shared" si="16"/>
        <v>0</v>
      </c>
      <c r="BT33" s="113">
        <v>0</v>
      </c>
      <c r="BU33" s="115">
        <f t="shared" si="17"/>
        <v>12</v>
      </c>
      <c r="BV33" s="109">
        <f t="shared" si="18"/>
        <v>0</v>
      </c>
      <c r="BW33" s="109">
        <f t="shared" si="19"/>
        <v>0</v>
      </c>
      <c r="BX33" s="109">
        <f t="shared" si="20"/>
        <v>1</v>
      </c>
      <c r="BY33" s="109">
        <f t="shared" si="21"/>
        <v>1</v>
      </c>
      <c r="BZ33" s="113">
        <f t="shared" si="22"/>
        <v>1</v>
      </c>
    </row>
    <row r="34" spans="1:78" ht="15" thickBot="1" x14ac:dyDescent="0.4">
      <c r="A34" s="109" t="s">
        <v>48</v>
      </c>
      <c r="B34" s="148"/>
      <c r="C34" s="148"/>
      <c r="D34" s="113" t="s">
        <v>74</v>
      </c>
      <c r="E34" s="130">
        <v>1</v>
      </c>
      <c r="F34" s="131">
        <v>1</v>
      </c>
      <c r="G34" s="131">
        <f t="shared" si="0"/>
        <v>0</v>
      </c>
      <c r="H34" s="129">
        <v>0</v>
      </c>
      <c r="I34" s="130">
        <v>1</v>
      </c>
      <c r="J34" s="131">
        <v>0</v>
      </c>
      <c r="K34" s="131">
        <f t="shared" si="35"/>
        <v>1</v>
      </c>
      <c r="L34" s="129">
        <v>0</v>
      </c>
      <c r="M34" s="130">
        <v>0</v>
      </c>
      <c r="N34" s="131">
        <v>0</v>
      </c>
      <c r="O34" s="131">
        <f t="shared" si="36"/>
        <v>0</v>
      </c>
      <c r="P34" s="129">
        <v>0</v>
      </c>
      <c r="Q34" s="130">
        <v>5</v>
      </c>
      <c r="R34" s="131">
        <v>5</v>
      </c>
      <c r="S34" s="131">
        <f t="shared" si="3"/>
        <v>0</v>
      </c>
      <c r="T34" s="129">
        <v>0</v>
      </c>
      <c r="U34" s="130">
        <v>5</v>
      </c>
      <c r="V34" s="131">
        <v>5</v>
      </c>
      <c r="W34" s="131">
        <f t="shared" si="37"/>
        <v>0</v>
      </c>
      <c r="X34" s="129">
        <v>0</v>
      </c>
      <c r="Y34" s="130">
        <v>0</v>
      </c>
      <c r="Z34" s="131">
        <v>0</v>
      </c>
      <c r="AA34" s="131">
        <f t="shared" si="40"/>
        <v>0</v>
      </c>
      <c r="AB34" s="129">
        <v>0</v>
      </c>
      <c r="AC34" s="130">
        <v>0</v>
      </c>
      <c r="AD34" s="131">
        <v>0</v>
      </c>
      <c r="AE34" s="131">
        <v>0</v>
      </c>
      <c r="AF34" s="129">
        <v>0</v>
      </c>
      <c r="AG34" s="130">
        <v>0</v>
      </c>
      <c r="AH34" s="131">
        <v>0</v>
      </c>
      <c r="AI34" s="131">
        <f t="shared" si="7"/>
        <v>0</v>
      </c>
      <c r="AJ34" s="129">
        <v>0</v>
      </c>
      <c r="AK34" s="130">
        <v>0</v>
      </c>
      <c r="AL34" s="131">
        <v>0</v>
      </c>
      <c r="AM34" s="131">
        <f t="shared" si="8"/>
        <v>0</v>
      </c>
      <c r="AN34" s="129">
        <v>0</v>
      </c>
      <c r="AO34" s="130">
        <v>0</v>
      </c>
      <c r="AP34" s="131">
        <v>0</v>
      </c>
      <c r="AQ34" s="131">
        <f t="shared" si="9"/>
        <v>0</v>
      </c>
      <c r="AR34" s="129">
        <v>0</v>
      </c>
      <c r="AS34" s="130">
        <v>0</v>
      </c>
      <c r="AT34" s="131">
        <v>0</v>
      </c>
      <c r="AU34" s="131">
        <f t="shared" si="10"/>
        <v>0</v>
      </c>
      <c r="AV34" s="129">
        <v>0</v>
      </c>
      <c r="AW34" s="130">
        <v>0</v>
      </c>
      <c r="AX34" s="131">
        <v>0</v>
      </c>
      <c r="AY34" s="131">
        <f t="shared" si="11"/>
        <v>0</v>
      </c>
      <c r="AZ34" s="129">
        <v>0</v>
      </c>
      <c r="BA34" s="130">
        <v>0</v>
      </c>
      <c r="BB34" s="131">
        <v>0</v>
      </c>
      <c r="BC34" s="131">
        <f t="shared" si="12"/>
        <v>0</v>
      </c>
      <c r="BD34" s="129">
        <v>0</v>
      </c>
      <c r="BE34" s="130">
        <v>0</v>
      </c>
      <c r="BF34" s="131">
        <v>0</v>
      </c>
      <c r="BG34" s="131">
        <f t="shared" si="13"/>
        <v>0</v>
      </c>
      <c r="BH34" s="129">
        <v>0</v>
      </c>
      <c r="BI34" s="132">
        <v>0</v>
      </c>
      <c r="BJ34" s="131">
        <v>0</v>
      </c>
      <c r="BK34" s="131">
        <f t="shared" si="14"/>
        <v>0</v>
      </c>
      <c r="BL34" s="129">
        <v>0</v>
      </c>
      <c r="BM34" s="130">
        <v>0</v>
      </c>
      <c r="BN34" s="131">
        <v>0</v>
      </c>
      <c r="BO34" s="131">
        <f t="shared" si="15"/>
        <v>0</v>
      </c>
      <c r="BP34" s="129">
        <v>0</v>
      </c>
      <c r="BQ34" s="130">
        <v>0</v>
      </c>
      <c r="BR34" s="131">
        <v>0</v>
      </c>
      <c r="BS34" s="131">
        <f t="shared" si="16"/>
        <v>0</v>
      </c>
      <c r="BT34" s="129">
        <v>0</v>
      </c>
      <c r="BU34" s="130">
        <f t="shared" si="17"/>
        <v>11</v>
      </c>
      <c r="BV34" s="131">
        <f t="shared" si="18"/>
        <v>1</v>
      </c>
      <c r="BW34" s="131">
        <f t="shared" si="19"/>
        <v>0</v>
      </c>
      <c r="BX34" s="131">
        <f t="shared" si="20"/>
        <v>0.91666666666666663</v>
      </c>
      <c r="BY34" s="131">
        <f t="shared" si="21"/>
        <v>1</v>
      </c>
      <c r="BZ34" s="129">
        <f t="shared" si="22"/>
        <v>0.95652173913043481</v>
      </c>
    </row>
    <row r="35" spans="1:78" ht="15" thickTop="1" x14ac:dyDescent="0.35">
      <c r="D35" s="5" t="s">
        <v>111</v>
      </c>
      <c r="E35" s="48">
        <f>SUM(E3:E34)</f>
        <v>68</v>
      </c>
      <c r="F35" s="48">
        <f t="shared" ref="F35:BQ35" si="44">SUM(F3:F34)</f>
        <v>68</v>
      </c>
      <c r="G35" s="48">
        <f t="shared" si="44"/>
        <v>0</v>
      </c>
      <c r="H35" s="48">
        <f t="shared" si="44"/>
        <v>0</v>
      </c>
      <c r="I35" s="48">
        <f t="shared" si="44"/>
        <v>46</v>
      </c>
      <c r="J35" s="48">
        <f t="shared" si="44"/>
        <v>25</v>
      </c>
      <c r="K35" s="48">
        <f t="shared" si="44"/>
        <v>21</v>
      </c>
      <c r="L35" s="48">
        <f t="shared" si="44"/>
        <v>0</v>
      </c>
      <c r="M35" s="48">
        <f t="shared" si="44"/>
        <v>38</v>
      </c>
      <c r="N35" s="48">
        <f t="shared" si="44"/>
        <v>14</v>
      </c>
      <c r="O35" s="48">
        <f t="shared" si="44"/>
        <v>24</v>
      </c>
      <c r="P35" s="48">
        <f t="shared" si="44"/>
        <v>2</v>
      </c>
      <c r="Q35" s="48">
        <f t="shared" si="44"/>
        <v>48</v>
      </c>
      <c r="R35" s="48">
        <f t="shared" si="44"/>
        <v>48</v>
      </c>
      <c r="S35" s="48">
        <f t="shared" si="44"/>
        <v>0</v>
      </c>
      <c r="T35" s="48">
        <f t="shared" si="44"/>
        <v>13</v>
      </c>
      <c r="U35" s="48">
        <f t="shared" si="44"/>
        <v>48</v>
      </c>
      <c r="V35" s="48">
        <f t="shared" si="44"/>
        <v>48</v>
      </c>
      <c r="W35" s="48">
        <f t="shared" si="44"/>
        <v>0</v>
      </c>
      <c r="X35" s="48">
        <f t="shared" si="44"/>
        <v>0</v>
      </c>
      <c r="Y35" s="48">
        <f t="shared" si="44"/>
        <v>72</v>
      </c>
      <c r="Z35" s="48">
        <f t="shared" si="44"/>
        <v>72</v>
      </c>
      <c r="AA35" s="48">
        <f t="shared" si="44"/>
        <v>0</v>
      </c>
      <c r="AB35" s="48">
        <f t="shared" si="44"/>
        <v>2</v>
      </c>
      <c r="AC35" s="48">
        <f t="shared" si="44"/>
        <v>20</v>
      </c>
      <c r="AD35" s="48">
        <f>SUM(AD3:AD34)</f>
        <v>17</v>
      </c>
      <c r="AE35" s="48">
        <f t="shared" si="44"/>
        <v>3</v>
      </c>
      <c r="AF35" s="48">
        <f t="shared" si="44"/>
        <v>3</v>
      </c>
      <c r="AG35" s="48">
        <f t="shared" si="44"/>
        <v>72</v>
      </c>
      <c r="AH35" s="48">
        <f t="shared" si="44"/>
        <v>72</v>
      </c>
      <c r="AI35" s="48">
        <f t="shared" si="44"/>
        <v>0</v>
      </c>
      <c r="AJ35" s="48">
        <f t="shared" si="44"/>
        <v>0</v>
      </c>
      <c r="AK35" s="48">
        <f t="shared" si="44"/>
        <v>16</v>
      </c>
      <c r="AL35" s="48">
        <f t="shared" si="44"/>
        <v>16</v>
      </c>
      <c r="AM35" s="48">
        <f t="shared" si="44"/>
        <v>0</v>
      </c>
      <c r="AN35" s="48">
        <f t="shared" si="44"/>
        <v>2</v>
      </c>
      <c r="AO35" s="48">
        <f t="shared" si="44"/>
        <v>2</v>
      </c>
      <c r="AP35" s="48">
        <f t="shared" si="44"/>
        <v>0</v>
      </c>
      <c r="AQ35" s="48">
        <f t="shared" si="44"/>
        <v>2</v>
      </c>
      <c r="AR35" s="48">
        <f t="shared" si="44"/>
        <v>4</v>
      </c>
      <c r="AS35" s="48">
        <f t="shared" si="44"/>
        <v>4</v>
      </c>
      <c r="AT35" s="48">
        <f t="shared" si="44"/>
        <v>3</v>
      </c>
      <c r="AU35" s="48">
        <f t="shared" si="44"/>
        <v>1</v>
      </c>
      <c r="AV35" s="48">
        <f t="shared" si="44"/>
        <v>9</v>
      </c>
      <c r="AW35" s="48">
        <f t="shared" si="44"/>
        <v>8</v>
      </c>
      <c r="AX35" s="48">
        <f t="shared" si="44"/>
        <v>3</v>
      </c>
      <c r="AY35" s="48">
        <f t="shared" si="44"/>
        <v>5</v>
      </c>
      <c r="AZ35" s="48">
        <f t="shared" si="44"/>
        <v>5</v>
      </c>
      <c r="BA35" s="48">
        <f t="shared" si="44"/>
        <v>36</v>
      </c>
      <c r="BB35" s="48">
        <f t="shared" si="44"/>
        <v>25</v>
      </c>
      <c r="BC35" s="48">
        <f t="shared" si="44"/>
        <v>11</v>
      </c>
      <c r="BD35" s="48">
        <f t="shared" si="44"/>
        <v>14</v>
      </c>
      <c r="BE35" s="48">
        <f t="shared" si="44"/>
        <v>8</v>
      </c>
      <c r="BF35" s="48">
        <f t="shared" si="44"/>
        <v>3</v>
      </c>
      <c r="BG35" s="48">
        <f t="shared" si="44"/>
        <v>5</v>
      </c>
      <c r="BH35" s="48">
        <f t="shared" si="44"/>
        <v>0</v>
      </c>
      <c r="BI35" s="48">
        <f t="shared" si="44"/>
        <v>2</v>
      </c>
      <c r="BJ35" s="48">
        <f t="shared" si="44"/>
        <v>2</v>
      </c>
      <c r="BK35" s="48">
        <f t="shared" si="44"/>
        <v>0</v>
      </c>
      <c r="BL35" s="48">
        <f t="shared" si="44"/>
        <v>0</v>
      </c>
      <c r="BM35" s="48">
        <f t="shared" si="44"/>
        <v>0</v>
      </c>
      <c r="BN35" s="48">
        <f t="shared" si="44"/>
        <v>0</v>
      </c>
      <c r="BO35" s="48">
        <f t="shared" si="44"/>
        <v>0</v>
      </c>
      <c r="BP35" s="48">
        <f t="shared" si="44"/>
        <v>13</v>
      </c>
      <c r="BQ35" s="48">
        <f t="shared" si="44"/>
        <v>6</v>
      </c>
      <c r="BR35" s="48">
        <f t="shared" ref="BR35:BT35" si="45">SUM(BR3:BR34)</f>
        <v>3</v>
      </c>
      <c r="BS35" s="48">
        <f t="shared" si="45"/>
        <v>3</v>
      </c>
      <c r="BT35" s="48">
        <f t="shared" si="45"/>
        <v>0</v>
      </c>
    </row>
    <row r="37" spans="1:78" x14ac:dyDescent="0.35">
      <c r="D37" s="134" t="s">
        <v>23</v>
      </c>
      <c r="E37" s="143">
        <f>IFERROR(F35/(F35+G35),"")</f>
        <v>1</v>
      </c>
      <c r="F37" s="144"/>
      <c r="G37" s="144"/>
      <c r="H37" s="145"/>
      <c r="I37" s="143">
        <f t="shared" ref="I37" si="46">IFERROR(J35/(J35+K35),"")</f>
        <v>0.54347826086956519</v>
      </c>
      <c r="J37" s="144"/>
      <c r="K37" s="144"/>
      <c r="L37" s="145"/>
      <c r="M37" s="143">
        <f t="shared" ref="M37" si="47">IFERROR(N35/(N35+O35),"")</f>
        <v>0.36842105263157893</v>
      </c>
      <c r="N37" s="144"/>
      <c r="O37" s="144"/>
      <c r="P37" s="145"/>
      <c r="Q37" s="143">
        <f t="shared" ref="Q37" si="48">IFERROR(R35/(R35+S35),"")</f>
        <v>1</v>
      </c>
      <c r="R37" s="144"/>
      <c r="S37" s="144"/>
      <c r="T37" s="145"/>
      <c r="U37" s="143">
        <f t="shared" ref="U37" si="49">IFERROR(V35/(V35+W35),"")</f>
        <v>1</v>
      </c>
      <c r="V37" s="144"/>
      <c r="W37" s="144"/>
      <c r="X37" s="145"/>
      <c r="Y37" s="143">
        <f t="shared" ref="Y37" si="50">IFERROR(Z35/(Z35+AA35),"")</f>
        <v>1</v>
      </c>
      <c r="Z37" s="144"/>
      <c r="AA37" s="144"/>
      <c r="AB37" s="145"/>
      <c r="AC37" s="143">
        <f t="shared" ref="AC37" si="51">IFERROR(AD35/(AD35+AE35),"")</f>
        <v>0.85</v>
      </c>
      <c r="AD37" s="144"/>
      <c r="AE37" s="144"/>
      <c r="AF37" s="145"/>
      <c r="AG37" s="143">
        <f t="shared" ref="AG37" si="52">IFERROR(AH35/(AH35+AI35),"")</f>
        <v>1</v>
      </c>
      <c r="AH37" s="144"/>
      <c r="AI37" s="144"/>
      <c r="AJ37" s="145"/>
      <c r="AK37" s="143">
        <f t="shared" ref="AK37" si="53">IFERROR(AL35/(AL35+AM35),"")</f>
        <v>1</v>
      </c>
      <c r="AL37" s="144"/>
      <c r="AM37" s="144"/>
      <c r="AN37" s="145"/>
      <c r="AO37" s="143">
        <f t="shared" ref="AO37" si="54">IFERROR(AP35/(AP35+AQ35),"")</f>
        <v>0</v>
      </c>
      <c r="AP37" s="144"/>
      <c r="AQ37" s="144"/>
      <c r="AR37" s="145"/>
      <c r="AS37" s="143">
        <f t="shared" ref="AS37" si="55">IFERROR(AT35/(AT35+AU35),"")</f>
        <v>0.75</v>
      </c>
      <c r="AT37" s="144"/>
      <c r="AU37" s="144"/>
      <c r="AV37" s="145"/>
      <c r="AW37" s="143">
        <f t="shared" ref="AW37" si="56">IFERROR(AX35/(AX35+AY35),"")</f>
        <v>0.375</v>
      </c>
      <c r="AX37" s="144"/>
      <c r="AY37" s="144"/>
      <c r="AZ37" s="145"/>
      <c r="BA37" s="143">
        <f t="shared" ref="BA37" si="57">IFERROR(BB35/(BB35+BC35),"")</f>
        <v>0.69444444444444442</v>
      </c>
      <c r="BB37" s="144"/>
      <c r="BC37" s="144"/>
      <c r="BD37" s="145"/>
      <c r="BE37" s="143">
        <f t="shared" ref="BE37" si="58">IFERROR(BF35/(BF35+BG35),"")</f>
        <v>0.375</v>
      </c>
      <c r="BF37" s="144"/>
      <c r="BG37" s="144"/>
      <c r="BH37" s="145"/>
      <c r="BI37" s="143">
        <f t="shared" ref="BI37" si="59">IFERROR(BJ35/(BJ35+BK35),"")</f>
        <v>1</v>
      </c>
      <c r="BJ37" s="144"/>
      <c r="BK37" s="144"/>
      <c r="BL37" s="145"/>
      <c r="BM37" s="143" t="str">
        <f t="shared" ref="BM37" si="60">IFERROR(BN35/(BN35+BO35),"")</f>
        <v/>
      </c>
      <c r="BN37" s="144"/>
      <c r="BO37" s="144"/>
      <c r="BP37" s="145"/>
      <c r="BQ37" s="143">
        <f t="shared" ref="BQ37" si="61">IFERROR(BR35/(BR35+BS35),"")</f>
        <v>0.5</v>
      </c>
      <c r="BR37" s="144"/>
      <c r="BS37" s="144"/>
      <c r="BT37" s="145"/>
    </row>
    <row r="38" spans="1:78" x14ac:dyDescent="0.35">
      <c r="D38" s="134" t="s">
        <v>141</v>
      </c>
      <c r="E38" s="143">
        <f>IFERROR(F35/(F35+H35),"")</f>
        <v>1</v>
      </c>
      <c r="F38" s="144"/>
      <c r="G38" s="144"/>
      <c r="H38" s="145"/>
      <c r="I38" s="143">
        <f t="shared" ref="I38" si="62">IFERROR(J35/(J35+L35),"")</f>
        <v>1</v>
      </c>
      <c r="J38" s="144"/>
      <c r="K38" s="144"/>
      <c r="L38" s="145"/>
      <c r="M38" s="143">
        <f t="shared" ref="M38" si="63">IFERROR(N35/(N35+P35),"")</f>
        <v>0.875</v>
      </c>
      <c r="N38" s="144"/>
      <c r="O38" s="144"/>
      <c r="P38" s="145"/>
      <c r="Q38" s="143">
        <f t="shared" ref="Q38" si="64">IFERROR(R35/(R35+T35),"")</f>
        <v>0.78688524590163933</v>
      </c>
      <c r="R38" s="144"/>
      <c r="S38" s="144"/>
      <c r="T38" s="145"/>
      <c r="U38" s="143">
        <f t="shared" ref="U38" si="65">IFERROR(V35/(V35+X35),"")</f>
        <v>1</v>
      </c>
      <c r="V38" s="144"/>
      <c r="W38" s="144"/>
      <c r="X38" s="145"/>
      <c r="Y38" s="143">
        <f t="shared" ref="Y38" si="66">IFERROR(Z35/(Z35+AB35),"")</f>
        <v>0.97297297297297303</v>
      </c>
      <c r="Z38" s="144"/>
      <c r="AA38" s="144"/>
      <c r="AB38" s="145"/>
      <c r="AC38" s="143">
        <f t="shared" ref="AC38" si="67">IFERROR(AD35/(AD35+AF35),"")</f>
        <v>0.85</v>
      </c>
      <c r="AD38" s="144"/>
      <c r="AE38" s="144"/>
      <c r="AF38" s="145"/>
      <c r="AG38" s="143">
        <f t="shared" ref="AG38" si="68">IFERROR(AH35/(AH35+AJ35),"")</f>
        <v>1</v>
      </c>
      <c r="AH38" s="144"/>
      <c r="AI38" s="144"/>
      <c r="AJ38" s="145"/>
      <c r="AK38" s="143">
        <f t="shared" ref="AK38" si="69">IFERROR(AL35/(AL35+AN35),"")</f>
        <v>0.88888888888888884</v>
      </c>
      <c r="AL38" s="144"/>
      <c r="AM38" s="144"/>
      <c r="AN38" s="145"/>
      <c r="AO38" s="143">
        <f t="shared" ref="AO38" si="70">IFERROR(AP35/(AP35+AR35),"")</f>
        <v>0</v>
      </c>
      <c r="AP38" s="144"/>
      <c r="AQ38" s="144"/>
      <c r="AR38" s="145"/>
      <c r="AS38" s="143">
        <f t="shared" ref="AS38" si="71">IFERROR(AT35/(AT35+AV35),"")</f>
        <v>0.25</v>
      </c>
      <c r="AT38" s="144"/>
      <c r="AU38" s="144"/>
      <c r="AV38" s="145"/>
      <c r="AW38" s="143">
        <f t="shared" ref="AW38" si="72">IFERROR(AX35/(AX35+AZ35),"")</f>
        <v>0.375</v>
      </c>
      <c r="AX38" s="144"/>
      <c r="AY38" s="144"/>
      <c r="AZ38" s="145"/>
      <c r="BA38" s="143">
        <f t="shared" ref="BA38" si="73">IFERROR(BB35/(BB35+BD35),"")</f>
        <v>0.64102564102564108</v>
      </c>
      <c r="BB38" s="144"/>
      <c r="BC38" s="144"/>
      <c r="BD38" s="145"/>
      <c r="BE38" s="143">
        <f t="shared" ref="BE38" si="74">IFERROR(BF35/(BF35+BH35),"")</f>
        <v>1</v>
      </c>
      <c r="BF38" s="144"/>
      <c r="BG38" s="144"/>
      <c r="BH38" s="145"/>
      <c r="BI38" s="143">
        <f t="shared" ref="BI38" si="75">IFERROR(BJ35/(BJ35+BL35),"")</f>
        <v>1</v>
      </c>
      <c r="BJ38" s="144"/>
      <c r="BK38" s="144"/>
      <c r="BL38" s="145"/>
      <c r="BM38" s="143">
        <f t="shared" ref="BM38" si="76">IFERROR(BN35/(BN35+BP35),"")</f>
        <v>0</v>
      </c>
      <c r="BN38" s="144"/>
      <c r="BO38" s="144"/>
      <c r="BP38" s="145"/>
      <c r="BQ38" s="143">
        <f t="shared" ref="BQ38" si="77">IFERROR(BR35/(BR35+BT35),"")</f>
        <v>1</v>
      </c>
      <c r="BR38" s="144"/>
      <c r="BS38" s="144"/>
      <c r="BT38" s="145"/>
    </row>
    <row r="39" spans="1:78" x14ac:dyDescent="0.35">
      <c r="D39" s="134" t="s">
        <v>24</v>
      </c>
      <c r="E39" s="143">
        <f>IFERROR(2*E37*E38/(E37+E38),IF(AND(E37=0,E38=0),0,""))</f>
        <v>1</v>
      </c>
      <c r="F39" s="144"/>
      <c r="G39" s="144"/>
      <c r="H39" s="145"/>
      <c r="I39" s="143">
        <f t="shared" ref="I39" si="78">IFERROR(2*I37*I38/(I37+I38),IF(AND(I37=0,I38=0),0,""))</f>
        <v>0.70422535211267601</v>
      </c>
      <c r="J39" s="144"/>
      <c r="K39" s="144"/>
      <c r="L39" s="145"/>
      <c r="M39" s="143">
        <f t="shared" ref="M39" si="79">IFERROR(2*M37*M38/(M37+M38),IF(AND(M37=0,M38=0),0,""))</f>
        <v>0.51851851851851849</v>
      </c>
      <c r="N39" s="144"/>
      <c r="O39" s="144"/>
      <c r="P39" s="145"/>
      <c r="Q39" s="143">
        <f t="shared" ref="Q39" si="80">IFERROR(2*Q37*Q38/(Q37+Q38),IF(AND(Q37=0,Q38=0),0,""))</f>
        <v>0.88073394495412838</v>
      </c>
      <c r="R39" s="144"/>
      <c r="S39" s="144"/>
      <c r="T39" s="145"/>
      <c r="U39" s="143">
        <f t="shared" ref="U39" si="81">IFERROR(2*U37*U38/(U37+U38),IF(AND(U37=0,U38=0),0,""))</f>
        <v>1</v>
      </c>
      <c r="V39" s="144"/>
      <c r="W39" s="144"/>
      <c r="X39" s="145"/>
      <c r="Y39" s="143">
        <f t="shared" ref="Y39" si="82">IFERROR(2*Y37*Y38/(Y37+Y38),IF(AND(Y37=0,Y38=0),0,""))</f>
        <v>0.98630136986301375</v>
      </c>
      <c r="Z39" s="144"/>
      <c r="AA39" s="144"/>
      <c r="AB39" s="145"/>
      <c r="AC39" s="143">
        <f t="shared" ref="AC39" si="83">IFERROR(2*AC37*AC38/(AC37+AC38),IF(AND(AC37=0,AC38=0),0,""))</f>
        <v>0.85</v>
      </c>
      <c r="AD39" s="144"/>
      <c r="AE39" s="144"/>
      <c r="AF39" s="145"/>
      <c r="AG39" s="143">
        <f t="shared" ref="AG39" si="84">IFERROR(2*AG37*AG38/(AG37+AG38),IF(AND(AG37=0,AG38=0),0,""))</f>
        <v>1</v>
      </c>
      <c r="AH39" s="144"/>
      <c r="AI39" s="144"/>
      <c r="AJ39" s="145"/>
      <c r="AK39" s="143">
        <f t="shared" ref="AK39" si="85">IFERROR(2*AK37*AK38/(AK37+AK38),IF(AND(AK37=0,AK38=0),0,""))</f>
        <v>0.94117647058823528</v>
      </c>
      <c r="AL39" s="144"/>
      <c r="AM39" s="144"/>
      <c r="AN39" s="145"/>
      <c r="AO39" s="143">
        <f t="shared" ref="AO39" si="86">IFERROR(2*AO37*AO38/(AO37+AO38),IF(AND(AO37=0,AO38=0),0,""))</f>
        <v>0</v>
      </c>
      <c r="AP39" s="144"/>
      <c r="AQ39" s="144"/>
      <c r="AR39" s="145"/>
      <c r="AS39" s="143">
        <f t="shared" ref="AS39" si="87">IFERROR(2*AS37*AS38/(AS37+AS38),IF(AND(AS37=0,AS38=0),0,""))</f>
        <v>0.375</v>
      </c>
      <c r="AT39" s="144"/>
      <c r="AU39" s="144"/>
      <c r="AV39" s="145"/>
      <c r="AW39" s="143">
        <f t="shared" ref="AW39" si="88">IFERROR(2*AW37*AW38/(AW37+AW38),IF(AND(AW37=0,AW38=0),0,""))</f>
        <v>0.375</v>
      </c>
      <c r="AX39" s="144"/>
      <c r="AY39" s="144"/>
      <c r="AZ39" s="145"/>
      <c r="BA39" s="143">
        <f t="shared" ref="BA39" si="89">IFERROR(2*BA37*BA38/(BA37+BA38),IF(AND(BA37=0,BA38=0),0,""))</f>
        <v>0.66666666666666663</v>
      </c>
      <c r="BB39" s="144"/>
      <c r="BC39" s="144"/>
      <c r="BD39" s="145"/>
      <c r="BE39" s="143">
        <f t="shared" ref="BE39" si="90">IFERROR(2*BE37*BE38/(BE37+BE38),IF(AND(BE37=0,BE38=0),0,""))</f>
        <v>0.54545454545454541</v>
      </c>
      <c r="BF39" s="144"/>
      <c r="BG39" s="144"/>
      <c r="BH39" s="145"/>
      <c r="BI39" s="143">
        <f t="shared" ref="BI39" si="91">IFERROR(2*BI37*BI38/(BI37+BI38),IF(AND(BI37=0,BI38=0),0,""))</f>
        <v>1</v>
      </c>
      <c r="BJ39" s="144"/>
      <c r="BK39" s="144"/>
      <c r="BL39" s="145"/>
      <c r="BM39" s="143" t="str">
        <f t="shared" ref="BM39" si="92">IFERROR(2*BM37*BM38/(BM37+BM38),IF(AND(BM37=0,BM38=0),0,""))</f>
        <v/>
      </c>
      <c r="BN39" s="144"/>
      <c r="BO39" s="144"/>
      <c r="BP39" s="145"/>
      <c r="BQ39" s="143">
        <f t="shared" ref="BQ39" si="93">IFERROR(2*BQ37*BQ38/(BQ37+BQ38),IF(AND(BQ37=0,BQ38=0),0,""))</f>
        <v>0.66666666666666663</v>
      </c>
      <c r="BR39" s="144"/>
      <c r="BS39" s="144"/>
      <c r="BT39" s="145"/>
    </row>
  </sheetData>
  <mergeCells count="84">
    <mergeCell ref="BW1:BW2"/>
    <mergeCell ref="BX1:BX2"/>
    <mergeCell ref="BY1:BY2"/>
    <mergeCell ref="BA1:BD1"/>
    <mergeCell ref="BE1:BH1"/>
    <mergeCell ref="BI1:BL1"/>
    <mergeCell ref="BM1:BP1"/>
    <mergeCell ref="BQ1:BT1"/>
    <mergeCell ref="BU1:BU2"/>
    <mergeCell ref="BV1:BV2"/>
    <mergeCell ref="AG1:AJ1"/>
    <mergeCell ref="AK1:AN1"/>
    <mergeCell ref="AO1:AR1"/>
    <mergeCell ref="AS1:AV1"/>
    <mergeCell ref="AW1:AZ1"/>
    <mergeCell ref="M1:P1"/>
    <mergeCell ref="Q1:T1"/>
    <mergeCell ref="U1:X1"/>
    <mergeCell ref="Y1:AB1"/>
    <mergeCell ref="AC1:AF1"/>
    <mergeCell ref="A1:A2"/>
    <mergeCell ref="B1:B2"/>
    <mergeCell ref="D1:D2"/>
    <mergeCell ref="E1:H1"/>
    <mergeCell ref="I1:L1"/>
    <mergeCell ref="B3:B34"/>
    <mergeCell ref="C1:C2"/>
    <mergeCell ref="C3:C34"/>
    <mergeCell ref="CF1:CF2"/>
    <mergeCell ref="BZ1:BZ2"/>
    <mergeCell ref="CC1:CC2"/>
    <mergeCell ref="CD1:CD2"/>
    <mergeCell ref="CE1:CE2"/>
    <mergeCell ref="Y37:AB37"/>
    <mergeCell ref="AC37:AF37"/>
    <mergeCell ref="AG37:AJ37"/>
    <mergeCell ref="AK37:AN37"/>
    <mergeCell ref="AO37:AR37"/>
    <mergeCell ref="AS37:AV37"/>
    <mergeCell ref="AW37:AZ37"/>
    <mergeCell ref="BA37:BD37"/>
    <mergeCell ref="BE37:BH37"/>
    <mergeCell ref="BI37:BL37"/>
    <mergeCell ref="BM37:BP37"/>
    <mergeCell ref="BQ37:BT37"/>
    <mergeCell ref="E38:H38"/>
    <mergeCell ref="I38:L38"/>
    <mergeCell ref="M38:P38"/>
    <mergeCell ref="Q38:T38"/>
    <mergeCell ref="U38:X38"/>
    <mergeCell ref="Y38:AB38"/>
    <mergeCell ref="AC38:AF38"/>
    <mergeCell ref="AG38:AJ38"/>
    <mergeCell ref="AK38:AN38"/>
    <mergeCell ref="AO38:AR38"/>
    <mergeCell ref="AS38:AV38"/>
    <mergeCell ref="AW38:AZ38"/>
    <mergeCell ref="BA38:BD38"/>
    <mergeCell ref="BE38:BH38"/>
    <mergeCell ref="BI38:BL38"/>
    <mergeCell ref="E37:H37"/>
    <mergeCell ref="I37:L37"/>
    <mergeCell ref="M37:P37"/>
    <mergeCell ref="Q37:T37"/>
    <mergeCell ref="U37:X37"/>
    <mergeCell ref="BI39:BL39"/>
    <mergeCell ref="BM39:BP39"/>
    <mergeCell ref="BQ39:BT39"/>
    <mergeCell ref="BM38:BP38"/>
    <mergeCell ref="BQ38:BT38"/>
    <mergeCell ref="E39:H39"/>
    <mergeCell ref="I39:L39"/>
    <mergeCell ref="M39:P39"/>
    <mergeCell ref="Q39:T39"/>
    <mergeCell ref="U39:X39"/>
    <mergeCell ref="Y39:AB39"/>
    <mergeCell ref="AC39:AF39"/>
    <mergeCell ref="AG39:AJ39"/>
    <mergeCell ref="AK39:AN39"/>
    <mergeCell ref="AO39:AR39"/>
    <mergeCell ref="AS39:AV39"/>
    <mergeCell ref="AW39:AZ39"/>
    <mergeCell ref="BA39:BD39"/>
    <mergeCell ref="BE39:BH39"/>
  </mergeCells>
  <phoneticPr fontId="4"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E10F7-4075-4C8C-9EA1-D530DE6C40AF}">
  <dimension ref="A1:Z24"/>
  <sheetViews>
    <sheetView tabSelected="1" zoomScale="115" zoomScaleNormal="115" workbookViewId="0">
      <selection activeCell="N25" sqref="N25"/>
    </sheetView>
  </sheetViews>
  <sheetFormatPr defaultRowHeight="14.5" x14ac:dyDescent="0.35"/>
  <cols>
    <col min="1" max="1" width="15.81640625" bestFit="1" customWidth="1"/>
    <col min="2" max="2" width="9.90625" bestFit="1" customWidth="1"/>
    <col min="3" max="3" width="15" bestFit="1" customWidth="1"/>
    <col min="4" max="4" width="10.453125" customWidth="1"/>
    <col min="7" max="7" width="11.08984375" customWidth="1"/>
    <col min="10" max="10" width="11.36328125" customWidth="1"/>
    <col min="13" max="13" width="12" customWidth="1"/>
    <col min="16" max="16" width="10.453125" customWidth="1"/>
    <col min="19" max="19" width="10.6328125" customWidth="1"/>
    <col min="22" max="22" width="11.453125" customWidth="1"/>
    <col min="25" max="25" width="10.81640625" customWidth="1"/>
    <col min="28" max="28" width="11.453125" customWidth="1"/>
    <col min="31" max="31" width="11.26953125" customWidth="1"/>
  </cols>
  <sheetData>
    <row r="1" spans="1:4" x14ac:dyDescent="0.35">
      <c r="A1" t="s">
        <v>91</v>
      </c>
      <c r="B1" s="133" t="s">
        <v>92</v>
      </c>
      <c r="C1" s="133" t="s">
        <v>140</v>
      </c>
      <c r="D1" s="133" t="s">
        <v>93</v>
      </c>
    </row>
    <row r="2" spans="1:4" x14ac:dyDescent="0.35">
      <c r="A2" t="s">
        <v>131</v>
      </c>
      <c r="B2">
        <f>alpaca!CD19</f>
        <v>0.79766331248408451</v>
      </c>
      <c r="C2">
        <f>alpaca!CE19</f>
        <v>0.84880213266583415</v>
      </c>
      <c r="D2">
        <f>alpaca!CF19</f>
        <v>0.81691115693600291</v>
      </c>
    </row>
    <row r="3" spans="1:4" x14ac:dyDescent="0.35">
      <c r="A3" t="s">
        <v>132</v>
      </c>
      <c r="B3">
        <f>baseline!CD19</f>
        <v>0.84936991623572511</v>
      </c>
      <c r="C3">
        <f>baseline!CE19</f>
        <v>0.87480874616976589</v>
      </c>
      <c r="D3">
        <f>baseline!CF19</f>
        <v>0.85571807562710711</v>
      </c>
    </row>
    <row r="4" spans="1:4" x14ac:dyDescent="0.35">
      <c r="A4" t="s">
        <v>133</v>
      </c>
      <c r="B4">
        <f>persona!CD19</f>
        <v>0.82581026510254452</v>
      </c>
      <c r="C4">
        <f>persona!CE19</f>
        <v>0.8703959212388489</v>
      </c>
      <c r="D4">
        <f>persona!CF19</f>
        <v>0.8378600880851772</v>
      </c>
    </row>
    <row r="5" spans="1:4" x14ac:dyDescent="0.35">
      <c r="A5" t="s">
        <v>134</v>
      </c>
      <c r="B5">
        <f>'strict-no-guessing'!CD19</f>
        <v>0.81720470858798056</v>
      </c>
      <c r="C5">
        <f>'strict-no-guessing'!CE19</f>
        <v>0.86580743817585937</v>
      </c>
      <c r="D5">
        <f>'strict-no-guessing'!CF19</f>
        <v>0.82959304509305232</v>
      </c>
    </row>
    <row r="6" spans="1:4" x14ac:dyDescent="0.35">
      <c r="A6" t="s">
        <v>94</v>
      </c>
      <c r="B6">
        <f>'Self-review-postfix'!CD19</f>
        <v>0.78915527640251903</v>
      </c>
      <c r="C6">
        <f>'Self-review-postfix'!CE19</f>
        <v>0.82601036590974686</v>
      </c>
      <c r="D6">
        <f>'Self-review-postfix'!CF19</f>
        <v>0.79938279242110344</v>
      </c>
    </row>
    <row r="7" spans="1:4" x14ac:dyDescent="0.35">
      <c r="A7" t="s">
        <v>135</v>
      </c>
      <c r="B7">
        <f>'schema-guided'!CD19</f>
        <v>0.89824920024828125</v>
      </c>
      <c r="C7">
        <f>'schema-guided'!CE19</f>
        <v>0.63784553232275676</v>
      </c>
      <c r="D7">
        <f>'schema-guided'!CF19</f>
        <v>0.73689863635808539</v>
      </c>
    </row>
    <row r="8" spans="1:4" x14ac:dyDescent="0.35">
      <c r="A8" t="s">
        <v>136</v>
      </c>
      <c r="B8">
        <f>checklist!CD19</f>
        <v>0.88324396192043253</v>
      </c>
      <c r="C8">
        <f>checklist!CE19</f>
        <v>0.81781989040478786</v>
      </c>
      <c r="D8">
        <f>checklist!CF19</f>
        <v>0.84681157825109077</v>
      </c>
    </row>
    <row r="9" spans="1:4" x14ac:dyDescent="0.35">
      <c r="A9" t="s">
        <v>137</v>
      </c>
      <c r="B9">
        <f>'step-by-step'!CD19</f>
        <v>0.91435972116119169</v>
      </c>
      <c r="C9">
        <f>'step-by-step'!CE19</f>
        <v>0.81141403245120525</v>
      </c>
      <c r="D9">
        <f>'step-by-step'!CF19</f>
        <v>0.85646838049783924</v>
      </c>
    </row>
    <row r="10" spans="1:4" x14ac:dyDescent="0.35">
      <c r="A10" t="s">
        <v>138</v>
      </c>
      <c r="B10">
        <f>cot!CD19</f>
        <v>0.81427755761395459</v>
      </c>
      <c r="C10">
        <f>cot!CE19</f>
        <v>0.84172509690601793</v>
      </c>
      <c r="D10">
        <f>cot!CF19</f>
        <v>0.82107415179452914</v>
      </c>
    </row>
    <row r="11" spans="1:4" x14ac:dyDescent="0.35">
      <c r="A11" t="s">
        <v>139</v>
      </c>
      <c r="B11">
        <f>rci!CD19</f>
        <v>0.85769817651711044</v>
      </c>
      <c r="C11">
        <f>rci!CE19</f>
        <v>0.86007064732540905</v>
      </c>
      <c r="D11">
        <f>rci!CF19</f>
        <v>0.85437714523837172</v>
      </c>
    </row>
    <row r="23" spans="3:26" x14ac:dyDescent="0.35">
      <c r="Z23" t="s">
        <v>58</v>
      </c>
    </row>
    <row r="24" spans="3:26" x14ac:dyDescent="0.35">
      <c r="C24" s="125"/>
    </row>
  </sheetData>
  <pageMargins left="0.7" right="0.7" top="0.75" bottom="0.75" header="0.3" footer="0.3"/>
  <pageSetup paperSize="8"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5FCA6-CB66-4CFB-915E-8D0DDC677F3F}">
  <dimension ref="A1:S8"/>
  <sheetViews>
    <sheetView workbookViewId="0">
      <selection activeCell="A4" sqref="A4:A5"/>
    </sheetView>
  </sheetViews>
  <sheetFormatPr defaultRowHeight="14.5" x14ac:dyDescent="0.35"/>
  <sheetData>
    <row r="1" spans="1:19" ht="17" thickBot="1" x14ac:dyDescent="0.4">
      <c r="A1" s="135"/>
      <c r="B1" s="135"/>
      <c r="C1" s="136" t="s">
        <v>112</v>
      </c>
      <c r="D1" s="136" t="s">
        <v>113</v>
      </c>
      <c r="E1" s="136" t="s">
        <v>114</v>
      </c>
      <c r="F1" s="136" t="s">
        <v>115</v>
      </c>
      <c r="G1" s="136" t="s">
        <v>116</v>
      </c>
      <c r="H1" s="136" t="s">
        <v>117</v>
      </c>
      <c r="I1" s="136" t="s">
        <v>118</v>
      </c>
      <c r="J1" s="136" t="s">
        <v>119</v>
      </c>
      <c r="K1" s="136" t="s">
        <v>120</v>
      </c>
      <c r="L1" s="136" t="s">
        <v>121</v>
      </c>
      <c r="M1" s="136" t="s">
        <v>122</v>
      </c>
      <c r="N1" s="136" t="s">
        <v>123</v>
      </c>
      <c r="O1" s="136" t="s">
        <v>124</v>
      </c>
      <c r="P1" s="136" t="s">
        <v>125</v>
      </c>
      <c r="Q1" s="136" t="s">
        <v>126</v>
      </c>
      <c r="R1" s="136" t="s">
        <v>127</v>
      </c>
      <c r="S1" s="136" t="s">
        <v>128</v>
      </c>
    </row>
    <row r="2" spans="1:19" ht="15" customHeight="1" thickTop="1" x14ac:dyDescent="0.35">
      <c r="A2" s="178" t="s">
        <v>23</v>
      </c>
      <c r="B2" s="137" t="s">
        <v>129</v>
      </c>
      <c r="C2" s="137">
        <f>MIN(alpaca!D37,baseline!D37,persona!D37,'strict-no-guessing'!D37:G37,'Self-review-postfix'!D37:G37,'schema-guided'!D37:G37,checklist!D37,'step-by-step'!D37:G37,cot!E37,rci!E37)</f>
        <v>1</v>
      </c>
      <c r="D2" s="137">
        <f>MIN(alpaca!H37,baseline!H37,persona!H37,'strict-no-guessing'!H37:K37,'Self-review-postfix'!H37:K37,'schema-guided'!H37:K37,checklist!H37,'step-by-step'!H37:K37,cot!I37,rci!I37)</f>
        <v>0.30434782608695654</v>
      </c>
      <c r="E2" s="137">
        <f>MIN(alpaca!L37,baseline!L37,persona!L37,'strict-no-guessing'!L37:O37,'Self-review-postfix'!L37:O37,'schema-guided'!L37:O37,checklist!L37,'step-by-step'!L37:O37,cot!M37,rci!M37)</f>
        <v>0.13157894736842105</v>
      </c>
      <c r="F2" s="137">
        <f>MIN(alpaca!P37,baseline!P37,persona!P37,'strict-no-guessing'!P37:S37,'Self-review-postfix'!P37:S37,'schema-guided'!P37:S37,checklist!P37,'step-by-step'!P37:S37,cot!Q37,rci!Q37)</f>
        <v>0.95833333333333337</v>
      </c>
      <c r="G2" s="137">
        <f>MIN(alpaca!T37,baseline!T37,persona!T37,'strict-no-guessing'!T37:W37,'Self-review-postfix'!T37:W37,'schema-guided'!T37:W37,checklist!T37,'step-by-step'!T37:W37,cot!U37,rci!U37)</f>
        <v>0.64583333333333337</v>
      </c>
      <c r="H2" s="138">
        <f>MIN(alpaca!X37,baseline!X37,persona!X37,'strict-no-guessing'!X37:AA37,'Self-review-postfix'!X37:AA37,'schema-guided'!X37:AA37,checklist!X37,'step-by-step'!X37:AA37,cot!Y37,rci!Y37)</f>
        <v>0.97222222222222221</v>
      </c>
      <c r="I2" s="138">
        <f>MIN(alpaca!AB37,baseline!AB37,persona!AB37,'strict-no-guessing'!AB37:AE37,'Self-review-postfix'!AB37:AE37,'schema-guided'!AB37:AE37,checklist!AB37,'step-by-step'!AB37:AE37,cot!AC37,rci!AC37)</f>
        <v>0.44444444444444442</v>
      </c>
      <c r="J2" s="138">
        <f>MIN(alpaca!AF37,baseline!AF37,persona!AF37,'strict-no-guessing'!AF37:AI37,'Self-review-postfix'!AF37:AI37,'schema-guided'!AF37:AI37,checklist!AF37,'step-by-step'!AF37:AI37,cot!AG37,rci!AG37)</f>
        <v>0.94444444444444442</v>
      </c>
      <c r="K2" s="138">
        <f>MIN(alpaca!AJ37,baseline!AJ37,persona!AJ37,'strict-no-guessing'!AJ37:AM37,'Self-review-postfix'!AJ37:AM37,'schema-guided'!AJ37:AM37,checklist!AJ37,'step-by-step'!AJ37:AM37,cot!AK37,rci!AK37)</f>
        <v>0.8125</v>
      </c>
      <c r="L2" s="138">
        <f>MIN(alpaca!AN37,baseline!AN37,persona!AN37,'strict-no-guessing'!AN37:AQ37,'Self-review-postfix'!AN37:AQ37,'schema-guided'!AN37:AQ37,checklist!AN37,'step-by-step'!AN37:AQ37,cot!AO37,rci!AO37)</f>
        <v>0</v>
      </c>
      <c r="M2" s="138">
        <f>MIN(alpaca!AR37,baseline!AR37,persona!AR37,'strict-no-guessing'!AR37:AU37,'Self-review-postfix'!AR37:AU37,'schema-guided'!AR37:AU37,checklist!AR37,'step-by-step'!AR37:AU37,cot!AS37,rci!AS37)</f>
        <v>0</v>
      </c>
      <c r="N2" s="138">
        <f>MIN(alpaca!AV37,baseline!AV37,persona!AV37,'strict-no-guessing'!AV37:AY37,'Self-review-postfix'!AV37:AY37,'schema-guided'!AV37:AY37,checklist!AV37,'step-by-step'!AV37:AY37,cot!AW37,rci!AW37)</f>
        <v>0.125</v>
      </c>
      <c r="O2" s="138">
        <f>MIN(alpaca!AZ37,baseline!AZ37,persona!AZ37,'strict-no-guessing'!AZ37:BC37,'Self-review-postfix'!AZ37:BC37,'schema-guided'!AZ37:BC37,checklist!AZ37,'step-by-step'!AZ37:BC37,cot!BA37,rci!BA37)</f>
        <v>0.58333333333333337</v>
      </c>
      <c r="P2" s="138">
        <f>MIN(alpaca!BD37,baseline!BD37,persona!BD37,'strict-no-guessing'!BD37:BG37,'Self-review-postfix'!BD37:BG37,'schema-guided'!BD37:BG37,checklist!BD37,'step-by-step'!BD37:BG37,cot!BE37,rci!BE37)</f>
        <v>0.25</v>
      </c>
      <c r="Q2" s="138">
        <f>MIN(alpaca!BH37,baseline!BH37,persona!BH37,'strict-no-guessing'!BH37:BK37,'Self-review-postfix'!BH37:BK37,'schema-guided'!BH37:BK37,checklist!BH37,'step-by-step'!BH37:BK37,cot!BI37,rci!BI37)</f>
        <v>0.5</v>
      </c>
      <c r="R2" s="138">
        <f>MIN(alpaca!BL37,baseline!BL37,persona!BL37,'strict-no-guessing'!BL37:BO37,'Self-review-postfix'!BL37:BO37,'schema-guided'!BL37:BO37,checklist!BL37,'step-by-step'!BL37:BO37,cot!BM37,rci!BM37)</f>
        <v>0</v>
      </c>
      <c r="S2" s="139">
        <f>MIN(alpaca!BP37,baseline!BP37,'strict-no-guessing'!BP37:BS37,persona!BP37,'Self-review-postfix'!BP37:BS37,'schema-guided'!BP37:BS37,checklist!BP37,cot!BQ37,rci!BQ37,'step-by-step'!BP37:BS37)</f>
        <v>0.16666666666666666</v>
      </c>
    </row>
    <row r="3" spans="1:19" ht="15" customHeight="1" thickBot="1" x14ac:dyDescent="0.4">
      <c r="A3" s="179"/>
      <c r="B3" s="140" t="s">
        <v>130</v>
      </c>
      <c r="C3" s="140">
        <f>MAX(alpaca!D37,baseline!D37,persona!D37,'strict-no-guessing'!D37:G37,'Self-review-postfix'!D37:G37,'schema-guided'!D37:G37,checklist!D37,'step-by-step'!D37:G37,cot!E37,rci!E37)</f>
        <v>1</v>
      </c>
      <c r="D3" s="140">
        <f>MAX(alpaca!H37,baseline!H37,persona!H37,'strict-no-guessing'!H37:K37,'Self-review-postfix'!H37:K37,'schema-guided'!H37:K37,checklist!H37,'step-by-step'!H37:K37,cot!I37,rci!I37)</f>
        <v>1</v>
      </c>
      <c r="E3" s="140">
        <f>MAX(alpaca!L37,baseline!L37,persona!L37,'strict-no-guessing'!L37:O37,'Self-review-postfix'!L37:O37,'schema-guided'!L37:O37,checklist!L37,'step-by-step'!L37:O37,cot!M37,rci!M37)</f>
        <v>1</v>
      </c>
      <c r="F3" s="140">
        <f>MAX(alpaca!P37,baseline!P37,persona!P37,'strict-no-guessing'!P37:S37,'Self-review-postfix'!P37:S37,'schema-guided'!P37:S37,checklist!P37,'step-by-step'!P37:S37,cot!Q37,rci!Q37)</f>
        <v>1</v>
      </c>
      <c r="G3" s="140">
        <f>MAX(alpaca!T37,baseline!T37,persona!T37,'strict-no-guessing'!T37:W37,'Self-review-postfix'!T37:W37,'schema-guided'!T37:W37,checklist!T37,'step-by-step'!T37:W37,cot!U37,rci!U37)</f>
        <v>1</v>
      </c>
      <c r="H3" s="141">
        <f>MAX(alpaca!X37,baseline!X37,persona!X37,'strict-no-guessing'!X37:AA37,'Self-review-postfix'!X37:AA37,'schema-guided'!X37:AA37,checklist!X37,'step-by-step'!X37:AA37,cot!Y37,rci!Y37)</f>
        <v>1</v>
      </c>
      <c r="I3" s="141">
        <f>MAX(alpaca!AB37,baseline!AB37,persona!AB37,'strict-no-guessing'!AB37:AE37,'Self-review-postfix'!AB37:AE37,'schema-guided'!AB37:AE37,checklist!AB37,'step-by-step'!AB37:AE37,cot!AC37,rci!AC37)</f>
        <v>1</v>
      </c>
      <c r="J3" s="141">
        <f>MAX(alpaca!AF37,baseline!AF37,persona!AF37,'strict-no-guessing'!AF37:AI37,'Self-review-postfix'!AF37:AI37,'schema-guided'!AF37:AI37,checklist!AF37,'step-by-step'!AF37:AI37,cot!AG37,rci!AG37)</f>
        <v>1</v>
      </c>
      <c r="K3" s="141">
        <f>MAX(alpaca!AJ37,baseline!AJ37,persona!AJ37,'strict-no-guessing'!AJ37:AM37,'Self-review-postfix'!AJ37:AM37,'schema-guided'!AJ37:AM37,checklist!AJ37,'step-by-step'!AJ37:AM37,cot!AK37,rci!AK37)</f>
        <v>1</v>
      </c>
      <c r="L3" s="141">
        <f>MAX(alpaca!AN37,baseline!AN37,persona!AN37,'strict-no-guessing'!AN37:AQ37,'Self-review-postfix'!AN37:AQ37,'schema-guided'!AN37:AQ37,checklist!AN37,'step-by-step'!AN37:AQ37,cot!AO37,rci!AO37)</f>
        <v>0.5</v>
      </c>
      <c r="M3" s="141">
        <f>MAX(alpaca!AR37,baseline!AR37,persona!AR37,'strict-no-guessing'!AR37:AU37,'Self-review-postfix'!AR37:AU37,'schema-guided'!AR37:AU37,checklist!AR37,'step-by-step'!AR37:AU37,cot!AS37,rci!AS37)</f>
        <v>0.75</v>
      </c>
      <c r="N3" s="141">
        <f>MAX(alpaca!AV37,baseline!AV37,persona!AV37,'strict-no-guessing'!AV37:AY37,'Self-review-postfix'!AV37:AY37,'schema-guided'!AV37:AY37,checklist!AV37,'step-by-step'!AV37:AY37,cot!AW37,rci!AW37)</f>
        <v>0.5</v>
      </c>
      <c r="O3" s="141">
        <f>MAX(alpaca!AZ37,baseline!AZ37,persona!AZ37,'strict-no-guessing'!AZ37:BC37,'Self-review-postfix'!AZ37:BC37,'schema-guided'!AZ37:BC37,checklist!AZ37,'step-by-step'!AZ37:BC37,cot!BA37,rci!BA37)</f>
        <v>0.80555555555555558</v>
      </c>
      <c r="P3" s="141">
        <f>MAX(alpaca!BD37,baseline!BD37,persona!BD37,'strict-no-guessing'!BD37:BG37,'Self-review-postfix'!BD37:BG37,'schema-guided'!BD37:BG37,checklist!BD37,'step-by-step'!BD37:BG37,cot!BE37,rci!BE37)</f>
        <v>0.875</v>
      </c>
      <c r="Q3" s="141">
        <f>MAX(alpaca!BH37,baseline!BH37,persona!BH37,'strict-no-guessing'!BH37:BK37,'Self-review-postfix'!BH37:BK37,'schema-guided'!BH37:BK37,checklist!BH37,'step-by-step'!BH37:BK37,cot!BI37,rci!BI37)</f>
        <v>1</v>
      </c>
      <c r="R3" s="141">
        <f>MAX(alpaca!BL37,baseline!BL37,persona!BL37,'strict-no-guessing'!BL37:BO37,'Self-review-postfix'!BL37:BO37,'schema-guided'!BL37:BO37,checklist!BL37,'step-by-step'!BL37:BO37,cot!BM37,rci!BM37)</f>
        <v>0</v>
      </c>
      <c r="S3" s="142">
        <f>MAX(alpaca!BP37,baseline!BP37,'strict-no-guessing'!BP37:BS37,persona!BP37,'Self-review-postfix'!BP37:BS37,'schema-guided'!BP37:BS37,checklist!BP37,cot!BQ37,rci!BQ37,'step-by-step'!BP37:BS37)</f>
        <v>0.66666666666666663</v>
      </c>
    </row>
    <row r="4" spans="1:19" ht="15" customHeight="1" thickTop="1" x14ac:dyDescent="0.35">
      <c r="A4" s="180" t="s">
        <v>141</v>
      </c>
      <c r="B4" s="137" t="s">
        <v>129</v>
      </c>
      <c r="C4" s="137">
        <f>MIN(alpaca!D38,baseline!D38,persona!D38,'strict-no-guessing'!D38:G38,'Self-review-postfix'!D38:G38,'schema-guided'!D38:G38,checklist!D38,'step-by-step'!D38:G38,cot!E38,rci!E38)</f>
        <v>0.94444444444444442</v>
      </c>
      <c r="D4" s="137">
        <f>MIN(alpaca!H38,baseline!H38,persona!H38,'strict-no-guessing'!H38:K38,'Self-review-postfix'!H38:K38,'schema-guided'!H38:K38,checklist!H38,'step-by-step'!H38:K38,cot!I38,rci!I38)</f>
        <v>0.59740259740259738</v>
      </c>
      <c r="E4" s="137">
        <f>MIN(alpaca!L38,baseline!L38,persona!L38,'strict-no-guessing'!L38:O38,'Self-review-postfix'!L38:O38,'schema-guided'!L38:O38,checklist!L38,'step-by-step'!L38:O38,cot!M38,rci!M38)</f>
        <v>0.72727272727272729</v>
      </c>
      <c r="F4" s="137">
        <f>MIN(alpaca!P38,baseline!P38,persona!P38,'strict-no-guessing'!P38:S38,'Self-review-postfix'!P38:S38,'schema-guided'!P38:S38,checklist!P38,'step-by-step'!P38:S38,cot!Q38,rci!Q38)</f>
        <v>0.72727272727272729</v>
      </c>
      <c r="G4" s="137">
        <f>MIN(alpaca!T38,baseline!T38,persona!T38,'strict-no-guessing'!T38:W38,'Self-review-postfix'!T38:W38,'schema-guided'!T38:W38,checklist!T38,'step-by-step'!T38:W38,cot!U38,rci!U38)</f>
        <v>0.5</v>
      </c>
      <c r="H4" s="138">
        <f>MIN(alpaca!X38,baseline!X38,persona!X38,'strict-no-guessing'!X38:AA38,'Self-review-postfix'!X38:AA38,'schema-guided'!X38:AA38,checklist!X38,'step-by-step'!X38:AA38,cot!Y38,rci!Y38)</f>
        <v>0.93506493506493504</v>
      </c>
      <c r="I4" s="138">
        <f>MIN(alpaca!AB38,baseline!AB38,persona!AB38,'strict-no-guessing'!AB38:AE38,'Self-review-postfix'!AB38:AE38,'schema-guided'!AB38:AE38,checklist!AB38,'step-by-step'!AB38:AE38,cot!AC38,rci!AC38)</f>
        <v>0.5714285714285714</v>
      </c>
      <c r="J4" s="138">
        <f>MIN(alpaca!AF38,baseline!AF38,persona!AF38,'strict-no-guessing'!AF38:AI38,'Self-review-postfix'!AF38:AI38,'schema-guided'!AF38:AI38,checklist!AF38,'step-by-step'!AF38:AI38,cot!AG38,rci!AG38)</f>
        <v>0.68627450980392157</v>
      </c>
      <c r="K4" s="138">
        <f>MIN(alpaca!AJ38,baseline!AJ38,persona!AJ38,'strict-no-guessing'!AJ38:AM38,'Self-review-postfix'!AJ38:AM38,'schema-guided'!AJ38:AM38,checklist!AJ38,'step-by-step'!AJ38:AM38,cot!AK38,rci!AK38)</f>
        <v>0.8</v>
      </c>
      <c r="L4" s="138">
        <f>MIN(alpaca!AN38,baseline!AN38,persona!AN38,'strict-no-guessing'!AN38:AQ38,'Self-review-postfix'!AN38:AQ38,'schema-guided'!AN38:AQ38,checklist!AN38,'step-by-step'!AN38:AQ38,cot!AO38,rci!AO38)</f>
        <v>0</v>
      </c>
      <c r="M4" s="138">
        <f>MIN(alpaca!AR38,baseline!AR38,persona!AR38,'strict-no-guessing'!AR38:AU38,'Self-review-postfix'!AR38:AU38,'schema-guided'!AR38:AU38,checklist!AR38,'step-by-step'!AR38:AU38,cot!AS38,rci!AS38)</f>
        <v>0</v>
      </c>
      <c r="N4" s="138">
        <f>MIN(alpaca!AV38,baseline!AV38,persona!AV38,'strict-no-guessing'!AV38:AY38,'Self-review-postfix'!AV38:AY38,'schema-guided'!AV38:AY38,checklist!AV38,'step-by-step'!AV38:AY38,cot!AW38,rci!AW38)</f>
        <v>0.14285714285714285</v>
      </c>
      <c r="O4" s="138">
        <f>MIN(alpaca!AZ38,baseline!AZ38,persona!AZ38,'strict-no-guessing'!AZ38:BC38,'Self-review-postfix'!AZ38:BC38,'schema-guided'!AZ38:BC38,checklist!AZ38,'step-by-step'!AZ38:BC38,cot!BA38,rci!BA38)</f>
        <v>0.58536585365853655</v>
      </c>
      <c r="P4" s="138">
        <f>MIN(alpaca!BD38,baseline!BD38,persona!BD38,'strict-no-guessing'!BD38:BG38,'Self-review-postfix'!BD38:BG38,'schema-guided'!BD38:BG38,checklist!BD38,'step-by-step'!BD38:BG38,cot!BE38,rci!BE38)</f>
        <v>0.5</v>
      </c>
      <c r="Q4" s="138">
        <f>MIN(alpaca!BH38,baseline!BH38,persona!BH38,'strict-no-guessing'!BH38:BK38,'Self-review-postfix'!BH38:BK38,'schema-guided'!BH38:BK38,checklist!BH38,'step-by-step'!BH38:BK38,cot!BI38,rci!BI38)</f>
        <v>1</v>
      </c>
      <c r="R4" s="138">
        <f>MIN(alpaca!BL38,baseline!BL38,persona!BL38,'strict-no-guessing'!BL38:BO38,'Self-review-postfix'!BL38:BO38,'schema-guided'!BL38:BO38,checklist!BL38,'step-by-step'!BL38:BO38,cot!BM38,rci!BM38)</f>
        <v>0</v>
      </c>
      <c r="S4" s="139">
        <f>MIN(alpaca!BP38,baseline!BP38,'strict-no-guessing'!BP38:BS38,persona!BP38,'Self-review-postfix'!BP38:BS38,'schema-guided'!BP38:BS38,checklist!BP38,cot!BQ38,rci!BQ38,'step-by-step'!BD38:BG38)</f>
        <v>0.33333333333333331</v>
      </c>
    </row>
    <row r="5" spans="1:19" ht="15" thickBot="1" x14ac:dyDescent="0.4">
      <c r="A5" s="181"/>
      <c r="B5" s="140" t="s">
        <v>130</v>
      </c>
      <c r="C5" s="140">
        <f>MAX(alpaca!D38,baseline!D38,persona!D38,'strict-no-guessing'!D38:G38,'Self-review-postfix'!D38:G38,'schema-guided'!D38:G38,checklist!D38,'step-by-step'!D38:G38,cot!E38,rci!E38)</f>
        <v>1</v>
      </c>
      <c r="D5" s="140">
        <f>MAX(alpaca!H38,baseline!H38,persona!H38,'strict-no-guessing'!H38:K38,'Self-review-postfix'!H38:K38,'schema-guided'!H38:K38,checklist!H38,'step-by-step'!H38:K38,cot!I38,rci!I38)</f>
        <v>1</v>
      </c>
      <c r="E5" s="140">
        <f>MAX(alpaca!L38,baseline!L38,persona!L38,'strict-no-guessing'!L38:O38,'Self-review-postfix'!L38:O38,'schema-guided'!L38:O38,checklist!L38,'step-by-step'!L38:O38,cot!M38,rci!M38)</f>
        <v>1</v>
      </c>
      <c r="F5" s="140">
        <f>MAX(alpaca!P38,baseline!P38,persona!P38,'strict-no-guessing'!P38:S38,'Self-review-postfix'!P38:S38,'schema-guided'!P38:S38,checklist!P38,'step-by-step'!P38:S38,cot!Q38,rci!Q38)</f>
        <v>0.8</v>
      </c>
      <c r="G5" s="140">
        <f>MAX(alpaca!T38,baseline!T38,persona!T38,'strict-no-guessing'!T38:W38,'Self-review-postfix'!T38:W38,'schema-guided'!T38:W38,checklist!T38,'step-by-step'!T38:W38,cot!U38,rci!U38)</f>
        <v>1</v>
      </c>
      <c r="H5" s="141">
        <f>MAX(alpaca!X38,baseline!X38,persona!X38,'strict-no-guessing'!X38:AA38,'Self-review-postfix'!X38:AA38,'schema-guided'!X38:AA38,checklist!X38,'step-by-step'!X38:AA38,cot!Y38,rci!Y38)</f>
        <v>1</v>
      </c>
      <c r="I5" s="141">
        <f>MAX(alpaca!AB38,baseline!AB38,persona!AB38,'strict-no-guessing'!AB38:AE38,'Self-review-postfix'!AB38:AE38,'schema-guided'!AB38:AE38,checklist!AB38,'step-by-step'!AB38:AE38,cot!AC38,rci!AC38)</f>
        <v>1</v>
      </c>
      <c r="J5" s="141">
        <f>MAX(alpaca!AF38,baseline!AF38,persona!AF38,'strict-no-guessing'!AF38:AI38,'Self-review-postfix'!AF38:AI38,'schema-guided'!AF38:AI38,checklist!AF38,'step-by-step'!AF38:AI38,cot!AG38,rci!AG38)</f>
        <v>1</v>
      </c>
      <c r="K5" s="141">
        <f>MAX(alpaca!AJ38,baseline!AJ38,persona!AJ38,'strict-no-guessing'!AJ38:AM38,'Self-review-postfix'!AJ38:AM38,'schema-guided'!AJ38:AM38,checklist!AJ38,'step-by-step'!AJ38:AM38,cot!AK38,rci!AK38)</f>
        <v>0.94117647058823528</v>
      </c>
      <c r="L5" s="141">
        <f>MAX(alpaca!AN38,baseline!AN38,persona!AN38,'strict-no-guessing'!AN38:AQ38,'Self-review-postfix'!AN38:AQ38,'schema-guided'!AN38:AQ38,checklist!AN38,'step-by-step'!AN38:AQ38,cot!AO38,rci!AO38)</f>
        <v>0.25</v>
      </c>
      <c r="M5" s="141">
        <f>MAX(alpaca!AR38,baseline!AR38,persona!AR38,'strict-no-guessing'!AR38:AU38,'Self-review-postfix'!AR38:AU38,'schema-guided'!AR38:AU38,checklist!AR38,'step-by-step'!AR38:AU38,cot!AS38,rci!AS38)</f>
        <v>0.5</v>
      </c>
      <c r="N5" s="141">
        <f>MAX(alpaca!AV38,baseline!AV38,persona!AV38,'strict-no-guessing'!AV38:AY38,'Self-review-postfix'!AV38:AY38,'schema-guided'!AV38:AY38,checklist!AV38,'step-by-step'!AV38:AY38,cot!AW38,rci!AW38)</f>
        <v>0.375</v>
      </c>
      <c r="O5" s="141">
        <f>MAX(alpaca!AZ38,baseline!AZ38,persona!AZ38,'strict-no-guessing'!AZ38:BC38,'Self-review-postfix'!AZ38:BC38,'schema-guided'!AZ38:BC38,checklist!AZ38,'step-by-step'!AZ38:BC38,cot!BA38,rci!BA38)</f>
        <v>0.72413793103448276</v>
      </c>
      <c r="P5" s="141">
        <f>MAX(alpaca!BD38,baseline!BD38,persona!BD38,'strict-no-guessing'!BD38:BG38,'Self-review-postfix'!BD38:BG38,'schema-guided'!BD38:BG38,checklist!BD38,'step-by-step'!BD38:BG38,cot!BE38,rci!BE38)</f>
        <v>1</v>
      </c>
      <c r="Q5" s="141">
        <f>MAX(alpaca!BH38,baseline!BH38,persona!BH38,'strict-no-guessing'!BH38:BK38,'Self-review-postfix'!BH38:BK38,'schema-guided'!BH38:BK38,checklist!BH38,'step-by-step'!BH38:BK38,cot!BI38,rci!BI38)</f>
        <v>1</v>
      </c>
      <c r="R5" s="141">
        <f>MAX(alpaca!BL38,baseline!BL38,persona!BL38,'strict-no-guessing'!BL38:BO38,'Self-review-postfix'!BL38:BO38,'schema-guided'!BL38:BO38,checklist!BL38,'step-by-step'!BL38:BO38,cot!BM38,rci!BM38)</f>
        <v>0</v>
      </c>
      <c r="S5" s="142">
        <f>MAX(alpaca!BP38,baseline!BP38,'strict-no-guessing'!BP38:BS38,persona!BP38,'Self-review-postfix'!BP38:BS38,'schema-guided'!BP38:BS38,checklist!BP38,cot!BQ38,rci!BQ38,'step-by-step'!BD38:BG38)</f>
        <v>1</v>
      </c>
    </row>
    <row r="6" spans="1:19" ht="15" thickTop="1" x14ac:dyDescent="0.35">
      <c r="A6" s="182" t="s">
        <v>24</v>
      </c>
      <c r="B6" s="137" t="s">
        <v>129</v>
      </c>
      <c r="C6" s="137">
        <f>MIN(alpaca!D39,baseline!D39,persona!D39,'strict-no-guessing'!D39:G39,'Self-review-postfix'!D39:G39,'schema-guided'!D39:G39,checklist!D39,'step-by-step'!D39:G39,cot!E39,rci!E39)</f>
        <v>0.97142857142857142</v>
      </c>
      <c r="D6" s="137">
        <f>MIN(alpaca!H39,baseline!H39,persona!H39,'strict-no-guessing'!H39:K39,'Self-review-postfix'!H39:K39,'schema-guided'!H39:K39,checklist!H39,'step-by-step'!H39:K39,cot!I39,rci!I39)</f>
        <v>0.45901639344262296</v>
      </c>
      <c r="E6" s="137">
        <f>MIN(alpaca!L39,baseline!L39,persona!L39,'strict-no-guessing'!L39:O39,'Self-review-postfix'!L39:O39,'schema-guided'!L39:O39,checklist!L39,'step-by-step'!L39:O39,cot!M39,rci!M39)</f>
        <v>0.23255813953488372</v>
      </c>
      <c r="F6" s="137">
        <f>MIN(alpaca!P39,baseline!P39,persona!P39,'strict-no-guessing'!P39:S39,'Self-review-postfix'!P39:S39,'schema-guided'!P39:S39,checklist!P39,'step-by-step'!P39:S39,cot!Q39,rci!Q39)</f>
        <v>0.82882882882882891</v>
      </c>
      <c r="G6" s="137">
        <f>MIN(alpaca!T39,baseline!T39,persona!T39,'strict-no-guessing'!T39:W39,'Self-review-postfix'!T39:W39,'schema-guided'!T39:W39,checklist!T39,'step-by-step'!T39:W39,cot!U39,rci!U39)</f>
        <v>0.5636363636363636</v>
      </c>
      <c r="H6" s="138">
        <f>MIN(alpaca!X39,baseline!X39,persona!X39,'strict-no-guessing'!X39:AA39,'Self-review-postfix'!X39:AA39,'schema-guided'!X39:AA39,checklist!X39,'step-by-step'!X39:AA39,cot!Y39,rci!Y39)</f>
        <v>0.96644295302013428</v>
      </c>
      <c r="I6" s="138">
        <f>MIN(alpaca!AB39,baseline!AB39,persona!AB39,'strict-no-guessing'!AB39:AE39,'Self-review-postfix'!AB39:AE39,'schema-guided'!AB39:AE39,checklist!AB39,'step-by-step'!AB39:AE39,cot!AC39,rci!AC39)</f>
        <v>0.5</v>
      </c>
      <c r="J6" s="138">
        <f>MIN(alpaca!AF39,baseline!AF39,persona!AF39,'strict-no-guessing'!AF39:AI39,'Self-review-postfix'!AF39:AI39,'schema-guided'!AF39:AI39,checklist!AF39,'step-by-step'!AF39:AI39,cot!AG39,rci!AG39)</f>
        <v>0.8045977011494253</v>
      </c>
      <c r="K6" s="138">
        <f>MIN(alpaca!AJ39,baseline!AJ39,persona!AJ39,'strict-no-guessing'!AJ39:AM39,'Self-review-postfix'!AJ39:AM39,'schema-guided'!AJ39:AM39,checklist!AJ39,'step-by-step'!AJ39:AM39,cot!AK39,rci!AK39)</f>
        <v>0.83870967741935487</v>
      </c>
      <c r="L6" s="138">
        <f>MIN(alpaca!AN39,baseline!AN39,persona!AN39,'strict-no-guessing'!AN39:AQ39,'Self-review-postfix'!AN39:AQ39,'schema-guided'!AN39:AQ39,checklist!AN39,'step-by-step'!AN39:AQ39,cot!AO39,rci!AO39)</f>
        <v>0</v>
      </c>
      <c r="M6" s="138">
        <f>MIN(alpaca!AR39,baseline!AR39,persona!AR39,'strict-no-guessing'!AR39:AU39,'Self-review-postfix'!AR39:AU39,'schema-guided'!AR39:AU39,checklist!AR39,'step-by-step'!AR39:AU39,cot!AS39,rci!AS39)</f>
        <v>0</v>
      </c>
      <c r="N6" s="138">
        <f>MIN(alpaca!AV39,baseline!AV39,persona!AV39,'strict-no-guessing'!AV39:AY39,'Self-review-postfix'!AV39:AY39,'schema-guided'!AV39:AY39,checklist!AV39,'step-by-step'!AV39:AY39,cot!AW39,rci!AW39)</f>
        <v>0.13333333333333333</v>
      </c>
      <c r="O6" s="138">
        <f>MIN(alpaca!AZ39,baseline!AZ39,persona!AZ39,'strict-no-guessing'!AZ39:BC39,'Self-review-postfix'!AZ39:BC39,'schema-guided'!AZ39:BC39,checklist!AZ39,'step-by-step'!AZ39:BC39,cot!BA39,rci!BA39)</f>
        <v>0.62337662337662336</v>
      </c>
      <c r="P6" s="138">
        <f>MIN(alpaca!BD39,baseline!BD39,persona!BD39,'strict-no-guessing'!BD39:BG39,'Self-review-postfix'!BD39:BG39,'schema-guided'!BD39:BG39,checklist!BD39,'step-by-step'!BD39:BG39,cot!BE39,rci!BE39)</f>
        <v>0.33333333333333331</v>
      </c>
      <c r="Q6" s="138">
        <f>MIN(alpaca!BH39,baseline!BH39,persona!BH39,'strict-no-guessing'!BH39:BK39,'Self-review-postfix'!BH39:BK39,'schema-guided'!BH39:BK39,checklist!BH39,'step-by-step'!BH39:BK39,cot!BI39,rci!BI39)</f>
        <v>0.66666666666666663</v>
      </c>
      <c r="R6" s="138">
        <f>MIN(alpaca!BL39,baseline!BL39,persona!BL39,'strict-no-guessing'!BL39:BO39,'Self-review-postfix'!BL39:BO39,'schema-guided'!BL39:BO39,checklist!BL39,'step-by-step'!BL39:BO39,cot!BM39,rci!BM39)</f>
        <v>0</v>
      </c>
      <c r="S6" s="139">
        <f>MIN(alpaca!BP39,baseline!BP39,'strict-no-guessing'!BP39:BS39,persona!BP39,'Self-review-postfix'!BP39:BS39,'schema-guided'!BP39:BS39,checklist!BP39,cot!BQ39,rci!BQ39,'step-by-step'!BP39:BS39)</f>
        <v>0.25</v>
      </c>
    </row>
    <row r="7" spans="1:19" ht="15" thickBot="1" x14ac:dyDescent="0.4">
      <c r="A7" s="183"/>
      <c r="B7" s="140" t="s">
        <v>130</v>
      </c>
      <c r="C7" s="140">
        <f>MAX(alpaca!D39,baseline!D39,persona!D39,'strict-no-guessing'!D39:G39,'Self-review-postfix'!D39:G39,'schema-guided'!D39:G39,checklist!D39,'step-by-step'!D39:G39,cot!E39,rci!E39)</f>
        <v>1</v>
      </c>
      <c r="D7" s="140">
        <f>MAX(alpaca!H39,baseline!H39,persona!H39,'strict-no-guessing'!H39:K39,'Self-review-postfix'!H39:K39,'schema-guided'!H39:K39,checklist!H39,'step-by-step'!H39:K39,cot!I39,rci!I39)</f>
        <v>0.90476190476190466</v>
      </c>
      <c r="E7" s="140">
        <f>MAX(alpaca!L39,baseline!L39,persona!L39,'strict-no-guessing'!L39:O39,'Self-review-postfix'!L39:O39,'schema-guided'!L39:O39,checklist!L39,'step-by-step'!L39:O39,cot!M39,rci!M39)</f>
        <v>0.97435897435897434</v>
      </c>
      <c r="F7" s="140">
        <f>MAX(alpaca!P39,baseline!P39,persona!P39,'strict-no-guessing'!P39:S39,'Self-review-postfix'!P39:S39,'schema-guided'!P39:S39,checklist!P39,'step-by-step'!P39:S39,cot!Q39,rci!Q39)</f>
        <v>0.88888888888888895</v>
      </c>
      <c r="G7" s="140">
        <f>MAX(alpaca!T39,baseline!T39,persona!T39,'strict-no-guessing'!T39:W39,'Self-review-postfix'!T39:W39,'schema-guided'!T39:W39,checklist!T39,'step-by-step'!T39:W39,cot!U39,rci!U39)</f>
        <v>1</v>
      </c>
      <c r="H7" s="141">
        <f>MAX(alpaca!X39,baseline!X39,persona!X39,'strict-no-guessing'!X39:AA39,'Self-review-postfix'!X39:AA39,'schema-guided'!X39:AA39,checklist!X39,'step-by-step'!X39:AA39,cot!Y39,rci!Y39)</f>
        <v>1</v>
      </c>
      <c r="I7" s="141">
        <f>MAX(alpaca!AB39,baseline!AB39,persona!AB39,'strict-no-guessing'!AB39:AE39,'Self-review-postfix'!AB39:AE39,'schema-guided'!AB39:AE39,checklist!AB39,'step-by-step'!AB39:AE39,cot!AC39,rci!AC39)</f>
        <v>1</v>
      </c>
      <c r="J7" s="141">
        <f>MAX(alpaca!AF39,baseline!AF39,persona!AF39,'strict-no-guessing'!AF39:AI39,'Self-review-postfix'!AF39:AI39,'schema-guided'!AF39:AI39,checklist!AF39,'step-by-step'!AF39:AI39,cot!AG39,rci!AG39)</f>
        <v>1</v>
      </c>
      <c r="K7" s="141">
        <f>MAX(alpaca!AJ39,baseline!AJ39,persona!AJ39,'strict-no-guessing'!AJ39:AM39,'Self-review-postfix'!AJ39:AM39,'schema-guided'!AJ39:AM39,checklist!AJ39,'step-by-step'!AJ39:AM39,cot!AK39,rci!AK39)</f>
        <v>0.96969696969696972</v>
      </c>
      <c r="L7" s="141">
        <f>MAX(alpaca!AN39,baseline!AN39,persona!AN39,'strict-no-guessing'!AN39:AQ39,'Self-review-postfix'!AN39:AQ39,'schema-guided'!AN39:AQ39,checklist!AN39,'step-by-step'!AN39:AQ39,cot!AO39,rci!AO39)</f>
        <v>0.33333333333333331</v>
      </c>
      <c r="M7" s="141">
        <f>MAX(alpaca!AR39,baseline!AR39,persona!AR39,'strict-no-guessing'!AR39:AU39,'Self-review-postfix'!AR39:AU39,'schema-guided'!AR39:AU39,checklist!AR39,'step-by-step'!AR39:AU39,cot!AS39,rci!AS39)</f>
        <v>0.39999999999999997</v>
      </c>
      <c r="N7" s="141">
        <f>MAX(alpaca!AV39,baseline!AV39,persona!AV39,'strict-no-guessing'!AV39:AY39,'Self-review-postfix'!AV39:AY39,'schema-guided'!AV39:AY39,checklist!AV39,'step-by-step'!AV39:AY39,cot!AW39,rci!AW39)</f>
        <v>0.375</v>
      </c>
      <c r="O7" s="141">
        <f>MAX(alpaca!AZ39,baseline!AZ39,persona!AZ39,'strict-no-guessing'!AZ39:BC39,'Self-review-postfix'!AZ39:BC39,'schema-guided'!AZ39:BC39,checklist!AZ39,'step-by-step'!AZ39:BC39,cot!BA39,rci!BA39)</f>
        <v>0.74358974358974361</v>
      </c>
      <c r="P7" s="141">
        <f>MAX(alpaca!BD39,baseline!BD39,persona!BD39,'strict-no-guessing'!BD39:BG39,'Self-review-postfix'!BD39:BG39,'schema-guided'!BD39:BG39,checklist!BD39,'step-by-step'!BD39:BG39,cot!BE39,rci!BE39)</f>
        <v>0.76923076923076927</v>
      </c>
      <c r="Q7" s="141">
        <f>MAX(alpaca!BH39,baseline!BH39,persona!BH39,'strict-no-guessing'!BH39:BK39,'Self-review-postfix'!BH39:BK39,'schema-guided'!BH39:BK39,checklist!BH39,'step-by-step'!BH39:BK39,cot!BI39,rci!BI39)</f>
        <v>1</v>
      </c>
      <c r="R7" s="141">
        <f>MAX(alpaca!BL39,baseline!BL39,persona!BL39,'strict-no-guessing'!BL39:BO39,'Self-review-postfix'!BL39:BO39,'schema-guided'!BL39:BO39,checklist!BL39,'step-by-step'!BL39:BO39,cot!BM39,rci!BM39)</f>
        <v>0</v>
      </c>
      <c r="S7" s="142">
        <f>MAX(alpaca!BP39,baseline!BP39,'strict-no-guessing'!BP39:BS39,persona!BP39,'Self-review-postfix'!BP39:BS39,'schema-guided'!BP39:BS39,checklist!BP39,cot!BQ39,rci!BQ39,'step-by-step'!BP39:BS39)</f>
        <v>0.72727272727272718</v>
      </c>
    </row>
    <row r="8" spans="1:19" ht="15" thickTop="1" x14ac:dyDescent="0.35"/>
  </sheetData>
  <mergeCells count="3">
    <mergeCell ref="A2:A3"/>
    <mergeCell ref="A4:A5"/>
    <mergeCell ref="A6:A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alpaca</vt:lpstr>
      <vt:lpstr>baseline</vt:lpstr>
      <vt:lpstr>persona</vt:lpstr>
      <vt:lpstr>strict-no-guessing</vt:lpstr>
      <vt:lpstr>Self-review-postfix</vt:lpstr>
      <vt:lpstr>schema-guided</vt:lpstr>
      <vt:lpstr>checklist</vt:lpstr>
      <vt:lpstr>step-by-step</vt:lpstr>
      <vt:lpstr>cot</vt:lpstr>
      <vt:lpstr>rci</vt:lpstr>
      <vt:lpstr>Summery</vt:lpstr>
      <vt:lpstr>Summery_metric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hmy</dc:creator>
  <cp:lastModifiedBy>A hmy</cp:lastModifiedBy>
  <dcterms:created xsi:type="dcterms:W3CDTF">2026-08-03T13:23:19Z</dcterms:created>
  <dcterms:modified xsi:type="dcterms:W3CDTF">2026-09-19T10:25:57Z</dcterms:modified>
</cp:coreProperties>
</file>